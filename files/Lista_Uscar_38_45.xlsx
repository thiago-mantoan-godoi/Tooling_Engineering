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Tool\files\"/>
    </mc:Choice>
  </mc:AlternateContent>
  <xr:revisionPtr revIDLastSave="0" documentId="13_ncr:1_{7B63ABB5-EE49-4A05-9315-2CE79E50F5CA}" xr6:coauthVersionLast="47" xr6:coauthVersionMax="47" xr10:uidLastSave="{00000000-0000-0000-0000-000000000000}"/>
  <bookViews>
    <workbookView xWindow="28680" yWindow="-120" windowWidth="29040" windowHeight="15720" xr2:uid="{237EF59F-B182-464B-A1E1-48AE5FCBF8D1}"/>
  </bookViews>
  <sheets>
    <sheet name="Solda e MC GMI" sheetId="2" r:id="rId1"/>
    <sheet name="Planilha1" sheetId="1" r:id="rId2"/>
  </sheets>
  <definedNames>
    <definedName name="_xlnm._FilterDatabase" localSheetId="0" hidden="1">'Solda e MC GMI'!$A$1:$BA$662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4" i="2" l="1"/>
  <c r="BC1" i="2" a="1"/>
  <c r="AW5" i="2" l="1"/>
  <c r="AW2" i="2"/>
  <c r="AW6" i="2"/>
  <c r="AW3" i="2"/>
  <c r="BD2" i="2"/>
  <c r="BC1" i="2"/>
  <c r="BD5" i="2"/>
  <c r="BD6" i="2"/>
  <c r="BD4" i="2"/>
  <c r="BD3" i="2"/>
  <c r="AX3" i="2" l="1"/>
  <c r="AX4" i="2" s="1"/>
  <c r="AX5" i="2" s="1"/>
  <c r="AX6" i="2" s="1"/>
  <c r="AY4" i="2" l="1"/>
  <c r="AY5" i="2"/>
  <c r="AY2" i="2"/>
  <c r="AY3" i="2"/>
  <c r="AY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<sst xmlns="http://schemas.openxmlformats.org/spreadsheetml/2006/main" count="2583" uniqueCount="885">
  <si>
    <t>Nome Arquivo</t>
  </si>
  <si>
    <t>Número</t>
  </si>
  <si>
    <t>Data</t>
  </si>
  <si>
    <t>Revisão</t>
  </si>
  <si>
    <t>Splice/Multicrimp</t>
  </si>
  <si>
    <t>TIPO</t>
  </si>
  <si>
    <t>Terminal</t>
  </si>
  <si>
    <t>Termo</t>
  </si>
  <si>
    <t>L1</t>
  </si>
  <si>
    <t>L2</t>
  </si>
  <si>
    <t>SOMATÓRIA TOTAL</t>
  </si>
  <si>
    <t>Qtde amostras</t>
  </si>
  <si>
    <t>Iten</t>
  </si>
  <si>
    <t>Aprov.QUA</t>
  </si>
  <si>
    <t>Configuração</t>
  </si>
  <si>
    <t>Sequência</t>
  </si>
  <si>
    <t>BUSCA</t>
  </si>
  <si>
    <t>PREENCHIMENTO</t>
  </si>
  <si>
    <t>063BTSPIN</t>
  </si>
  <si>
    <t>MULTI-X86G101_B_X1 (01)</t>
  </si>
  <si>
    <t>MULTI</t>
  </si>
  <si>
    <t xml:space="preserve"> 320151FH4</t>
  </si>
  <si>
    <t>E35099700</t>
  </si>
  <si>
    <t>SIM</t>
  </si>
  <si>
    <t>VAZIO</t>
  </si>
  <si>
    <t>RICARDO</t>
  </si>
  <si>
    <t>095BTSPIN</t>
  </si>
  <si>
    <t>MULTI-X86RVC_RTN_X1 (01)</t>
  </si>
  <si>
    <t>3201517M9</t>
  </si>
  <si>
    <t>E16718500</t>
  </si>
  <si>
    <t>085BTSPIN</t>
  </si>
  <si>
    <t>MULTI-X86G203_X1(01)</t>
  </si>
  <si>
    <t>320151FH5</t>
  </si>
  <si>
    <t>E16725200</t>
  </si>
  <si>
    <t>082BTSPIN</t>
  </si>
  <si>
    <t>MULTI-X86G108_C_X1(01)</t>
  </si>
  <si>
    <t>0122</t>
  </si>
  <si>
    <t>MULTI-X86ACC_FOG(01)</t>
  </si>
  <si>
    <t>E00000963</t>
  </si>
  <si>
    <t>E35099400</t>
  </si>
  <si>
    <t>Nome</t>
  </si>
  <si>
    <t>064BTSPIN</t>
  </si>
  <si>
    <t>MULTI-X86G101_A_X1 (01)</t>
  </si>
  <si>
    <t>E00004334</t>
  </si>
  <si>
    <t>E35100200</t>
  </si>
  <si>
    <t>PermitBTSPIN</t>
  </si>
  <si>
    <t>MULTICRIMP</t>
  </si>
  <si>
    <t>086BTSPIN</t>
  </si>
  <si>
    <t>MULTI-X86G108_B_X1 (01)</t>
  </si>
  <si>
    <t>E00020698</t>
  </si>
  <si>
    <t>074BTSPIN</t>
  </si>
  <si>
    <t>MULTI-X86IEC_GAS_X1 (01)</t>
  </si>
  <si>
    <t>E01491100</t>
  </si>
  <si>
    <t>096BTSPIN</t>
  </si>
  <si>
    <t>MULTI-X86G103_X1 (01)</t>
  </si>
  <si>
    <t>E05231900</t>
  </si>
  <si>
    <t>0003BBT</t>
  </si>
  <si>
    <t>MULTI-47_X633G101_</t>
  </si>
  <si>
    <t>E15132900</t>
  </si>
  <si>
    <t>3299365JY</t>
  </si>
  <si>
    <t>0002BBT</t>
  </si>
  <si>
    <t>0006BBT</t>
  </si>
  <si>
    <t>0007BBT</t>
  </si>
  <si>
    <t>0004BBT</t>
  </si>
  <si>
    <t>091BTSPIN</t>
  </si>
  <si>
    <t>MULTI-X86G202_X1 (01)</t>
  </si>
  <si>
    <t>0001BBT</t>
  </si>
  <si>
    <t>092BTSPIN - MULTI-X86G202_X1 (01)_1</t>
  </si>
  <si>
    <t>092BTSPIN</t>
  </si>
  <si>
    <t>E15142100</t>
  </si>
  <si>
    <t>093BTSPIN</t>
  </si>
  <si>
    <t>MULTI-X86G201_X1(01)</t>
  </si>
  <si>
    <t>0187</t>
  </si>
  <si>
    <t>MULTI-X633G202_X1 (03)</t>
  </si>
  <si>
    <t>0188</t>
  </si>
  <si>
    <t>MC21</t>
  </si>
  <si>
    <t>3299362G2</t>
  </si>
  <si>
    <t>0189</t>
  </si>
  <si>
    <t>E15142100 MC51</t>
  </si>
  <si>
    <t>3299362M9</t>
  </si>
  <si>
    <t>0190</t>
  </si>
  <si>
    <t>MC - 02</t>
  </si>
  <si>
    <t>E01120300</t>
  </si>
  <si>
    <t>0009BBT</t>
  </si>
  <si>
    <t>E02000700</t>
  </si>
  <si>
    <t>0191</t>
  </si>
  <si>
    <t>MC - 43</t>
  </si>
  <si>
    <t>0016BBT</t>
  </si>
  <si>
    <t>MULTI-84_X633G108_</t>
  </si>
  <si>
    <t>E16092300</t>
  </si>
  <si>
    <t>E12538000</t>
  </si>
  <si>
    <t>Multicrimp_</t>
  </si>
  <si>
    <t>E14168600</t>
  </si>
  <si>
    <t>0017BBT</t>
  </si>
  <si>
    <t>E14168700</t>
  </si>
  <si>
    <t>Multicrimp</t>
  </si>
  <si>
    <t>0010BBT</t>
  </si>
  <si>
    <t>E16092400</t>
  </si>
  <si>
    <t>0012BBT</t>
  </si>
  <si>
    <t>E16718900</t>
  </si>
  <si>
    <t>_Multicrimp_</t>
  </si>
  <si>
    <t>E16725300</t>
  </si>
  <si>
    <t>0013BBT</t>
  </si>
  <si>
    <t>0011BBT</t>
  </si>
  <si>
    <t>0015BBT</t>
  </si>
  <si>
    <t>MULTI-90_X633G108_</t>
  </si>
  <si>
    <t>E16092500</t>
  </si>
  <si>
    <t>E02090100</t>
  </si>
  <si>
    <t>0014BBT</t>
  </si>
  <si>
    <t>00496</t>
  </si>
  <si>
    <t>E22140200</t>
  </si>
  <si>
    <t>0019BBT</t>
  </si>
  <si>
    <t>E30547700</t>
  </si>
  <si>
    <t>0018BBT</t>
  </si>
  <si>
    <t>0008BBT</t>
  </si>
  <si>
    <t>E16092600</t>
  </si>
  <si>
    <t>081BTSPIN</t>
  </si>
  <si>
    <t>MULTI-X86G302_B_X1(01)</t>
  </si>
  <si>
    <t>E36801200</t>
  </si>
  <si>
    <t>083BTSPIN</t>
  </si>
  <si>
    <t>084BTSPIN</t>
  </si>
  <si>
    <t>MULTI-X86G302_B_X1(01)1</t>
  </si>
  <si>
    <t>079BTSPIN</t>
  </si>
  <si>
    <t>MULTI-X86G302_B_X1 (01)3.00</t>
  </si>
  <si>
    <t>062BTSPIN</t>
  </si>
  <si>
    <t>MULTI-X86G202_X1</t>
  </si>
  <si>
    <t>068BTSPIN</t>
  </si>
  <si>
    <t>MULTI-X86G202_X1(02)</t>
  </si>
  <si>
    <t>059BTSPIN</t>
  </si>
  <si>
    <t>MULTI-X86G102_X1 (01)</t>
  </si>
  <si>
    <t>002BTSPIN</t>
  </si>
  <si>
    <t>MULTI-X86G110_X1(01)</t>
  </si>
  <si>
    <t>MULTI-X86G301_A_X1(08)</t>
  </si>
  <si>
    <t xml:space="preserve">E36802300 </t>
  </si>
  <si>
    <t>058BTSPIN</t>
  </si>
  <si>
    <t>MULTI-X86G301_A_X1</t>
  </si>
  <si>
    <t>MULTI-X86G202_X1(01)</t>
  </si>
  <si>
    <t>E39013000</t>
  </si>
  <si>
    <t>066BTSPIN</t>
  </si>
  <si>
    <t>E36802300</t>
  </si>
  <si>
    <t>072BTSPIN</t>
  </si>
  <si>
    <t>MULTI-X86G301_A_X1 (02)</t>
  </si>
  <si>
    <t>061BTSPIN</t>
  </si>
  <si>
    <t>071BTSPIN</t>
  </si>
  <si>
    <t>MULTI-X86G301_A_X1 (01)</t>
  </si>
  <si>
    <t>073BTSPIN</t>
  </si>
  <si>
    <t>MULTI-X86G301_A_X1 (03)</t>
  </si>
  <si>
    <t>069BTSPIN</t>
  </si>
  <si>
    <t>MULTI-X86G301_A_X1(04)</t>
  </si>
  <si>
    <t>080BTSPIN</t>
  </si>
  <si>
    <t>MULTI-X86G301_A_X1(01)</t>
  </si>
  <si>
    <t>070BTSPIN</t>
  </si>
  <si>
    <t>060BTSPIN</t>
  </si>
  <si>
    <t>MULTI-X86G104_A_X1 (01)</t>
  </si>
  <si>
    <t>067BTSPIN</t>
  </si>
  <si>
    <t>MULTI-X86G104_A_X1 (02)</t>
  </si>
  <si>
    <t>057BTSPIN</t>
  </si>
  <si>
    <t>MULTI-X86G104_X1</t>
  </si>
  <si>
    <t>0207</t>
  </si>
  <si>
    <t>E36837000</t>
  </si>
  <si>
    <t>100BTSPIN</t>
  </si>
  <si>
    <t xml:space="preserve">MULTI-X86G108_B_X1(01) </t>
  </si>
  <si>
    <t>E38846200</t>
  </si>
  <si>
    <t>094BTSPIN</t>
  </si>
  <si>
    <t>MULTI-X86G107_B_X1 (01)</t>
  </si>
  <si>
    <t>E37297900</t>
  </si>
  <si>
    <t>0205</t>
  </si>
  <si>
    <t>E37621700</t>
  </si>
  <si>
    <t>0206</t>
  </si>
  <si>
    <t>087BTSPIN</t>
  </si>
  <si>
    <t>MULTI-X86G106_X1(01)</t>
  </si>
  <si>
    <t>MULTI-X86106_X1(01)</t>
  </si>
  <si>
    <t>X86G106_X1</t>
  </si>
  <si>
    <t>089BTSPIN</t>
  </si>
  <si>
    <t>MULTI-X86G106_X1 (01)</t>
  </si>
  <si>
    <t>0196BBT</t>
  </si>
  <si>
    <t>0199BBT</t>
  </si>
  <si>
    <t>SP3350_1_X1</t>
  </si>
  <si>
    <t>0202BBT</t>
  </si>
  <si>
    <t>0211BBT</t>
  </si>
  <si>
    <t>0201BBT</t>
  </si>
  <si>
    <t>0203BBT</t>
  </si>
  <si>
    <t>0210BBT</t>
  </si>
  <si>
    <t>0040BBT</t>
  </si>
  <si>
    <t>X117SP240.01</t>
  </si>
  <si>
    <t>0043BBT</t>
  </si>
  <si>
    <t>X117SP941</t>
  </si>
  <si>
    <t>00112BBT</t>
  </si>
  <si>
    <t>X117SP240.00</t>
  </si>
  <si>
    <t>0039BBT</t>
  </si>
  <si>
    <t>X117SP240</t>
  </si>
  <si>
    <t>0041BBT</t>
  </si>
  <si>
    <t>X117SP240.02</t>
  </si>
  <si>
    <t>0044BBT</t>
  </si>
  <si>
    <t>X117SP941.00</t>
  </si>
  <si>
    <t>00115BBT</t>
  </si>
  <si>
    <t>X117SP6815</t>
  </si>
  <si>
    <t>00157BBT</t>
  </si>
  <si>
    <t>X117SP473</t>
  </si>
  <si>
    <t>001BBT</t>
  </si>
  <si>
    <t>X117SP157.C</t>
  </si>
  <si>
    <t>002BBT</t>
  </si>
  <si>
    <t>X117SP2150.A</t>
  </si>
  <si>
    <t>00120BBT</t>
  </si>
  <si>
    <t>X117SP1315</t>
  </si>
  <si>
    <t>0047BBT</t>
  </si>
  <si>
    <t>X117SP1314</t>
  </si>
  <si>
    <t>00161BBT</t>
  </si>
  <si>
    <t>X117SP5382</t>
  </si>
  <si>
    <t>00122BBT</t>
  </si>
  <si>
    <t>X117SP1639</t>
  </si>
  <si>
    <t>00110BBT</t>
  </si>
  <si>
    <t>X117SP2250.08</t>
  </si>
  <si>
    <t>00160BBT</t>
  </si>
  <si>
    <t>X117SP5381</t>
  </si>
  <si>
    <t>003BBT</t>
  </si>
  <si>
    <t>X117SP2150</t>
  </si>
  <si>
    <t>00173BBT</t>
  </si>
  <si>
    <t>X117SP6281.00</t>
  </si>
  <si>
    <t>00179BBT</t>
  </si>
  <si>
    <t>X11SP6281.00</t>
  </si>
  <si>
    <t>X117SP3150.04</t>
  </si>
  <si>
    <t>00109BBT</t>
  </si>
  <si>
    <t>X117SP2250.07</t>
  </si>
  <si>
    <t>00175BBT</t>
  </si>
  <si>
    <t>X117SP2129</t>
  </si>
  <si>
    <t>00182BBT</t>
  </si>
  <si>
    <t>X117SP6281</t>
  </si>
  <si>
    <t>00183BBT</t>
  </si>
  <si>
    <t>00181BBT</t>
  </si>
  <si>
    <t>0033BBT</t>
  </si>
  <si>
    <t>X117SP2250.05</t>
  </si>
  <si>
    <t>00174BBT</t>
  </si>
  <si>
    <t>X117SP1950</t>
  </si>
  <si>
    <t>00180BBT</t>
  </si>
  <si>
    <t>X117SP1301.01</t>
  </si>
  <si>
    <t>00177BBT</t>
  </si>
  <si>
    <t>X117SP5291.00</t>
  </si>
  <si>
    <t>00176BBT</t>
  </si>
  <si>
    <t>X117SP5291</t>
  </si>
  <si>
    <t>0024BBT</t>
  </si>
  <si>
    <t>X117SP2150.04</t>
  </si>
  <si>
    <t>00169BBT</t>
  </si>
  <si>
    <t>X117SP6817</t>
  </si>
  <si>
    <t>00178BBT</t>
  </si>
  <si>
    <t>X117SP5292</t>
  </si>
  <si>
    <t>0046BBT</t>
  </si>
  <si>
    <t>X117SP1250</t>
  </si>
  <si>
    <t>00114BBT</t>
  </si>
  <si>
    <t>X117SP5870</t>
  </si>
  <si>
    <t>00123BBT</t>
  </si>
  <si>
    <t>X117SP189</t>
  </si>
  <si>
    <t>E14168800</t>
  </si>
  <si>
    <t>00126BBT</t>
  </si>
  <si>
    <t>X117SP24</t>
  </si>
  <si>
    <t>00127BBT</t>
  </si>
  <si>
    <t>X117SP24.00</t>
  </si>
  <si>
    <t>00129BBT</t>
  </si>
  <si>
    <t>X117SP2700</t>
  </si>
  <si>
    <t>00158BBT</t>
  </si>
  <si>
    <t>X117SP5065</t>
  </si>
  <si>
    <t>00165BBT</t>
  </si>
  <si>
    <t>X117SP6281.02</t>
  </si>
  <si>
    <t>00167BBT</t>
  </si>
  <si>
    <t>X117SP6281.04</t>
  </si>
  <si>
    <t>0034BBT</t>
  </si>
  <si>
    <t>X117SP2250.06</t>
  </si>
  <si>
    <t>00130BBT</t>
  </si>
  <si>
    <t>X117SP2700.02</t>
  </si>
  <si>
    <t>00154BBT</t>
  </si>
  <si>
    <t>X117SP4151</t>
  </si>
  <si>
    <t>00155BBT</t>
  </si>
  <si>
    <t>X117SP4250</t>
  </si>
  <si>
    <t>00146BBT</t>
  </si>
  <si>
    <t>X117SP3350.15</t>
  </si>
  <si>
    <t>00164BBT</t>
  </si>
  <si>
    <t>00170BBT</t>
  </si>
  <si>
    <t>X117SP746</t>
  </si>
  <si>
    <t>00101BBT</t>
  </si>
  <si>
    <t>X117SP1798.00</t>
  </si>
  <si>
    <t>00118BBT</t>
  </si>
  <si>
    <t>X117SP6817.01</t>
  </si>
  <si>
    <t>00128BBT</t>
  </si>
  <si>
    <t>X117SP24.01</t>
  </si>
  <si>
    <t>00172BBT</t>
  </si>
  <si>
    <t>X117SP9.00</t>
  </si>
  <si>
    <t>00103BBT</t>
  </si>
  <si>
    <t>X117SP200</t>
  </si>
  <si>
    <t>00105BBT</t>
  </si>
  <si>
    <t>X117SP201</t>
  </si>
  <si>
    <t>00106BBT</t>
  </si>
  <si>
    <t>00121BBT</t>
  </si>
  <si>
    <t>00145BBT</t>
  </si>
  <si>
    <t>00159BBT</t>
  </si>
  <si>
    <t>00104BBT</t>
  </si>
  <si>
    <t>00132BBT</t>
  </si>
  <si>
    <t>00156BBT</t>
  </si>
  <si>
    <t>00117BBT</t>
  </si>
  <si>
    <t>00124BBT</t>
  </si>
  <si>
    <t>00125BBT</t>
  </si>
  <si>
    <t>00162BBT</t>
  </si>
  <si>
    <t>00166BBT</t>
  </si>
  <si>
    <t>00119BBT</t>
  </si>
  <si>
    <t>00171BBT</t>
  </si>
  <si>
    <t>00168BBT</t>
  </si>
  <si>
    <t>0045BBT</t>
  </si>
  <si>
    <t>00116BBT</t>
  </si>
  <si>
    <t>00163BBT</t>
  </si>
  <si>
    <t>00147BBT</t>
  </si>
  <si>
    <t>00150BBT</t>
  </si>
  <si>
    <t>00151BBT</t>
  </si>
  <si>
    <t>00152BBT</t>
  </si>
  <si>
    <t>00108BBT</t>
  </si>
  <si>
    <t>00153BBT</t>
  </si>
  <si>
    <t>00148BBT</t>
  </si>
  <si>
    <t>00149BBT</t>
  </si>
  <si>
    <t>00111BBT</t>
  </si>
  <si>
    <t>00113BBT</t>
  </si>
  <si>
    <t>0035BBT</t>
  </si>
  <si>
    <t>0048BBT</t>
  </si>
  <si>
    <t>0025BBT</t>
  </si>
  <si>
    <t>00131BBT</t>
  </si>
  <si>
    <t>00133BBT</t>
  </si>
  <si>
    <t>00140BBT</t>
  </si>
  <si>
    <t>00144BBT</t>
  </si>
  <si>
    <t>0026BBT</t>
  </si>
  <si>
    <t>0023BBT</t>
  </si>
  <si>
    <t>00139BBT</t>
  </si>
  <si>
    <t>00142BBT</t>
  </si>
  <si>
    <t>00143BBT</t>
  </si>
  <si>
    <t>00135BBT</t>
  </si>
  <si>
    <t>00134BBT</t>
  </si>
  <si>
    <t>00136BBT</t>
  </si>
  <si>
    <t>00138BBT</t>
  </si>
  <si>
    <t>00141BBT</t>
  </si>
  <si>
    <t>00137BBT</t>
  </si>
  <si>
    <t>00102BBT</t>
  </si>
  <si>
    <t>E14168900</t>
  </si>
  <si>
    <t>0021BBT</t>
  </si>
  <si>
    <t>0020BBT</t>
  </si>
  <si>
    <t>00107BBT</t>
  </si>
  <si>
    <t>0022BBT</t>
  </si>
  <si>
    <t>00100BBT</t>
  </si>
  <si>
    <t>0037BBT</t>
  </si>
  <si>
    <t>0036BBT</t>
  </si>
  <si>
    <t>0038BBT</t>
  </si>
  <si>
    <t>0027BBT</t>
  </si>
  <si>
    <t>0042BBT</t>
  </si>
  <si>
    <t>0028BBT</t>
  </si>
  <si>
    <t>E15320400</t>
  </si>
  <si>
    <t>0031BBT</t>
  </si>
  <si>
    <t>0032BBT</t>
  </si>
  <si>
    <t>0029BBT</t>
  </si>
  <si>
    <t>0030BBT</t>
  </si>
  <si>
    <t>027BTSPIN</t>
  </si>
  <si>
    <t>SP5986_1_X1</t>
  </si>
  <si>
    <t>041BTSPIN</t>
  </si>
  <si>
    <t>SP1050_1_X1</t>
  </si>
  <si>
    <t>050BTSPIN</t>
  </si>
  <si>
    <t>SP4540_1_X1</t>
  </si>
  <si>
    <t>SP5292_2_X1</t>
  </si>
  <si>
    <t>048BTSPIN</t>
  </si>
  <si>
    <t>SP440_1_X1</t>
  </si>
  <si>
    <t>038BTSPIN</t>
  </si>
  <si>
    <t>SP5986_1_X1.00</t>
  </si>
  <si>
    <t>037BTSPIN</t>
  </si>
  <si>
    <t>SP548_1_X1</t>
  </si>
  <si>
    <t>028BTSPIN</t>
  </si>
  <si>
    <t>SP24_1_X1</t>
  </si>
  <si>
    <t>040BTSPIN</t>
  </si>
  <si>
    <t>SP440_1_X1.00</t>
  </si>
  <si>
    <t>035BTSPIN</t>
  </si>
  <si>
    <t>SP6817_1_X1</t>
  </si>
  <si>
    <t>034BTSPIN</t>
  </si>
  <si>
    <t>SP548_1_X1.00</t>
  </si>
  <si>
    <t>021BTSPIN</t>
  </si>
  <si>
    <t>SP5440_1_X1</t>
  </si>
  <si>
    <t>019BTSPIN</t>
  </si>
  <si>
    <t>SP1361_X1</t>
  </si>
  <si>
    <t>030BTSPIN</t>
  </si>
  <si>
    <t>SP6815_1_X1.00</t>
  </si>
  <si>
    <t>015BTSPIN</t>
  </si>
  <si>
    <t>SP2374_X1</t>
  </si>
  <si>
    <t>046BTSPIN</t>
  </si>
  <si>
    <t>SP1250B_1_X1</t>
  </si>
  <si>
    <t>045BTSPIN</t>
  </si>
  <si>
    <t>SP1750_1_X1.00</t>
  </si>
  <si>
    <t>SP294_1_X1</t>
  </si>
  <si>
    <t>043BTSPIN</t>
  </si>
  <si>
    <t>020BTSPIN</t>
  </si>
  <si>
    <t>SP1750_1_X1</t>
  </si>
  <si>
    <t>018BTSPIN</t>
  </si>
  <si>
    <t>SP2374_X1.00</t>
  </si>
  <si>
    <t>042BTSPIN</t>
  </si>
  <si>
    <t>SP650_1_X1</t>
  </si>
  <si>
    <t>039BTSPIN</t>
  </si>
  <si>
    <t>SP650_1_X1.00</t>
  </si>
  <si>
    <t>047BTSPIN</t>
  </si>
  <si>
    <t>SP150B_1_X1</t>
  </si>
  <si>
    <t>049BTSPIN</t>
  </si>
  <si>
    <t>SP550_1_X1.00</t>
  </si>
  <si>
    <t>SP294_1_X1.00</t>
  </si>
  <si>
    <t>032BTSPIN</t>
  </si>
  <si>
    <t>SP550_1_X1.01</t>
  </si>
  <si>
    <t>026BTSPIN</t>
  </si>
  <si>
    <t>SP_DIODE_1</t>
  </si>
  <si>
    <t>025BTSPIN</t>
  </si>
  <si>
    <t>SP302_1_X1</t>
  </si>
  <si>
    <t>SP1792_1_X1</t>
  </si>
  <si>
    <t>SP746_289_1_X1</t>
  </si>
  <si>
    <t>SP1350_3_X1</t>
  </si>
  <si>
    <t>SP6581_649_1_X1</t>
  </si>
  <si>
    <t>SP1150_624_1_X1</t>
  </si>
  <si>
    <t>SP2234_1_X1</t>
  </si>
  <si>
    <t>SP5290_3_X1</t>
  </si>
  <si>
    <t>SP3150_628_1_X1</t>
  </si>
  <si>
    <t>SP1050C_X1</t>
  </si>
  <si>
    <t>SP443_2_X1</t>
  </si>
  <si>
    <t>SP240_X1</t>
  </si>
  <si>
    <t>SP240_X1.00</t>
  </si>
  <si>
    <t>SP941_X1.00</t>
  </si>
  <si>
    <t>SP941_X1</t>
  </si>
  <si>
    <t>NA</t>
  </si>
  <si>
    <t>E06897900</t>
  </si>
  <si>
    <t>E07972800</t>
  </si>
  <si>
    <t>E07857100</t>
  </si>
  <si>
    <t>E07972600</t>
  </si>
  <si>
    <t>E07972700</t>
  </si>
  <si>
    <t>E07857000</t>
  </si>
  <si>
    <t>E07972500</t>
  </si>
  <si>
    <t>E07973000</t>
  </si>
  <si>
    <t>E06898000</t>
  </si>
  <si>
    <t>32025Y25U</t>
  </si>
  <si>
    <t>E07856900</t>
  </si>
  <si>
    <t>N/A</t>
  </si>
  <si>
    <t>25</t>
  </si>
  <si>
    <t>16</t>
  </si>
  <si>
    <t>35</t>
  </si>
  <si>
    <t>50</t>
  </si>
  <si>
    <t>30</t>
  </si>
  <si>
    <t>70</t>
  </si>
  <si>
    <t>51</t>
  </si>
  <si>
    <t>55</t>
  </si>
  <si>
    <t>60</t>
  </si>
  <si>
    <t>49</t>
  </si>
  <si>
    <t>43</t>
  </si>
  <si>
    <t>37</t>
  </si>
  <si>
    <t>61</t>
  </si>
  <si>
    <t>40</t>
  </si>
  <si>
    <t>24</t>
  </si>
  <si>
    <t>0359BBT/49FF</t>
  </si>
  <si>
    <t>121BTSPIN</t>
  </si>
  <si>
    <t>021</t>
  </si>
  <si>
    <t>02</t>
  </si>
  <si>
    <t>03</t>
  </si>
  <si>
    <t>04</t>
  </si>
  <si>
    <t>05</t>
  </si>
  <si>
    <t>0006spin/0318bbt</t>
  </si>
  <si>
    <t>07 FF/0324BBT</t>
  </si>
  <si>
    <t>08</t>
  </si>
  <si>
    <t>09FF/0352BBT</t>
  </si>
  <si>
    <t>10FF/0353BBT</t>
  </si>
  <si>
    <t>11</t>
  </si>
  <si>
    <t>12BT/0192BBT</t>
  </si>
  <si>
    <t>13</t>
  </si>
  <si>
    <t>14</t>
  </si>
  <si>
    <t>15</t>
  </si>
  <si>
    <t>17FF/0344BBT</t>
  </si>
  <si>
    <t>USCAR45-18/0295BBT</t>
  </si>
  <si>
    <t>19</t>
  </si>
  <si>
    <t>20</t>
  </si>
  <si>
    <t>21</t>
  </si>
  <si>
    <t>22</t>
  </si>
  <si>
    <t>23</t>
  </si>
  <si>
    <t>USCAR45-26/0299BBT</t>
  </si>
  <si>
    <t>27</t>
  </si>
  <si>
    <t>USCAR45-28/0218BBT</t>
  </si>
  <si>
    <t>0293BBT/USCAR45-29</t>
  </si>
  <si>
    <t>31</t>
  </si>
  <si>
    <t>32</t>
  </si>
  <si>
    <t>33</t>
  </si>
  <si>
    <t>34</t>
  </si>
  <si>
    <t>046GEM</t>
  </si>
  <si>
    <t>38BT/0305BBT</t>
  </si>
  <si>
    <t>39</t>
  </si>
  <si>
    <t>41</t>
  </si>
  <si>
    <t>42</t>
  </si>
  <si>
    <t>44</t>
  </si>
  <si>
    <t>45</t>
  </si>
  <si>
    <t>46</t>
  </si>
  <si>
    <t>47FF/0184BBT</t>
  </si>
  <si>
    <t>48</t>
  </si>
  <si>
    <t>52</t>
  </si>
  <si>
    <t>53</t>
  </si>
  <si>
    <t>54</t>
  </si>
  <si>
    <t>56</t>
  </si>
  <si>
    <t>57</t>
  </si>
  <si>
    <t>58</t>
  </si>
  <si>
    <t>59</t>
  </si>
  <si>
    <t>62FF/0354BBT</t>
  </si>
  <si>
    <t>63</t>
  </si>
  <si>
    <t>64</t>
  </si>
  <si>
    <t>65FF/0253BBT</t>
  </si>
  <si>
    <t>uscar45-67/0358BBT</t>
  </si>
  <si>
    <t>68BT/0266BBT</t>
  </si>
  <si>
    <t>69</t>
  </si>
  <si>
    <t>71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</si>
  <si>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</si>
  <si>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</si>
  <si>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</si>
  <si>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</si>
  <si>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</si>
  <si>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</si>
  <si>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</si>
  <si>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</si>
  <si>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</si>
  <si>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</si>
  <si>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</si>
  <si>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</si>
  <si>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</si>
  <si>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</si>
  <si>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</si>
  <si>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</si>
  <si>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</si>
  <si>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</si>
  <si>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</si>
  <si>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</si>
  <si>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</si>
  <si>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</si>
  <si>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</si>
  <si>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</si>
  <si>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</si>
  <si>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</si>
  <si>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099FF</t>
  </si>
  <si>
    <t>100</t>
  </si>
  <si>
    <t>101</t>
  </si>
  <si>
    <t>102</t>
  </si>
  <si>
    <t>USCAR45-103/0325BBT</t>
  </si>
  <si>
    <t>104</t>
  </si>
  <si>
    <t>106</t>
  </si>
  <si>
    <t>107</t>
  </si>
  <si>
    <t>108</t>
  </si>
  <si>
    <t>109FF/0351BBT</t>
  </si>
  <si>
    <t>110</t>
  </si>
  <si>
    <t>111</t>
  </si>
  <si>
    <t>112</t>
  </si>
  <si>
    <t>113</t>
  </si>
  <si>
    <t>046</t>
  </si>
  <si>
    <t>044</t>
  </si>
  <si>
    <t>0032SPIN/044BTSPIN</t>
  </si>
  <si>
    <t>033</t>
  </si>
  <si>
    <t>047</t>
  </si>
  <si>
    <t>034</t>
  </si>
  <si>
    <t>040</t>
  </si>
  <si>
    <t>036</t>
  </si>
  <si>
    <t>037</t>
  </si>
  <si>
    <t>041</t>
  </si>
  <si>
    <t>038-SPIN</t>
  </si>
  <si>
    <t>018</t>
  </si>
  <si>
    <t>042</t>
  </si>
  <si>
    <t>043</t>
  </si>
  <si>
    <t>045</t>
  </si>
  <si>
    <t>049</t>
  </si>
  <si>
    <t>048</t>
  </si>
  <si>
    <t>001</t>
  </si>
  <si>
    <t>0008SPIN/0208BBT</t>
  </si>
  <si>
    <t>009</t>
  </si>
  <si>
    <t>005</t>
  </si>
  <si>
    <t>006</t>
  </si>
  <si>
    <t>003</t>
  </si>
  <si>
    <t>007</t>
  </si>
  <si>
    <t>004</t>
  </si>
  <si>
    <t>002</t>
  </si>
  <si>
    <t>028</t>
  </si>
  <si>
    <t>012</t>
  </si>
  <si>
    <t>022</t>
  </si>
  <si>
    <t>017</t>
  </si>
  <si>
    <t>016</t>
  </si>
  <si>
    <t>019</t>
  </si>
  <si>
    <t>013</t>
  </si>
  <si>
    <t>025</t>
  </si>
  <si>
    <t>011</t>
  </si>
  <si>
    <t>031</t>
  </si>
  <si>
    <t>029</t>
  </si>
  <si>
    <t>015</t>
  </si>
  <si>
    <t>020</t>
  </si>
  <si>
    <t>010</t>
  </si>
  <si>
    <t>030</t>
  </si>
  <si>
    <t>026</t>
  </si>
  <si>
    <t>023</t>
  </si>
  <si>
    <t>014</t>
  </si>
  <si>
    <t>024</t>
  </si>
  <si>
    <t>0027/0209BBT</t>
  </si>
  <si>
    <t>0050</t>
  </si>
  <si>
    <t>0057</t>
  </si>
  <si>
    <t>0058</t>
  </si>
  <si>
    <t>0061</t>
  </si>
  <si>
    <t>0056</t>
  </si>
  <si>
    <t>0051</t>
  </si>
  <si>
    <t>0053</t>
  </si>
  <si>
    <t>0052</t>
  </si>
  <si>
    <t>062</t>
  </si>
  <si>
    <t>0065</t>
  </si>
  <si>
    <t>0055</t>
  </si>
  <si>
    <t>0063</t>
  </si>
  <si>
    <t>0006SPIN/099FF</t>
  </si>
  <si>
    <t>0064</t>
  </si>
  <si>
    <t>0059</t>
  </si>
  <si>
    <t>0054</t>
  </si>
  <si>
    <t>0066</t>
  </si>
  <si>
    <t>0060</t>
  </si>
  <si>
    <t>0069</t>
  </si>
  <si>
    <t>0068</t>
  </si>
  <si>
    <t>031BT</t>
  </si>
  <si>
    <t>044BTSPIN/0032SPIN</t>
  </si>
  <si>
    <t>036BT</t>
  </si>
  <si>
    <t>004BTSPIN</t>
  </si>
  <si>
    <t>005BTSPIN-</t>
  </si>
  <si>
    <t>016BTSPIN</t>
  </si>
  <si>
    <t>013BTSPIN</t>
  </si>
  <si>
    <t>003BTSPIN</t>
  </si>
  <si>
    <t>014BTSPIN</t>
  </si>
  <si>
    <t>017BTSPIN</t>
  </si>
  <si>
    <t>024BT</t>
  </si>
  <si>
    <t>033BTSPIN</t>
  </si>
  <si>
    <t>051BT</t>
  </si>
  <si>
    <t>029BT</t>
  </si>
  <si>
    <t>GMW17136-377</t>
  </si>
  <si>
    <t>106BTSPIN</t>
  </si>
  <si>
    <t>0020MCBR</t>
  </si>
  <si>
    <t>0021MCBR</t>
  </si>
  <si>
    <t>0047MCBR</t>
  </si>
  <si>
    <t>0024MCBR</t>
  </si>
  <si>
    <t>0023MCBR</t>
  </si>
  <si>
    <t>0022MCBR</t>
  </si>
  <si>
    <t>0017MCBR</t>
  </si>
  <si>
    <t>0031MCBR</t>
  </si>
  <si>
    <t>0027MCBR</t>
  </si>
  <si>
    <t>0028MCBR</t>
  </si>
  <si>
    <t>0034MCBR</t>
  </si>
  <si>
    <t>0019MCBR</t>
  </si>
  <si>
    <t>0032MCBR</t>
  </si>
  <si>
    <t>0025MCBR</t>
  </si>
  <si>
    <t>0030MCBR</t>
  </si>
  <si>
    <t>0018MCBR</t>
  </si>
  <si>
    <t>0033MCBR</t>
  </si>
  <si>
    <t>0097MCBR</t>
  </si>
  <si>
    <t>0035MCBR</t>
  </si>
  <si>
    <t>0026MCBR</t>
  </si>
  <si>
    <t>0036MCBR</t>
  </si>
  <si>
    <t>0029MCBR</t>
  </si>
  <si>
    <t>0098MCBR</t>
  </si>
  <si>
    <t>0099MCBR</t>
  </si>
  <si>
    <t>0037MCBR</t>
  </si>
  <si>
    <t>0105MCBR</t>
  </si>
  <si>
    <t>0055MC</t>
  </si>
  <si>
    <t>0096MCBR</t>
  </si>
  <si>
    <t>0058MCBR</t>
  </si>
  <si>
    <t>0039MCBR</t>
  </si>
  <si>
    <t>0038MCBR</t>
  </si>
  <si>
    <t>0137MCBR</t>
  </si>
  <si>
    <t>0136MCBR</t>
  </si>
  <si>
    <t>0135MCBR</t>
  </si>
  <si>
    <t>0051MCBR</t>
  </si>
  <si>
    <t>0100MCBR</t>
  </si>
  <si>
    <t>0112MCBR</t>
  </si>
  <si>
    <t>0146MCBR</t>
  </si>
  <si>
    <t>0127MCBR</t>
  </si>
  <si>
    <t>0143MCBR</t>
  </si>
  <si>
    <t>0077MCBR</t>
  </si>
  <si>
    <t>0073MCBR</t>
  </si>
  <si>
    <t>0092MCBR</t>
  </si>
  <si>
    <t>0057MCBR</t>
  </si>
  <si>
    <t>0049MCBR</t>
  </si>
  <si>
    <t>0145MCBR</t>
  </si>
  <si>
    <t>0078MCBR</t>
  </si>
  <si>
    <t>0142MCBR</t>
  </si>
  <si>
    <t>0087MCBR</t>
  </si>
  <si>
    <t>0102MCBR</t>
  </si>
  <si>
    <t>0114MCBR</t>
  </si>
  <si>
    <t>0040MCBR</t>
  </si>
  <si>
    <t>0113MCBR</t>
  </si>
  <si>
    <t>0053MCBR</t>
  </si>
  <si>
    <t>0094MCBR</t>
  </si>
  <si>
    <t>0149MCBR</t>
  </si>
  <si>
    <t>0148MCBR</t>
  </si>
  <si>
    <t>0046MCBR</t>
  </si>
  <si>
    <t>0117MCBR</t>
  </si>
  <si>
    <t>0139MCBR</t>
  </si>
  <si>
    <t>0042MCBR</t>
  </si>
  <si>
    <t>0054MC</t>
  </si>
  <si>
    <t>0056MC</t>
  </si>
  <si>
    <t>0118MCBR</t>
  </si>
  <si>
    <t>0086MCBR</t>
  </si>
  <si>
    <t>0088MCBR</t>
  </si>
  <si>
    <t>0140MCBR</t>
  </si>
  <si>
    <t>0050MCBR</t>
  </si>
  <si>
    <t>0045MCBR</t>
  </si>
  <si>
    <t>0041MCBR</t>
  </si>
  <si>
    <t>0043MCBR</t>
  </si>
  <si>
    <t>0048MCBR</t>
  </si>
  <si>
    <t>0052MCBR</t>
  </si>
  <si>
    <t>0059MCBR</t>
  </si>
  <si>
    <t>0060MCBR</t>
  </si>
  <si>
    <t>0061MCBR</t>
  </si>
  <si>
    <t>0063MCBR</t>
  </si>
  <si>
    <t>0064MCBR</t>
  </si>
  <si>
    <t>0067MCBR</t>
  </si>
  <si>
    <t>0066MCBR</t>
  </si>
  <si>
    <t>0068MCBR</t>
  </si>
  <si>
    <t>0069MCBR</t>
  </si>
  <si>
    <t>0070MCBR</t>
  </si>
  <si>
    <t>0071MCBR</t>
  </si>
  <si>
    <t>0072MCBR</t>
  </si>
  <si>
    <t>0074MCBR</t>
  </si>
  <si>
    <t>0075MCBR</t>
  </si>
  <si>
    <t>0076MCBR</t>
  </si>
  <si>
    <t>0079MCBR</t>
  </si>
  <si>
    <t>0080MC</t>
  </si>
  <si>
    <t>0081MCBR</t>
  </si>
  <si>
    <t>0082MCBR</t>
  </si>
  <si>
    <t>0083MCBR</t>
  </si>
  <si>
    <t>0089MCBR</t>
  </si>
  <si>
    <t>0090MCBR</t>
  </si>
  <si>
    <t>0091MCBR</t>
  </si>
  <si>
    <t>0093MCBR</t>
  </si>
  <si>
    <t>0095MCBR</t>
  </si>
  <si>
    <t>0101MCBR</t>
  </si>
  <si>
    <t>0103MCBR</t>
  </si>
  <si>
    <t>0104MCBR</t>
  </si>
  <si>
    <t>0107MCBR</t>
  </si>
  <si>
    <t>0108MCBR</t>
  </si>
  <si>
    <t>0109MCBR</t>
  </si>
  <si>
    <t>0106MCBR</t>
  </si>
  <si>
    <t>0119MCBR</t>
  </si>
  <si>
    <t>0141MCBR</t>
  </si>
  <si>
    <t>0144MCBR</t>
  </si>
  <si>
    <t>0147MCBR</t>
  </si>
  <si>
    <t>0150MCBR</t>
  </si>
  <si>
    <t>0151MCBR</t>
  </si>
  <si>
    <t>0152MCBR</t>
  </si>
  <si>
    <t>GMW17136-376</t>
  </si>
  <si>
    <t>0322BBT/0008spin</t>
  </si>
  <si>
    <t>0197BBT/07FF</t>
  </si>
  <si>
    <t>0209BBT/0027</t>
  </si>
  <si>
    <t>0186BBT/USCAR45-238</t>
  </si>
  <si>
    <t>0353BBT/10FF</t>
  </si>
  <si>
    <t>GEM</t>
  </si>
  <si>
    <t>SPIN</t>
  </si>
  <si>
    <t>GEM-CARBON</t>
  </si>
  <si>
    <t>VS30</t>
  </si>
  <si>
    <t>-</t>
  </si>
  <si>
    <t xml:space="preserve">GEM-carbon </t>
  </si>
  <si>
    <t>GEM26</t>
  </si>
  <si>
    <t>1704/2025</t>
  </si>
  <si>
    <t>Paulo Lima</t>
  </si>
  <si>
    <t>SP1301.00</t>
  </si>
  <si>
    <t>SP1798.00</t>
  </si>
  <si>
    <t>SP1940</t>
  </si>
  <si>
    <t>SP200</t>
  </si>
  <si>
    <t>SP200.00</t>
  </si>
  <si>
    <t>SP201</t>
  </si>
  <si>
    <t>SP201.00</t>
  </si>
  <si>
    <t>SP2150.00</t>
  </si>
  <si>
    <t>SP2250.04</t>
  </si>
  <si>
    <t>SP5214</t>
  </si>
  <si>
    <t>SP2250.08</t>
  </si>
  <si>
    <t>SP228.00</t>
  </si>
  <si>
    <t>SP240.00</t>
  </si>
  <si>
    <t>SP392</t>
  </si>
  <si>
    <t>SP5870</t>
  </si>
  <si>
    <t>SP6815</t>
  </si>
  <si>
    <t>SP6817</t>
  </si>
  <si>
    <t>SP6817.00</t>
  </si>
  <si>
    <t>SP6817.01</t>
  </si>
  <si>
    <t>SP6817.02</t>
  </si>
  <si>
    <t>SP3150.04</t>
  </si>
  <si>
    <t>SP1315</t>
  </si>
  <si>
    <t>SP1539</t>
  </si>
  <si>
    <t>SP1639</t>
  </si>
  <si>
    <t>SP189</t>
  </si>
  <si>
    <t>SP2209</t>
  </si>
  <si>
    <t>SP2209.00</t>
  </si>
  <si>
    <t>SP24</t>
  </si>
  <si>
    <t>SP24.00</t>
  </si>
  <si>
    <t>SP24.01</t>
  </si>
  <si>
    <t>SP2700</t>
  </si>
  <si>
    <t>SP117</t>
  </si>
  <si>
    <t>SP2700.02</t>
  </si>
  <si>
    <t>SP295</t>
  </si>
  <si>
    <t>SP3250</t>
  </si>
  <si>
    <t>SP3350.01</t>
  </si>
  <si>
    <t>SP3350.03</t>
  </si>
  <si>
    <t>SP3350.04</t>
  </si>
  <si>
    <t>SP3350.05</t>
  </si>
  <si>
    <t>SP3350.06</t>
  </si>
  <si>
    <t>SP3350.07</t>
  </si>
  <si>
    <t>SP3350.08</t>
  </si>
  <si>
    <t>SP1301</t>
  </si>
  <si>
    <t>SP3350.09</t>
  </si>
  <si>
    <t>SP3350.10</t>
  </si>
  <si>
    <t>SP3350.11</t>
  </si>
  <si>
    <t>SP3350.12</t>
  </si>
  <si>
    <t>SP3350.13</t>
  </si>
  <si>
    <t>SP3350.14</t>
  </si>
  <si>
    <t>SP3350.15</t>
  </si>
  <si>
    <t>SP4150.00</t>
  </si>
  <si>
    <t>SP4150.01</t>
  </si>
  <si>
    <t>SP4150.02</t>
  </si>
  <si>
    <t>SP1301.01</t>
  </si>
  <si>
    <t>SP4150.03</t>
  </si>
  <si>
    <t>SP4150.04</t>
  </si>
  <si>
    <t>SP4150.05</t>
  </si>
  <si>
    <t>SP4150.06</t>
  </si>
  <si>
    <t>SP4151</t>
  </si>
  <si>
    <t>SP4250</t>
  </si>
  <si>
    <t>SP4250.00</t>
  </si>
  <si>
    <t>SP473</t>
  </si>
  <si>
    <t>SP5065</t>
  </si>
  <si>
    <t>SP5292</t>
  </si>
  <si>
    <t>SP5381</t>
  </si>
  <si>
    <t>SP5382</t>
  </si>
  <si>
    <t>SP5870.00</t>
  </si>
  <si>
    <t>SP6281.00</t>
  </si>
  <si>
    <t>SP6281.02</t>
  </si>
  <si>
    <t>SP6281.03</t>
  </si>
  <si>
    <t>SP6281.04</t>
  </si>
  <si>
    <t>SP6281.05</t>
  </si>
  <si>
    <t>SP746</t>
  </si>
  <si>
    <t>SP9</t>
  </si>
  <si>
    <t>SP9.00</t>
  </si>
  <si>
    <t>SP1950</t>
  </si>
  <si>
    <t>SP2129</t>
  </si>
  <si>
    <t>SP5291</t>
  </si>
  <si>
    <t>SP5291.00</t>
  </si>
  <si>
    <t>SP6281</t>
  </si>
  <si>
    <t>SP1740</t>
  </si>
  <si>
    <t>SP1798</t>
  </si>
  <si>
    <t>SP157.C</t>
  </si>
  <si>
    <t>SP2150</t>
  </si>
  <si>
    <t>SP2150.01</t>
  </si>
  <si>
    <t>SP2150.02</t>
  </si>
  <si>
    <t>SP2150.03</t>
  </si>
  <si>
    <t>SP2150.04</t>
  </si>
  <si>
    <t>SP2150.05</t>
  </si>
  <si>
    <t>SP2150.06</t>
  </si>
  <si>
    <t>SP2150.07</t>
  </si>
  <si>
    <t>SP2250</t>
  </si>
  <si>
    <t>SP2250.00</t>
  </si>
  <si>
    <t>SP2150.A</t>
  </si>
  <si>
    <t>SP2250.01</t>
  </si>
  <si>
    <t>SP2250.02</t>
  </si>
  <si>
    <t>SP2250.03</t>
  </si>
  <si>
    <t>SP2250.05</t>
  </si>
  <si>
    <t>SP2250.06</t>
  </si>
  <si>
    <t>SP228</t>
  </si>
  <si>
    <t>SP2350</t>
  </si>
  <si>
    <t>SP2350.00</t>
  </si>
  <si>
    <t>SP2350.01</t>
  </si>
  <si>
    <t>SP240</t>
  </si>
  <si>
    <t>SP240.01</t>
  </si>
  <si>
    <t>SP240.02</t>
  </si>
  <si>
    <t>SP52</t>
  </si>
  <si>
    <t>SP941</t>
  </si>
  <si>
    <t>SP941.00</t>
  </si>
  <si>
    <t>SP1039</t>
  </si>
  <si>
    <t>SP1250</t>
  </si>
  <si>
    <t>SP1314</t>
  </si>
  <si>
    <t>SP1361</t>
  </si>
  <si>
    <t>SP1334_1_X1</t>
  </si>
  <si>
    <t>SP450E_1_X1</t>
  </si>
  <si>
    <t>SP28_1_X1</t>
  </si>
  <si>
    <t>SP6817_2_B</t>
  </si>
  <si>
    <t>SP5060_1_X1</t>
  </si>
  <si>
    <t>SP5290_1_X1.00</t>
  </si>
  <si>
    <t>SP2129_1_X1</t>
  </si>
  <si>
    <t>SP295_1_X1</t>
  </si>
  <si>
    <t>SP550_1_X1</t>
  </si>
  <si>
    <t>MULTI-X86G108__1 (01)</t>
  </si>
  <si>
    <t>MULTI-X633G107_X1 (02)</t>
  </si>
  <si>
    <t>STD_X117SP2209_W201_1_X1_</t>
  </si>
  <si>
    <t>SP1150_1_X1</t>
  </si>
  <si>
    <t>SP2374_1_X1</t>
  </si>
  <si>
    <t>SP941_X1.01</t>
  </si>
  <si>
    <t>Verificar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</si>
</sst>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ourier New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1" applyAlignment="1">
      <alignment horizontal="center" vertical="center"/>
    </xf>
    <xf numFmtId="0" fontId="1" fillId="2" borderId="0" xfId="1" applyFill="1" applyAlignment="1">
      <alignment horizontal="center" vertical="center"/>
    </xf>
    <xf numFmtId="2" fontId="1" fillId="3" borderId="0" xfId="1" applyNumberFormat="1" applyFill="1" applyAlignment="1">
      <alignment horizontal="center" vertical="center"/>
    </xf>
    <xf numFmtId="2" fontId="1" fillId="2" borderId="0" xfId="1" applyNumberFormat="1" applyFill="1" applyAlignment="1">
      <alignment horizontal="center" vertical="center"/>
    </xf>
    <xf numFmtId="2" fontId="1" fillId="0" borderId="0" xfId="1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3" fillId="0" borderId="0" xfId="0" applyFont="1"/>
  </cellXfs>
  <cellStyles count="3">
    <cellStyle name="Hiperlink 2" xfId="2" xr:uid="{D7F57672-6467-4B83-8318-7ED269E6A10A}"/>
    <cellStyle name="Normal" xfId="0" builtinId="0"/>
    <cellStyle name="Normal 2" xfId="1" xr:uid="{4FE67B95-8B9E-42B9-9B07-52B4A69C9047}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D453D-AD03-47C7-A7B0-F4DF2D25530B}">
  <dimension ref="A1:BD868"/>
  <sheetViews>
    <sheetView tabSelected="1" zoomScale="70" zoomScaleNormal="70" workbookViewId="0">
      <selection activeCell="B13" sqref="B13"/>
    </sheetView>
  </sheetViews>
  <sheetFormatPr defaultColWidth="5.5546875" defaultRowHeight="15" x14ac:dyDescent="0.25"/>
  <cols>
    <col min="1" max="1" width="48.109375" style="1" bestFit="1" customWidth="1"/>
    <col min="2" max="2" width="26.109375" style="1" bestFit="1" customWidth="1"/>
    <col min="3" max="3" width="9.6640625" style="1" bestFit="1" customWidth="1"/>
    <col min="4" max="4" width="7.21875" style="1" bestFit="1" customWidth="1"/>
    <col min="5" max="5" width="35" style="1" bestFit="1" customWidth="1"/>
    <col min="6" max="6" width="6.77734375" style="1" bestFit="1" customWidth="1"/>
    <col min="7" max="7" width="9.33203125" style="2" bestFit="1" customWidth="1"/>
    <col min="8" max="8" width="9" style="1" bestFit="1" customWidth="1"/>
    <col min="9" max="10" width="5.109375" style="2" bestFit="1" customWidth="1"/>
    <col min="11" max="11" width="16.77734375" style="1" bestFit="1" customWidth="1"/>
    <col min="12" max="20" width="4.21875" style="1" bestFit="1" customWidth="1"/>
    <col min="21" max="21" width="4.21875" style="2" bestFit="1" customWidth="1"/>
    <col min="22" max="23" width="4.21875" style="1" bestFit="1" customWidth="1"/>
    <col min="24" max="24" width="5.109375" style="2" bestFit="1" customWidth="1"/>
    <col min="25" max="25" width="5.109375" style="1" bestFit="1" customWidth="1"/>
    <col min="26" max="27" width="5.109375" style="2" bestFit="1" customWidth="1"/>
    <col min="28" max="28" width="5.109375" style="1" bestFit="1" customWidth="1"/>
    <col min="29" max="37" width="4.21875" style="1" bestFit="1" customWidth="1"/>
    <col min="38" max="38" width="4.21875" style="2" bestFit="1" customWidth="1"/>
    <col min="39" max="40" width="4.21875" style="1" bestFit="1" customWidth="1"/>
    <col min="41" max="41" width="5.109375" style="2" bestFit="1" customWidth="1"/>
    <col min="42" max="42" width="5.109375" style="1" bestFit="1" customWidth="1"/>
    <col min="43" max="44" width="5.109375" style="2" bestFit="1" customWidth="1"/>
    <col min="45" max="45" width="5.109375" style="1" bestFit="1" customWidth="1"/>
    <col min="46" max="46" width="11.77734375" style="1" bestFit="1" customWidth="1"/>
    <col min="47" max="47" width="4.5546875" style="1" bestFit="1" customWidth="1"/>
    <col min="48" max="48" width="11.6640625" style="1" bestFit="1" customWidth="1"/>
    <col min="49" max="49" width="57.33203125" style="1" bestFit="1" customWidth="1"/>
    <col min="50" max="51" width="8.44140625" style="1" bestFit="1" customWidth="1"/>
    <col min="52" max="52" width="6.5546875" style="1" bestFit="1" customWidth="1"/>
    <col min="53" max="53" width="16.109375" style="1" bestFit="1" customWidth="1"/>
    <col min="54" max="54" width="8.5546875" style="1" customWidth="1"/>
    <col min="55" max="55" width="16.5546875" style="1" bestFit="1" customWidth="1"/>
    <col min="56" max="56" width="3.77734375" style="1" bestFit="1" customWidth="1"/>
    <col min="57" max="16384" width="5.5546875" style="1"/>
  </cols>
  <sheetData>
    <row r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3">
        <v>0.35</v>
      </c>
      <c r="M1" s="3">
        <v>0.5</v>
      </c>
      <c r="N1" s="3">
        <v>0.75</v>
      </c>
      <c r="O1" s="3">
        <v>1</v>
      </c>
      <c r="P1" s="3">
        <v>1.5</v>
      </c>
      <c r="Q1" s="3">
        <v>2</v>
      </c>
      <c r="R1" s="3">
        <v>2.5</v>
      </c>
      <c r="S1" s="3">
        <v>3</v>
      </c>
      <c r="T1" s="3">
        <v>4</v>
      </c>
      <c r="U1" s="4">
        <v>5</v>
      </c>
      <c r="V1" s="3">
        <v>6</v>
      </c>
      <c r="W1" s="3">
        <v>8</v>
      </c>
      <c r="X1" s="4">
        <v>10</v>
      </c>
      <c r="Y1" s="3">
        <v>16</v>
      </c>
      <c r="Z1" s="4">
        <v>25</v>
      </c>
      <c r="AA1" s="4">
        <v>30</v>
      </c>
      <c r="AB1" s="3">
        <v>35</v>
      </c>
      <c r="AC1" s="5">
        <v>0.35</v>
      </c>
      <c r="AD1" s="5">
        <v>0.5</v>
      </c>
      <c r="AE1" s="5">
        <v>0.75</v>
      </c>
      <c r="AF1" s="5">
        <v>1</v>
      </c>
      <c r="AG1" s="5">
        <v>1.5</v>
      </c>
      <c r="AH1" s="5">
        <v>2</v>
      </c>
      <c r="AI1" s="5">
        <v>2.5</v>
      </c>
      <c r="AJ1" s="5">
        <v>3</v>
      </c>
      <c r="AK1" s="5">
        <v>4</v>
      </c>
      <c r="AL1" s="4">
        <v>5</v>
      </c>
      <c r="AM1" s="5">
        <v>6</v>
      </c>
      <c r="AN1" s="5">
        <v>8</v>
      </c>
      <c r="AO1" s="4">
        <v>10</v>
      </c>
      <c r="AP1" s="5">
        <v>16</v>
      </c>
      <c r="AQ1" s="4">
        <v>25</v>
      </c>
      <c r="AR1" s="4">
        <v>30</v>
      </c>
      <c r="AS1" s="5">
        <v>35</v>
      </c>
      <c r="AT1" s="1" t="s">
        <v>11</v>
      </c>
      <c r="AU1" s="1" t="s">
        <v>12</v>
      </c>
      <c r="AV1" s="1" t="s">
        <v>13</v>
      </c>
      <c r="AW1" s="1" t="s">
        <v>14</v>
      </c>
      <c r="AX1" s="1" t="s">
        <v>15</v>
      </c>
      <c r="AY1" s="1" t="s">
        <v>5</v>
      </c>
      <c r="AZ1" s="1" t="s">
        <v>16</v>
      </c>
      <c r="BA1" s="1" t="s">
        <v>17</v>
      </c>
      <c r="BC1" s="1" t="str" cm="1">
        <f t="array" ref="BC1:BC14">_xlfn.UNIQUE(H1:H152)</f>
        <v>Termo</v>
      </c>
    </row>
    <row r="2" spans="1:56" x14ac:dyDescent="0.25">
      <c r="A2" s="6" t="s">
        <v>747</v>
      </c>
      <c r="B2" s="6">
        <v>184</v>
      </c>
      <c r="C2" s="6"/>
      <c r="D2" s="6" t="s">
        <v>422</v>
      </c>
      <c r="E2" s="6" t="s">
        <v>401</v>
      </c>
      <c r="F2" s="1" t="s">
        <v>20</v>
      </c>
      <c r="G2" s="6"/>
      <c r="H2" s="6" t="s">
        <v>29</v>
      </c>
      <c r="I2" s="9">
        <v>2.5</v>
      </c>
      <c r="J2" s="9">
        <v>1.5</v>
      </c>
      <c r="K2" s="9">
        <v>4</v>
      </c>
      <c r="L2" s="6">
        <v>0</v>
      </c>
      <c r="M2" s="6">
        <v>0</v>
      </c>
      <c r="N2" s="6">
        <v>2</v>
      </c>
      <c r="O2" s="6">
        <v>1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2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1">
        <v>125</v>
      </c>
      <c r="AU2" s="1" t="s">
        <v>23</v>
      </c>
      <c r="AV2" s="1" t="s">
        <v>24</v>
      </c>
      <c r="AW2" s="1" t="str">
        <f t="shared" ref="AW2:AW6" si="0">_xlfn.CONCAT(F2&amp;G2&amp;H2&amp;K2,IF(I2&gt;J2,_xlfn.TEXTJOIN(,TRUE,L2:AS2),_xlfn.TEXTJOIN(,TRUE,AC2:AS2,L2:AB2)))</f>
        <v>MULTIE1671850040021000000000000000200000000000000</v>
      </c>
      <c r="AX2" s="1">
        <v>1</v>
      </c>
      <c r="AY2" s="1" t="str">
        <f>IF(COUNTIF(AX:AX,AX2)&gt;1,"Comum","Exclusivo")</f>
        <v>Exclusivo</v>
      </c>
      <c r="BA2" s="1" t="s">
        <v>25</v>
      </c>
      <c r="BC2" s="1" t="str">
        <v>E16718500</v>
      </c>
      <c r="BD2" s="1">
        <f>COUNTIF(H:H,BC2)</f>
        <v>38</v>
      </c>
    </row>
    <row r="3" spans="1:56" x14ac:dyDescent="0.25">
      <c r="A3" s="6" t="s">
        <v>747</v>
      </c>
      <c r="B3" s="6">
        <v>186</v>
      </c>
      <c r="C3" s="6"/>
      <c r="D3" s="6" t="s">
        <v>422</v>
      </c>
      <c r="E3" s="6" t="s">
        <v>177</v>
      </c>
      <c r="F3" s="1" t="s">
        <v>20</v>
      </c>
      <c r="G3" s="6"/>
      <c r="H3" s="6" t="s">
        <v>76</v>
      </c>
      <c r="I3" s="9">
        <v>3.5</v>
      </c>
      <c r="J3" s="9">
        <v>3</v>
      </c>
      <c r="K3" s="9">
        <v>6.5</v>
      </c>
      <c r="L3" s="6">
        <v>0</v>
      </c>
      <c r="M3" s="6">
        <v>0</v>
      </c>
      <c r="N3" s="6">
        <v>0</v>
      </c>
      <c r="O3" s="6">
        <v>1</v>
      </c>
      <c r="P3" s="6">
        <v>0</v>
      </c>
      <c r="Q3" s="6">
        <v>0</v>
      </c>
      <c r="R3" s="6">
        <v>1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1</v>
      </c>
      <c r="AE3" s="6">
        <v>0</v>
      </c>
      <c r="AF3" s="6">
        <v>0</v>
      </c>
      <c r="AG3" s="6">
        <v>0</v>
      </c>
      <c r="AH3" s="6">
        <v>0</v>
      </c>
      <c r="AI3" s="6">
        <v>1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1">
        <v>125</v>
      </c>
      <c r="AU3" s="1" t="s">
        <v>23</v>
      </c>
      <c r="AV3" s="1" t="s">
        <v>24</v>
      </c>
      <c r="AW3" s="1" t="str">
        <f t="shared" si="0"/>
        <v>MULTI3299362G26,50001001000000000001000010000000000</v>
      </c>
      <c r="AX3" s="1">
        <f>IF(AW3=AW2,AX2,AX2+1)</f>
        <v>2</v>
      </c>
      <c r="AY3" s="1" t="str">
        <f>IF(COUNTIF(AX:AX,AX3)&gt;1,"Comum","Exclusivo")</f>
        <v>Exclusivo</v>
      </c>
      <c r="BA3" s="1" t="s">
        <v>25</v>
      </c>
      <c r="BC3" s="1" t="str">
        <v>3299362G2</v>
      </c>
      <c r="BD3" s="1">
        <f>COUNTIF(H:H,BC3)</f>
        <v>8</v>
      </c>
    </row>
    <row r="4" spans="1:56" x14ac:dyDescent="0.25">
      <c r="A4" s="6" t="s">
        <v>747</v>
      </c>
      <c r="B4" s="6" t="s">
        <v>66</v>
      </c>
      <c r="C4" s="14"/>
      <c r="D4" s="6" t="s">
        <v>422</v>
      </c>
      <c r="E4" s="6" t="s">
        <v>57</v>
      </c>
      <c r="F4" s="1" t="s">
        <v>20</v>
      </c>
      <c r="G4" s="6"/>
      <c r="H4" s="6" t="s">
        <v>59</v>
      </c>
      <c r="I4" s="9">
        <v>3</v>
      </c>
      <c r="J4" s="9">
        <v>0</v>
      </c>
      <c r="K4" s="9">
        <v>3</v>
      </c>
      <c r="L4" s="6">
        <v>0</v>
      </c>
      <c r="M4" s="6">
        <v>2</v>
      </c>
      <c r="N4" s="6">
        <v>0</v>
      </c>
      <c r="O4" s="6">
        <v>0</v>
      </c>
      <c r="P4" s="6">
        <v>0</v>
      </c>
      <c r="Q4" s="6">
        <v>1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1">
        <v>125</v>
      </c>
      <c r="AU4" s="1" t="s">
        <v>23</v>
      </c>
      <c r="AV4" s="1" t="s">
        <v>24</v>
      </c>
      <c r="AW4" s="1" t="str">
        <f t="shared" si="0"/>
        <v>MULTI3299365JY30200010000000000000000000000000000</v>
      </c>
      <c r="AX4" s="1">
        <f t="shared" ref="AX4:AX6" si="1">IF(AW4=AW3,AX3,AX3+1)</f>
        <v>3</v>
      </c>
      <c r="AY4" s="1" t="str">
        <f>IF(COUNTIF(AX:AX,AX4)&gt;1,"Comum","Exclusivo")</f>
        <v>Exclusivo</v>
      </c>
      <c r="BA4" s="1" t="s">
        <v>25</v>
      </c>
      <c r="BC4" s="1" t="str">
        <v>3299365JY</v>
      </c>
      <c r="BD4" s="1">
        <f>COUNTIF(H:H,BC4)</f>
        <v>39</v>
      </c>
    </row>
    <row r="5" spans="1:56" x14ac:dyDescent="0.25">
      <c r="A5" s="6" t="s">
        <v>747</v>
      </c>
      <c r="B5" s="6" t="s">
        <v>342</v>
      </c>
      <c r="C5" s="6"/>
      <c r="D5" s="6" t="s">
        <v>422</v>
      </c>
      <c r="E5" s="6" t="s">
        <v>756</v>
      </c>
      <c r="F5" s="1" t="s">
        <v>20</v>
      </c>
      <c r="G5" s="6"/>
      <c r="H5" s="6" t="s">
        <v>337</v>
      </c>
      <c r="I5" s="9">
        <v>0</v>
      </c>
      <c r="J5" s="9">
        <v>3</v>
      </c>
      <c r="K5" s="9">
        <v>3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3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1">
        <v>125</v>
      </c>
      <c r="AU5" s="1" t="s">
        <v>23</v>
      </c>
      <c r="AV5" s="1" t="s">
        <v>24</v>
      </c>
      <c r="AW5" s="1" t="str">
        <f t="shared" si="0"/>
        <v>MULTIE1416890030003000000000000000000000000000000</v>
      </c>
      <c r="AX5" s="1">
        <f t="shared" si="1"/>
        <v>4</v>
      </c>
      <c r="AY5" s="1" t="str">
        <f>IF(COUNTIF(AX:AX,AX5)&gt;1,"Comum","Exclusivo")</f>
        <v>Exclusivo</v>
      </c>
      <c r="BA5" s="1" t="s">
        <v>25</v>
      </c>
      <c r="BC5" s="1" t="str">
        <v>E14168900</v>
      </c>
      <c r="BD5" s="1">
        <f>COUNTIF(H:H,BC5)</f>
        <v>12</v>
      </c>
    </row>
    <row r="6" spans="1:56" x14ac:dyDescent="0.25">
      <c r="A6" s="6" t="s">
        <v>747</v>
      </c>
      <c r="B6" s="6" t="s">
        <v>278</v>
      </c>
      <c r="C6" s="6"/>
      <c r="D6" s="6" t="s">
        <v>422</v>
      </c>
      <c r="E6" s="6" t="s">
        <v>757</v>
      </c>
      <c r="F6" s="1" t="s">
        <v>20</v>
      </c>
      <c r="G6" s="6"/>
      <c r="H6" s="6" t="s">
        <v>252</v>
      </c>
      <c r="I6" s="9">
        <v>1.0499999999999998</v>
      </c>
      <c r="J6" s="9">
        <v>0.35</v>
      </c>
      <c r="K6" s="9">
        <v>1.4</v>
      </c>
      <c r="L6" s="6">
        <v>3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1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1">
        <v>125</v>
      </c>
      <c r="AU6" s="1" t="s">
        <v>23</v>
      </c>
      <c r="AV6" s="1" t="s">
        <v>40</v>
      </c>
      <c r="AW6" s="1" t="str">
        <f t="shared" si="0"/>
        <v>MULTIE141688001,43000000000000000010000000000000000</v>
      </c>
      <c r="AX6" s="1">
        <f t="shared" si="1"/>
        <v>5</v>
      </c>
      <c r="AY6" s="1" t="str">
        <f>IF(COUNTIF(AX:AX,AX6)&gt;1,"Comum","Exclusivo")</f>
        <v>Exclusivo</v>
      </c>
      <c r="BA6" s="1" t="s">
        <v>25</v>
      </c>
      <c r="BC6" s="1" t="str">
        <v>E14168800</v>
      </c>
      <c r="BD6" s="1">
        <f>COUNTIF(H:H,BC6)</f>
        <v>89</v>
      </c>
    </row>
    <row r="7" spans="1:56" x14ac:dyDescent="0.25">
      <c r="A7" s="6" t="s">
        <v>747</v>
      </c>
      <c r="B7" s="6" t="s">
        <v>336</v>
      </c>
      <c r="C7" s="6"/>
      <c r="D7" s="6" t="s">
        <v>422</v>
      </c>
      <c r="E7" s="6" t="s">
        <v>758</v>
      </c>
      <c r="G7" s="6"/>
      <c r="H7" s="6" t="s">
        <v>337</v>
      </c>
      <c r="I7" s="9">
        <v>1.0499999999999998</v>
      </c>
      <c r="J7" s="9">
        <v>0.35</v>
      </c>
      <c r="K7" s="9">
        <v>1.4</v>
      </c>
      <c r="L7" s="6">
        <v>3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1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BC7" s="1" t="str">
        <v>E02000700</v>
      </c>
    </row>
    <row r="8" spans="1:56" x14ac:dyDescent="0.25">
      <c r="A8" s="6" t="s">
        <v>747</v>
      </c>
      <c r="B8" s="6" t="s">
        <v>286</v>
      </c>
      <c r="C8" s="6"/>
      <c r="D8" s="6" t="s">
        <v>422</v>
      </c>
      <c r="E8" s="6" t="s">
        <v>759</v>
      </c>
      <c r="G8" s="6"/>
      <c r="H8" s="6" t="s">
        <v>252</v>
      </c>
      <c r="I8" s="9">
        <v>1</v>
      </c>
      <c r="J8" s="9">
        <v>0.5</v>
      </c>
      <c r="K8" s="9">
        <v>1.5</v>
      </c>
      <c r="L8" s="6">
        <v>0</v>
      </c>
      <c r="M8" s="6">
        <v>2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1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BC8" s="1" t="str">
        <v>E01120300</v>
      </c>
    </row>
    <row r="9" spans="1:56" x14ac:dyDescent="0.25">
      <c r="A9" s="6" t="s">
        <v>747</v>
      </c>
      <c r="B9" s="6" t="s">
        <v>294</v>
      </c>
      <c r="C9" s="6"/>
      <c r="D9" s="6" t="s">
        <v>422</v>
      </c>
      <c r="E9" s="6" t="s">
        <v>760</v>
      </c>
      <c r="G9" s="6"/>
      <c r="H9" s="6" t="s">
        <v>252</v>
      </c>
      <c r="I9" s="9">
        <v>1.5</v>
      </c>
      <c r="J9" s="9">
        <v>0</v>
      </c>
      <c r="K9" s="9">
        <v>1.5</v>
      </c>
      <c r="L9" s="6">
        <v>0</v>
      </c>
      <c r="M9" s="6">
        <v>3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BC9" s="1" t="str">
        <v>E14168700</v>
      </c>
    </row>
    <row r="10" spans="1:56" x14ac:dyDescent="0.25">
      <c r="A10" s="6" t="s">
        <v>747</v>
      </c>
      <c r="B10" s="6" t="s">
        <v>288</v>
      </c>
      <c r="C10" s="6"/>
      <c r="D10" s="6" t="s">
        <v>422</v>
      </c>
      <c r="E10" s="6" t="s">
        <v>761</v>
      </c>
      <c r="G10" s="6"/>
      <c r="H10" s="6" t="s">
        <v>252</v>
      </c>
      <c r="I10" s="9">
        <v>1</v>
      </c>
      <c r="J10" s="9">
        <v>0.5</v>
      </c>
      <c r="K10" s="9">
        <v>1.5</v>
      </c>
      <c r="L10" s="6">
        <v>0</v>
      </c>
      <c r="M10" s="6">
        <v>2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1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BC10" s="1">
        <v>0</v>
      </c>
    </row>
    <row r="11" spans="1:56" x14ac:dyDescent="0.25">
      <c r="A11" s="6" t="s">
        <v>747</v>
      </c>
      <c r="B11" s="6" t="s">
        <v>290</v>
      </c>
      <c r="C11" s="6"/>
      <c r="D11" s="6" t="s">
        <v>422</v>
      </c>
      <c r="E11" s="6" t="s">
        <v>762</v>
      </c>
      <c r="G11" s="6"/>
      <c r="H11" s="6" t="s">
        <v>252</v>
      </c>
      <c r="I11" s="9">
        <v>1</v>
      </c>
      <c r="J11" s="9">
        <v>0.5</v>
      </c>
      <c r="K11" s="9">
        <v>1.5</v>
      </c>
      <c r="L11" s="6">
        <v>0</v>
      </c>
      <c r="M11" s="6">
        <v>2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1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BC11" s="1" t="str">
        <v>E14168600</v>
      </c>
    </row>
    <row r="12" spans="1:56" x14ac:dyDescent="0.25">
      <c r="A12" s="6" t="s">
        <v>747</v>
      </c>
      <c r="B12" s="6" t="s">
        <v>340</v>
      </c>
      <c r="C12" s="6"/>
      <c r="D12" s="6" t="s">
        <v>422</v>
      </c>
      <c r="E12" s="6" t="s">
        <v>763</v>
      </c>
      <c r="G12" s="6"/>
      <c r="H12" s="6" t="s">
        <v>337</v>
      </c>
      <c r="I12" s="9">
        <v>0.35</v>
      </c>
      <c r="J12" s="9">
        <v>2.9</v>
      </c>
      <c r="K12" s="9">
        <v>3.25</v>
      </c>
      <c r="L12" s="6">
        <v>1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4</v>
      </c>
      <c r="AD12" s="6">
        <v>1</v>
      </c>
      <c r="AE12" s="6">
        <v>0</v>
      </c>
      <c r="AF12" s="6">
        <v>1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BC12" s="1" t="str">
        <v>E15320400</v>
      </c>
    </row>
    <row r="13" spans="1:56" x14ac:dyDescent="0.25">
      <c r="A13" s="6" t="s">
        <v>747</v>
      </c>
      <c r="B13" s="6" t="s">
        <v>312</v>
      </c>
      <c r="C13" s="6"/>
      <c r="D13" s="6" t="s">
        <v>422</v>
      </c>
      <c r="E13" s="6" t="s">
        <v>764</v>
      </c>
      <c r="G13" s="6"/>
      <c r="H13" s="6" t="s">
        <v>252</v>
      </c>
      <c r="I13" s="9">
        <v>1.95</v>
      </c>
      <c r="J13" s="9">
        <v>0.35</v>
      </c>
      <c r="K13" s="9">
        <v>2.2999999999999998</v>
      </c>
      <c r="L13" s="6">
        <v>2</v>
      </c>
      <c r="M13" s="6">
        <v>1</v>
      </c>
      <c r="N13" s="6">
        <v>1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BC13" s="1" t="str">
        <v>3299362M9</v>
      </c>
    </row>
    <row r="14" spans="1:56" x14ac:dyDescent="0.25">
      <c r="A14" s="6" t="s">
        <v>747</v>
      </c>
      <c r="B14" s="6" t="s">
        <v>96</v>
      </c>
      <c r="C14" s="6"/>
      <c r="D14" s="6" t="s">
        <v>422</v>
      </c>
      <c r="E14" s="6" t="s">
        <v>765</v>
      </c>
      <c r="G14" s="6"/>
      <c r="H14" s="6" t="s">
        <v>84</v>
      </c>
      <c r="I14" s="9">
        <v>1.0499999999999998</v>
      </c>
      <c r="J14" s="9">
        <v>1.4</v>
      </c>
      <c r="K14" s="9">
        <v>2.4499999999999997</v>
      </c>
      <c r="L14" s="6">
        <v>3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4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BC14" s="1" t="str">
        <v>E16725300</v>
      </c>
    </row>
    <row r="15" spans="1:56" x14ac:dyDescent="0.25">
      <c r="A15" s="6" t="s">
        <v>747</v>
      </c>
      <c r="B15" s="6" t="s">
        <v>211</v>
      </c>
      <c r="C15" s="6"/>
      <c r="D15" s="6" t="s">
        <v>422</v>
      </c>
      <c r="E15" s="6" t="s">
        <v>766</v>
      </c>
      <c r="G15" s="6"/>
      <c r="H15" s="6" t="s">
        <v>84</v>
      </c>
      <c r="I15" s="9">
        <v>1.5</v>
      </c>
      <c r="J15" s="9">
        <v>0</v>
      </c>
      <c r="K15" s="9">
        <v>1.5</v>
      </c>
      <c r="L15" s="6">
        <v>0</v>
      </c>
      <c r="M15" s="6">
        <v>3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</row>
    <row r="16" spans="1:56" x14ac:dyDescent="0.25">
      <c r="A16" s="6" t="s">
        <v>747</v>
      </c>
      <c r="B16" s="6" t="s">
        <v>316</v>
      </c>
      <c r="C16" s="6"/>
      <c r="D16" s="6" t="s">
        <v>422</v>
      </c>
      <c r="E16" s="6" t="s">
        <v>767</v>
      </c>
      <c r="G16" s="6"/>
      <c r="H16" s="6" t="s">
        <v>252</v>
      </c>
      <c r="I16" s="9">
        <v>1</v>
      </c>
      <c r="J16" s="9">
        <v>1.75</v>
      </c>
      <c r="K16" s="9">
        <v>2.75</v>
      </c>
      <c r="L16" s="6">
        <v>0</v>
      </c>
      <c r="M16" s="6">
        <v>0</v>
      </c>
      <c r="N16" s="6">
        <v>0</v>
      </c>
      <c r="O16" s="6">
        <v>1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1</v>
      </c>
      <c r="AF16" s="6">
        <v>1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</row>
    <row r="17" spans="1:45" x14ac:dyDescent="0.25">
      <c r="A17" s="6" t="s">
        <v>747</v>
      </c>
      <c r="B17" s="6" t="s">
        <v>187</v>
      </c>
      <c r="C17" s="6"/>
      <c r="D17" s="6" t="s">
        <v>422</v>
      </c>
      <c r="E17" s="6" t="s">
        <v>768</v>
      </c>
      <c r="G17" s="6"/>
      <c r="H17" s="6" t="s">
        <v>82</v>
      </c>
      <c r="I17" s="9">
        <v>15</v>
      </c>
      <c r="J17" s="9">
        <v>0</v>
      </c>
      <c r="K17" s="9">
        <v>15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6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</row>
    <row r="18" spans="1:45" x14ac:dyDescent="0.25">
      <c r="A18" s="6" t="s">
        <v>747</v>
      </c>
      <c r="B18" s="6" t="s">
        <v>317</v>
      </c>
      <c r="C18" s="6"/>
      <c r="D18" s="6" t="s">
        <v>422</v>
      </c>
      <c r="E18" s="6" t="s">
        <v>769</v>
      </c>
      <c r="G18" s="6"/>
      <c r="H18" s="6" t="s">
        <v>252</v>
      </c>
      <c r="I18" s="9">
        <v>1</v>
      </c>
      <c r="J18" s="9">
        <v>1.75</v>
      </c>
      <c r="K18" s="9">
        <v>2.75</v>
      </c>
      <c r="L18" s="6">
        <v>0</v>
      </c>
      <c r="M18" s="6">
        <v>0</v>
      </c>
      <c r="N18" s="6">
        <v>0</v>
      </c>
      <c r="O18" s="6">
        <v>1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1</v>
      </c>
      <c r="AF18" s="6">
        <v>1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</row>
    <row r="19" spans="1:45" x14ac:dyDescent="0.25">
      <c r="A19" s="6" t="s">
        <v>747</v>
      </c>
      <c r="B19" s="6" t="s">
        <v>248</v>
      </c>
      <c r="C19" s="6"/>
      <c r="D19" s="6" t="s">
        <v>422</v>
      </c>
      <c r="E19" s="6" t="s">
        <v>770</v>
      </c>
      <c r="G19" s="6"/>
      <c r="H19" s="6" t="s">
        <v>94</v>
      </c>
      <c r="I19" s="9">
        <v>0.7</v>
      </c>
      <c r="J19" s="9">
        <v>0.35</v>
      </c>
      <c r="K19" s="9">
        <v>1.0499999999999998</v>
      </c>
      <c r="L19" s="6">
        <v>2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1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</row>
    <row r="20" spans="1:45" x14ac:dyDescent="0.25">
      <c r="A20" s="6" t="s">
        <v>747</v>
      </c>
      <c r="B20" s="6" t="s">
        <v>195</v>
      </c>
      <c r="C20" s="6"/>
      <c r="D20" s="6" t="s">
        <v>422</v>
      </c>
      <c r="E20" s="6" t="s">
        <v>771</v>
      </c>
      <c r="G20" s="6"/>
      <c r="H20" s="6" t="s">
        <v>84</v>
      </c>
      <c r="I20" s="9">
        <v>0.7</v>
      </c>
      <c r="J20" s="9">
        <v>0.35</v>
      </c>
      <c r="K20" s="9">
        <v>1.0499999999999998</v>
      </c>
      <c r="L20" s="6">
        <v>2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1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</row>
    <row r="21" spans="1:45" x14ac:dyDescent="0.25">
      <c r="A21" s="6" t="s">
        <v>747</v>
      </c>
      <c r="B21" s="6" t="s">
        <v>306</v>
      </c>
      <c r="C21" s="6"/>
      <c r="D21" s="6" t="s">
        <v>422</v>
      </c>
      <c r="E21" s="6" t="s">
        <v>772</v>
      </c>
      <c r="G21" s="6"/>
      <c r="H21" s="6" t="s">
        <v>252</v>
      </c>
      <c r="I21" s="9">
        <v>1.4</v>
      </c>
      <c r="J21" s="9">
        <v>0.7</v>
      </c>
      <c r="K21" s="9">
        <v>2.0999999999999996</v>
      </c>
      <c r="L21" s="6">
        <v>4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2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</row>
    <row r="22" spans="1:45" x14ac:dyDescent="0.25">
      <c r="A22" s="6" t="s">
        <v>747</v>
      </c>
      <c r="B22" s="6" t="s">
        <v>297</v>
      </c>
      <c r="C22" s="6"/>
      <c r="D22" s="6" t="s">
        <v>422</v>
      </c>
      <c r="E22" s="6" t="s">
        <v>773</v>
      </c>
      <c r="G22" s="6"/>
      <c r="H22" s="6" t="s">
        <v>252</v>
      </c>
      <c r="I22" s="9">
        <v>1.0499999999999998</v>
      </c>
      <c r="J22" s="9">
        <v>0.7</v>
      </c>
      <c r="K22" s="9">
        <v>1.7499999999999998</v>
      </c>
      <c r="L22" s="6">
        <v>3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2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</row>
    <row r="23" spans="1:45" x14ac:dyDescent="0.25">
      <c r="A23" s="6" t="s">
        <v>747</v>
      </c>
      <c r="B23" s="6" t="s">
        <v>280</v>
      </c>
      <c r="C23" s="6"/>
      <c r="D23" s="6" t="s">
        <v>422</v>
      </c>
      <c r="E23" s="6" t="s">
        <v>774</v>
      </c>
      <c r="G23" s="6"/>
      <c r="H23" s="6" t="s">
        <v>252</v>
      </c>
      <c r="I23" s="9">
        <v>1.0499999999999998</v>
      </c>
      <c r="J23" s="9">
        <v>0.35</v>
      </c>
      <c r="K23" s="9">
        <v>1.4</v>
      </c>
      <c r="L23" s="6">
        <v>3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1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</row>
    <row r="24" spans="1:45" x14ac:dyDescent="0.25">
      <c r="A24" s="6" t="s">
        <v>747</v>
      </c>
      <c r="B24" s="6" t="s">
        <v>302</v>
      </c>
      <c r="C24" s="6"/>
      <c r="D24" s="6" t="s">
        <v>422</v>
      </c>
      <c r="E24" s="6" t="s">
        <v>775</v>
      </c>
      <c r="G24" s="6"/>
      <c r="H24" s="6" t="s">
        <v>252</v>
      </c>
      <c r="I24" s="9">
        <v>1.4</v>
      </c>
      <c r="J24" s="9">
        <v>0.35</v>
      </c>
      <c r="K24" s="9">
        <v>1.75</v>
      </c>
      <c r="L24" s="6">
        <v>4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1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</row>
    <row r="25" spans="1:45" x14ac:dyDescent="0.25">
      <c r="A25" s="6" t="s">
        <v>747</v>
      </c>
      <c r="B25" s="6" t="s">
        <v>103</v>
      </c>
      <c r="C25" s="6"/>
      <c r="D25" s="6" t="s">
        <v>422</v>
      </c>
      <c r="E25" s="6" t="s">
        <v>776</v>
      </c>
      <c r="G25" s="6"/>
      <c r="H25" s="6" t="s">
        <v>84</v>
      </c>
      <c r="I25" s="9">
        <v>0.5</v>
      </c>
      <c r="J25" s="9">
        <v>1.75</v>
      </c>
      <c r="K25" s="9">
        <v>2.25</v>
      </c>
      <c r="L25" s="6">
        <v>0</v>
      </c>
      <c r="M25" s="6">
        <v>1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5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</row>
    <row r="26" spans="1:45" x14ac:dyDescent="0.25">
      <c r="A26" s="6" t="s">
        <v>747</v>
      </c>
      <c r="B26" s="6" t="s">
        <v>203</v>
      </c>
      <c r="C26" s="6"/>
      <c r="D26" s="6" t="s">
        <v>422</v>
      </c>
      <c r="E26" s="6" t="s">
        <v>777</v>
      </c>
      <c r="G26" s="6"/>
      <c r="H26" s="6" t="s">
        <v>84</v>
      </c>
      <c r="I26" s="9">
        <v>0.35</v>
      </c>
      <c r="J26" s="9">
        <v>1</v>
      </c>
      <c r="K26" s="9">
        <v>1.35</v>
      </c>
      <c r="L26" s="6">
        <v>1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2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</row>
    <row r="27" spans="1:45" x14ac:dyDescent="0.25">
      <c r="A27" s="6" t="s">
        <v>747</v>
      </c>
      <c r="B27" s="6" t="s">
        <v>291</v>
      </c>
      <c r="C27" s="6"/>
      <c r="D27" s="6" t="s">
        <v>422</v>
      </c>
      <c r="E27" s="6" t="s">
        <v>778</v>
      </c>
      <c r="G27" s="6"/>
      <c r="H27" s="6" t="s">
        <v>252</v>
      </c>
      <c r="I27" s="9">
        <v>0.5</v>
      </c>
      <c r="J27" s="9">
        <v>1</v>
      </c>
      <c r="K27" s="9">
        <v>1.5</v>
      </c>
      <c r="L27" s="6">
        <v>0</v>
      </c>
      <c r="M27" s="6">
        <v>1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2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</row>
    <row r="28" spans="1:45" x14ac:dyDescent="0.25">
      <c r="A28" s="6" t="s">
        <v>747</v>
      </c>
      <c r="B28" s="6" t="s">
        <v>209</v>
      </c>
      <c r="C28" s="6"/>
      <c r="D28" s="6" t="s">
        <v>422</v>
      </c>
      <c r="E28" s="6" t="s">
        <v>779</v>
      </c>
      <c r="G28" s="6"/>
      <c r="H28" s="6" t="s">
        <v>84</v>
      </c>
      <c r="I28" s="9">
        <v>0.35</v>
      </c>
      <c r="J28" s="9">
        <v>1.0499999999999998</v>
      </c>
      <c r="K28" s="9">
        <v>1.4</v>
      </c>
      <c r="L28" s="6">
        <v>1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3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</row>
    <row r="29" spans="1:45" x14ac:dyDescent="0.25">
      <c r="A29" s="6" t="s">
        <v>747</v>
      </c>
      <c r="B29" s="6" t="s">
        <v>250</v>
      </c>
      <c r="C29" s="6"/>
      <c r="D29" s="6" t="s">
        <v>422</v>
      </c>
      <c r="E29" s="6" t="s">
        <v>780</v>
      </c>
      <c r="G29" s="6"/>
      <c r="H29" s="6" t="s">
        <v>252</v>
      </c>
      <c r="I29" s="9">
        <v>0.7</v>
      </c>
      <c r="J29" s="9">
        <v>0.35</v>
      </c>
      <c r="K29" s="9">
        <v>1.0499999999999998</v>
      </c>
      <c r="L29" s="6">
        <v>2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1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</row>
    <row r="30" spans="1:45" x14ac:dyDescent="0.25">
      <c r="A30" s="6" t="s">
        <v>747</v>
      </c>
      <c r="B30" s="6" t="s">
        <v>298</v>
      </c>
      <c r="C30" s="6"/>
      <c r="D30" s="6" t="s">
        <v>422</v>
      </c>
      <c r="E30" s="6" t="s">
        <v>781</v>
      </c>
      <c r="G30" s="6"/>
      <c r="H30" s="6" t="s">
        <v>252</v>
      </c>
      <c r="I30" s="9">
        <v>0.7</v>
      </c>
      <c r="J30" s="9">
        <v>1.0499999999999998</v>
      </c>
      <c r="K30" s="9">
        <v>1.7499999999999998</v>
      </c>
      <c r="L30" s="6">
        <v>2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3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</row>
    <row r="31" spans="1:45" x14ac:dyDescent="0.25">
      <c r="A31" s="6" t="s">
        <v>747</v>
      </c>
      <c r="B31" s="6" t="s">
        <v>299</v>
      </c>
      <c r="C31" s="6"/>
      <c r="D31" s="6" t="s">
        <v>422</v>
      </c>
      <c r="E31" s="6" t="s">
        <v>782</v>
      </c>
      <c r="G31" s="6"/>
      <c r="H31" s="6" t="s">
        <v>252</v>
      </c>
      <c r="I31" s="9">
        <v>0.7</v>
      </c>
      <c r="J31" s="9">
        <v>1.0499999999999998</v>
      </c>
      <c r="K31" s="9">
        <v>1.7499999999999998</v>
      </c>
      <c r="L31" s="6">
        <v>2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3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</row>
    <row r="32" spans="1:45" x14ac:dyDescent="0.25">
      <c r="A32" s="6" t="s">
        <v>747</v>
      </c>
      <c r="B32" s="6" t="s">
        <v>253</v>
      </c>
      <c r="C32" s="6"/>
      <c r="D32" s="6" t="s">
        <v>422</v>
      </c>
      <c r="E32" s="6" t="s">
        <v>783</v>
      </c>
      <c r="G32" s="6"/>
      <c r="H32" s="6" t="s">
        <v>252</v>
      </c>
      <c r="I32" s="9">
        <v>0.35</v>
      </c>
      <c r="J32" s="9">
        <v>0.7</v>
      </c>
      <c r="K32" s="9">
        <v>1.0499999999999998</v>
      </c>
      <c r="L32" s="6">
        <v>1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2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</row>
    <row r="33" spans="1:45" x14ac:dyDescent="0.25">
      <c r="A33" s="6" t="s">
        <v>747</v>
      </c>
      <c r="B33" s="6" t="s">
        <v>255</v>
      </c>
      <c r="C33" s="6"/>
      <c r="D33" s="6" t="s">
        <v>422</v>
      </c>
      <c r="E33" s="6" t="s">
        <v>784</v>
      </c>
      <c r="G33" s="6"/>
      <c r="H33" s="6" t="s">
        <v>252</v>
      </c>
      <c r="I33" s="9">
        <v>0.35</v>
      </c>
      <c r="J33" s="9">
        <v>0.7</v>
      </c>
      <c r="K33" s="9">
        <v>1.0499999999999998</v>
      </c>
      <c r="L33" s="6">
        <v>1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2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</row>
    <row r="34" spans="1:45" x14ac:dyDescent="0.25">
      <c r="A34" s="6" t="s">
        <v>747</v>
      </c>
      <c r="B34" s="6" t="s">
        <v>282</v>
      </c>
      <c r="C34" s="6"/>
      <c r="D34" s="6" t="s">
        <v>422</v>
      </c>
      <c r="E34" s="6" t="s">
        <v>785</v>
      </c>
      <c r="G34" s="6"/>
      <c r="H34" s="6" t="s">
        <v>252</v>
      </c>
      <c r="I34" s="9">
        <v>0.35</v>
      </c>
      <c r="J34" s="9">
        <v>1.0499999999999998</v>
      </c>
      <c r="K34" s="9">
        <v>1.4</v>
      </c>
      <c r="L34" s="6">
        <v>1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3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</row>
    <row r="35" spans="1:45" x14ac:dyDescent="0.25">
      <c r="A35" s="6" t="s">
        <v>747</v>
      </c>
      <c r="B35" s="6" t="s">
        <v>257</v>
      </c>
      <c r="C35" s="6"/>
      <c r="D35" s="6" t="s">
        <v>422</v>
      </c>
      <c r="E35" s="6" t="s">
        <v>786</v>
      </c>
      <c r="G35" s="6"/>
      <c r="H35" s="6" t="s">
        <v>252</v>
      </c>
      <c r="I35" s="9">
        <v>0.7</v>
      </c>
      <c r="J35" s="9">
        <v>0.35</v>
      </c>
      <c r="K35" s="9">
        <v>1.0499999999999998</v>
      </c>
      <c r="L35" s="6">
        <v>2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1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</row>
    <row r="36" spans="1:45" x14ac:dyDescent="0.25">
      <c r="A36" s="6" t="s">
        <v>747</v>
      </c>
      <c r="B36" s="6" t="s">
        <v>98</v>
      </c>
      <c r="C36" s="6"/>
      <c r="D36" s="6" t="s">
        <v>422</v>
      </c>
      <c r="E36" s="6" t="s">
        <v>787</v>
      </c>
      <c r="G36" s="6"/>
      <c r="H36" s="6" t="s">
        <v>252</v>
      </c>
      <c r="I36" s="9">
        <v>1.5</v>
      </c>
      <c r="J36" s="9">
        <v>0</v>
      </c>
      <c r="K36" s="9">
        <v>1.5</v>
      </c>
      <c r="L36" s="6">
        <v>0</v>
      </c>
      <c r="M36" s="6">
        <v>3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</row>
    <row r="37" spans="1:45" x14ac:dyDescent="0.25">
      <c r="A37" s="6" t="s">
        <v>747</v>
      </c>
      <c r="B37" s="6" t="s">
        <v>267</v>
      </c>
      <c r="C37" s="6"/>
      <c r="D37" s="6" t="s">
        <v>422</v>
      </c>
      <c r="E37" s="6" t="s">
        <v>788</v>
      </c>
      <c r="G37" s="6"/>
      <c r="H37" s="6" t="s">
        <v>252</v>
      </c>
      <c r="I37" s="9">
        <v>0.85</v>
      </c>
      <c r="J37" s="9">
        <v>0.35</v>
      </c>
      <c r="K37" s="9">
        <v>1.2</v>
      </c>
      <c r="L37" s="6">
        <v>1</v>
      </c>
      <c r="M37" s="6">
        <v>1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1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</row>
    <row r="38" spans="1:45" x14ac:dyDescent="0.25">
      <c r="A38" s="6" t="s">
        <v>747</v>
      </c>
      <c r="B38" s="6" t="s">
        <v>321</v>
      </c>
      <c r="C38" s="6"/>
      <c r="D38" s="6" t="s">
        <v>422</v>
      </c>
      <c r="E38" s="6" t="s">
        <v>789</v>
      </c>
      <c r="G38" s="6"/>
      <c r="H38" s="6" t="s">
        <v>252</v>
      </c>
      <c r="I38" s="9">
        <v>2.5</v>
      </c>
      <c r="J38" s="9">
        <v>1.5</v>
      </c>
      <c r="K38" s="9">
        <v>4</v>
      </c>
      <c r="L38" s="6">
        <v>0</v>
      </c>
      <c r="M38" s="6">
        <v>0</v>
      </c>
      <c r="N38" s="6">
        <v>2</v>
      </c>
      <c r="O38" s="6">
        <v>1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2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</row>
    <row r="39" spans="1:45" x14ac:dyDescent="0.25">
      <c r="A39" s="6" t="s">
        <v>747</v>
      </c>
      <c r="B39" s="6" t="s">
        <v>295</v>
      </c>
      <c r="C39" s="6"/>
      <c r="D39" s="6" t="s">
        <v>422</v>
      </c>
      <c r="E39" s="6" t="s">
        <v>790</v>
      </c>
      <c r="G39" s="6"/>
      <c r="H39" s="6" t="s">
        <v>252</v>
      </c>
      <c r="I39" s="9">
        <v>1.5</v>
      </c>
      <c r="J39" s="9">
        <v>0</v>
      </c>
      <c r="K39" s="9">
        <v>1.5</v>
      </c>
      <c r="L39" s="6">
        <v>0</v>
      </c>
      <c r="M39" s="6">
        <v>3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</row>
    <row r="40" spans="1:45" x14ac:dyDescent="0.25">
      <c r="A40" s="6" t="s">
        <v>747</v>
      </c>
      <c r="B40" s="6" t="s">
        <v>322</v>
      </c>
      <c r="C40" s="6"/>
      <c r="D40" s="6" t="s">
        <v>422</v>
      </c>
      <c r="E40" s="6" t="s">
        <v>791</v>
      </c>
      <c r="G40" s="6"/>
      <c r="H40" s="6" t="s">
        <v>252</v>
      </c>
      <c r="I40" s="9">
        <v>3.5</v>
      </c>
      <c r="J40" s="9">
        <v>2</v>
      </c>
      <c r="K40" s="9">
        <v>5.5</v>
      </c>
      <c r="L40" s="6">
        <v>0</v>
      </c>
      <c r="M40" s="6">
        <v>1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1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2</v>
      </c>
      <c r="AE40" s="6">
        <v>0</v>
      </c>
      <c r="AF40" s="6">
        <v>1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</row>
    <row r="41" spans="1:45" x14ac:dyDescent="0.25">
      <c r="A41" s="6" t="s">
        <v>747</v>
      </c>
      <c r="B41" s="6" t="s">
        <v>331</v>
      </c>
      <c r="C41" s="6"/>
      <c r="D41" s="6" t="s">
        <v>422</v>
      </c>
      <c r="E41" s="6" t="s">
        <v>792</v>
      </c>
      <c r="G41" s="6"/>
      <c r="H41" s="6" t="s">
        <v>252</v>
      </c>
      <c r="I41" s="9">
        <v>4</v>
      </c>
      <c r="J41" s="9">
        <v>2</v>
      </c>
      <c r="K41" s="9">
        <v>6</v>
      </c>
      <c r="L41" s="6">
        <v>0</v>
      </c>
      <c r="M41" s="6">
        <v>2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1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2</v>
      </c>
      <c r="AE41" s="6">
        <v>0</v>
      </c>
      <c r="AF41" s="6">
        <v>1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</row>
    <row r="42" spans="1:45" x14ac:dyDescent="0.25">
      <c r="A42" s="6" t="s">
        <v>747</v>
      </c>
      <c r="B42" s="6" t="s">
        <v>330</v>
      </c>
      <c r="C42" s="6"/>
      <c r="D42" s="6" t="s">
        <v>422</v>
      </c>
      <c r="E42" s="6" t="s">
        <v>793</v>
      </c>
      <c r="G42" s="6"/>
      <c r="H42" s="6" t="s">
        <v>252</v>
      </c>
      <c r="I42" s="9">
        <v>5.5</v>
      </c>
      <c r="J42" s="9">
        <v>1</v>
      </c>
      <c r="K42" s="9">
        <v>6.5</v>
      </c>
      <c r="L42" s="6">
        <v>0</v>
      </c>
      <c r="M42" s="6">
        <v>3</v>
      </c>
      <c r="N42" s="6">
        <v>0</v>
      </c>
      <c r="O42" s="6">
        <v>1</v>
      </c>
      <c r="P42" s="6">
        <v>0</v>
      </c>
      <c r="Q42" s="6">
        <v>0</v>
      </c>
      <c r="R42" s="6">
        <v>0</v>
      </c>
      <c r="S42" s="6">
        <v>1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2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</row>
    <row r="43" spans="1:45" x14ac:dyDescent="0.25">
      <c r="A43" s="6" t="s">
        <v>747</v>
      </c>
      <c r="B43" s="6" t="s">
        <v>332</v>
      </c>
      <c r="C43" s="6"/>
      <c r="D43" s="6" t="s">
        <v>422</v>
      </c>
      <c r="E43" s="6" t="s">
        <v>794</v>
      </c>
      <c r="G43" s="6"/>
      <c r="H43" s="6" t="s">
        <v>252</v>
      </c>
      <c r="I43" s="9">
        <v>4</v>
      </c>
      <c r="J43" s="9">
        <v>2</v>
      </c>
      <c r="K43" s="9">
        <v>6</v>
      </c>
      <c r="L43" s="6">
        <v>0</v>
      </c>
      <c r="M43" s="6">
        <v>2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1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2</v>
      </c>
      <c r="AE43" s="6">
        <v>0</v>
      </c>
      <c r="AF43" s="6">
        <v>1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</row>
    <row r="44" spans="1:45" x14ac:dyDescent="0.25">
      <c r="A44" s="6" t="s">
        <v>747</v>
      </c>
      <c r="B44" s="6" t="s">
        <v>335</v>
      </c>
      <c r="C44" s="6"/>
      <c r="D44" s="6" t="s">
        <v>422</v>
      </c>
      <c r="E44" s="6" t="s">
        <v>795</v>
      </c>
      <c r="G44" s="6"/>
      <c r="H44" s="6" t="s">
        <v>252</v>
      </c>
      <c r="I44" s="9">
        <v>5.5</v>
      </c>
      <c r="J44" s="9">
        <v>0.5</v>
      </c>
      <c r="K44" s="9">
        <v>6</v>
      </c>
      <c r="L44" s="6">
        <v>0</v>
      </c>
      <c r="M44" s="6">
        <v>3</v>
      </c>
      <c r="N44" s="6">
        <v>0</v>
      </c>
      <c r="O44" s="6">
        <v>1</v>
      </c>
      <c r="P44" s="6">
        <v>0</v>
      </c>
      <c r="Q44" s="6">
        <v>0</v>
      </c>
      <c r="R44" s="6">
        <v>0</v>
      </c>
      <c r="S44" s="6">
        <v>1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1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</row>
    <row r="45" spans="1:45" x14ac:dyDescent="0.25">
      <c r="A45" s="6" t="s">
        <v>747</v>
      </c>
      <c r="B45" s="6" t="s">
        <v>333</v>
      </c>
      <c r="C45" s="6"/>
      <c r="D45" s="6" t="s">
        <v>422</v>
      </c>
      <c r="E45" s="6" t="s">
        <v>796</v>
      </c>
      <c r="G45" s="6"/>
      <c r="H45" s="6" t="s">
        <v>252</v>
      </c>
      <c r="I45" s="9">
        <v>4</v>
      </c>
      <c r="J45" s="9">
        <v>2</v>
      </c>
      <c r="K45" s="9">
        <v>6</v>
      </c>
      <c r="L45" s="6">
        <v>0</v>
      </c>
      <c r="M45" s="6">
        <v>2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1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2</v>
      </c>
      <c r="AE45" s="6">
        <v>0</v>
      </c>
      <c r="AF45" s="6">
        <v>1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</row>
    <row r="46" spans="1:45" x14ac:dyDescent="0.25">
      <c r="A46" s="6" t="s">
        <v>747</v>
      </c>
      <c r="B46" s="6" t="s">
        <v>327</v>
      </c>
      <c r="C46" s="6"/>
      <c r="D46" s="6" t="s">
        <v>422</v>
      </c>
      <c r="E46" s="6" t="s">
        <v>797</v>
      </c>
      <c r="G46" s="6"/>
      <c r="H46" s="6" t="s">
        <v>252</v>
      </c>
      <c r="I46" s="9">
        <v>4.5</v>
      </c>
      <c r="J46" s="9">
        <v>2</v>
      </c>
      <c r="K46" s="9">
        <v>6.5</v>
      </c>
      <c r="L46" s="6">
        <v>0</v>
      </c>
      <c r="M46" s="6">
        <v>3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1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2</v>
      </c>
      <c r="AE46" s="6">
        <v>0</v>
      </c>
      <c r="AF46" s="6">
        <v>1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</row>
    <row r="47" spans="1:45" x14ac:dyDescent="0.25">
      <c r="A47" s="6" t="s">
        <v>747</v>
      </c>
      <c r="B47" s="6" t="s">
        <v>102</v>
      </c>
      <c r="C47" s="6"/>
      <c r="D47" s="6" t="s">
        <v>422</v>
      </c>
      <c r="E47" s="6" t="s">
        <v>798</v>
      </c>
      <c r="G47" s="6"/>
      <c r="H47" s="6" t="s">
        <v>337</v>
      </c>
      <c r="I47" s="9">
        <v>0</v>
      </c>
      <c r="J47" s="9">
        <v>3</v>
      </c>
      <c r="K47" s="9">
        <v>3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3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</row>
    <row r="48" spans="1:45" x14ac:dyDescent="0.25">
      <c r="A48" s="6" t="s">
        <v>747</v>
      </c>
      <c r="B48" s="6" t="s">
        <v>323</v>
      </c>
      <c r="C48" s="6"/>
      <c r="D48" s="6" t="s">
        <v>422</v>
      </c>
      <c r="E48" s="6" t="s">
        <v>799</v>
      </c>
      <c r="G48" s="6"/>
      <c r="H48" s="6" t="s">
        <v>252</v>
      </c>
      <c r="I48" s="9">
        <v>3.5</v>
      </c>
      <c r="J48" s="9">
        <v>2</v>
      </c>
      <c r="K48" s="9">
        <v>5.5</v>
      </c>
      <c r="L48" s="6">
        <v>0</v>
      </c>
      <c r="M48" s="6">
        <v>1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1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2</v>
      </c>
      <c r="AE48" s="6">
        <v>0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</row>
    <row r="49" spans="1:45" x14ac:dyDescent="0.25">
      <c r="A49" s="6" t="s">
        <v>747</v>
      </c>
      <c r="B49" s="6" t="s">
        <v>334</v>
      </c>
      <c r="C49" s="6"/>
      <c r="D49" s="6" t="s">
        <v>422</v>
      </c>
      <c r="E49" s="6" t="s">
        <v>800</v>
      </c>
      <c r="G49" s="6"/>
      <c r="H49" s="6" t="s">
        <v>252</v>
      </c>
      <c r="I49" s="9">
        <v>5</v>
      </c>
      <c r="J49" s="9">
        <v>1</v>
      </c>
      <c r="K49" s="9">
        <v>6</v>
      </c>
      <c r="L49" s="6">
        <v>0</v>
      </c>
      <c r="M49" s="6">
        <v>2</v>
      </c>
      <c r="N49" s="6">
        <v>0</v>
      </c>
      <c r="O49" s="6">
        <v>1</v>
      </c>
      <c r="P49" s="6">
        <v>0</v>
      </c>
      <c r="Q49" s="6">
        <v>0</v>
      </c>
      <c r="R49" s="6">
        <v>0</v>
      </c>
      <c r="S49" s="6">
        <v>1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2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</row>
    <row r="50" spans="1:45" x14ac:dyDescent="0.25">
      <c r="A50" s="6" t="s">
        <v>747</v>
      </c>
      <c r="B50" s="6" t="s">
        <v>328</v>
      </c>
      <c r="C50" s="6"/>
      <c r="D50" s="6" t="s">
        <v>422</v>
      </c>
      <c r="E50" s="6" t="s">
        <v>801</v>
      </c>
      <c r="G50" s="6"/>
      <c r="H50" s="6" t="s">
        <v>252</v>
      </c>
      <c r="I50" s="9">
        <v>4.5</v>
      </c>
      <c r="J50" s="9">
        <v>2</v>
      </c>
      <c r="K50" s="9">
        <v>6.5</v>
      </c>
      <c r="L50" s="6">
        <v>0</v>
      </c>
      <c r="M50" s="6">
        <v>3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1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2</v>
      </c>
      <c r="AE50" s="6">
        <v>0</v>
      </c>
      <c r="AF50" s="6">
        <v>1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</row>
    <row r="51" spans="1:45" x14ac:dyDescent="0.25">
      <c r="A51" s="6" t="s">
        <v>747</v>
      </c>
      <c r="B51" s="6" t="s">
        <v>329</v>
      </c>
      <c r="C51" s="6"/>
      <c r="D51" s="6" t="s">
        <v>422</v>
      </c>
      <c r="E51" s="6" t="s">
        <v>802</v>
      </c>
      <c r="G51" s="6"/>
      <c r="H51" s="6" t="s">
        <v>252</v>
      </c>
      <c r="I51" s="9">
        <v>4.5</v>
      </c>
      <c r="J51" s="9">
        <v>2</v>
      </c>
      <c r="K51" s="9">
        <v>6.5</v>
      </c>
      <c r="L51" s="6">
        <v>0</v>
      </c>
      <c r="M51" s="6">
        <v>3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1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2</v>
      </c>
      <c r="AE51" s="6">
        <v>0</v>
      </c>
      <c r="AF51" s="6">
        <v>1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</row>
    <row r="52" spans="1:45" x14ac:dyDescent="0.25">
      <c r="A52" s="6" t="s">
        <v>747</v>
      </c>
      <c r="B52" s="6" t="s">
        <v>324</v>
      </c>
      <c r="C52" s="6"/>
      <c r="D52" s="6" t="s">
        <v>422</v>
      </c>
      <c r="E52" s="6" t="s">
        <v>803</v>
      </c>
      <c r="G52" s="6"/>
      <c r="H52" s="6" t="s">
        <v>252</v>
      </c>
      <c r="I52" s="9">
        <v>3.5</v>
      </c>
      <c r="J52" s="9">
        <v>2</v>
      </c>
      <c r="K52" s="9">
        <v>5.5</v>
      </c>
      <c r="L52" s="6">
        <v>0</v>
      </c>
      <c r="M52" s="6">
        <v>1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1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2</v>
      </c>
      <c r="AE52" s="6">
        <v>0</v>
      </c>
      <c r="AF52" s="6">
        <v>1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</row>
    <row r="53" spans="1:45" x14ac:dyDescent="0.25">
      <c r="A53" s="6" t="s">
        <v>747</v>
      </c>
      <c r="B53" s="6" t="s">
        <v>292</v>
      </c>
      <c r="C53" s="6"/>
      <c r="D53" s="6" t="s">
        <v>422</v>
      </c>
      <c r="E53" s="6" t="s">
        <v>804</v>
      </c>
      <c r="G53" s="6"/>
      <c r="H53" s="6" t="s">
        <v>252</v>
      </c>
      <c r="I53" s="9">
        <v>0.5</v>
      </c>
      <c r="J53" s="9">
        <v>1</v>
      </c>
      <c r="K53" s="9">
        <v>1.5</v>
      </c>
      <c r="L53" s="6">
        <v>0</v>
      </c>
      <c r="M53" s="6">
        <v>1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2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</row>
    <row r="54" spans="1:45" x14ac:dyDescent="0.25">
      <c r="A54" s="6" t="s">
        <v>747</v>
      </c>
      <c r="B54" s="6" t="s">
        <v>273</v>
      </c>
      <c r="C54" s="6"/>
      <c r="D54" s="6" t="s">
        <v>422</v>
      </c>
      <c r="E54" s="6" t="s">
        <v>805</v>
      </c>
      <c r="G54" s="6"/>
      <c r="H54" s="6" t="s">
        <v>252</v>
      </c>
      <c r="I54" s="9">
        <v>0.5</v>
      </c>
      <c r="J54" s="9">
        <v>0.85</v>
      </c>
      <c r="K54" s="9">
        <v>1.35</v>
      </c>
      <c r="L54" s="6">
        <v>0</v>
      </c>
      <c r="M54" s="6">
        <v>1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1</v>
      </c>
      <c r="AD54" s="6">
        <v>1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</row>
    <row r="55" spans="1:45" x14ac:dyDescent="0.25">
      <c r="A55" s="6" t="s">
        <v>747</v>
      </c>
      <c r="B55" s="6" t="s">
        <v>308</v>
      </c>
      <c r="C55" s="6"/>
      <c r="D55" s="6" t="s">
        <v>422</v>
      </c>
      <c r="E55" s="6" t="s">
        <v>806</v>
      </c>
      <c r="G55" s="6"/>
      <c r="H55" s="6" t="s">
        <v>252</v>
      </c>
      <c r="I55" s="9">
        <v>1.0499999999999998</v>
      </c>
      <c r="J55" s="9">
        <v>1.2</v>
      </c>
      <c r="K55" s="9">
        <v>2.25</v>
      </c>
      <c r="L55" s="6">
        <v>3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2</v>
      </c>
      <c r="AD55" s="6">
        <v>1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</row>
    <row r="56" spans="1:45" x14ac:dyDescent="0.25">
      <c r="A56" s="6" t="s">
        <v>747</v>
      </c>
      <c r="B56" s="6" t="s">
        <v>314</v>
      </c>
      <c r="C56" s="6"/>
      <c r="D56" s="6" t="s">
        <v>422</v>
      </c>
      <c r="E56" s="6" t="s">
        <v>807</v>
      </c>
      <c r="G56" s="6"/>
      <c r="H56" s="6" t="s">
        <v>252</v>
      </c>
      <c r="I56" s="9">
        <v>0.7</v>
      </c>
      <c r="J56" s="9">
        <v>1.9</v>
      </c>
      <c r="K56" s="9">
        <v>2.5999999999999996</v>
      </c>
      <c r="L56" s="6">
        <v>2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4</v>
      </c>
      <c r="AD56" s="6">
        <v>1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</row>
    <row r="57" spans="1:45" x14ac:dyDescent="0.25">
      <c r="A57" s="6" t="s">
        <v>747</v>
      </c>
      <c r="B57" s="6" t="s">
        <v>315</v>
      </c>
      <c r="C57" s="6"/>
      <c r="D57" s="6" t="s">
        <v>422</v>
      </c>
      <c r="E57" s="6" t="s">
        <v>808</v>
      </c>
      <c r="G57" s="6"/>
      <c r="H57" s="6" t="s">
        <v>252</v>
      </c>
      <c r="I57" s="9">
        <v>0.7</v>
      </c>
      <c r="J57" s="9">
        <v>1.9</v>
      </c>
      <c r="K57" s="9">
        <v>2.5999999999999996</v>
      </c>
      <c r="L57" s="6">
        <v>2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4</v>
      </c>
      <c r="AD57" s="6">
        <v>1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</row>
    <row r="58" spans="1:45" x14ac:dyDescent="0.25">
      <c r="A58" s="6" t="s">
        <v>747</v>
      </c>
      <c r="B58" s="6" t="s">
        <v>108</v>
      </c>
      <c r="C58" s="6"/>
      <c r="D58" s="6" t="s">
        <v>422</v>
      </c>
      <c r="E58" s="6" t="s">
        <v>809</v>
      </c>
      <c r="G58" s="6"/>
      <c r="H58" s="6" t="s">
        <v>84</v>
      </c>
      <c r="I58" s="9">
        <v>0</v>
      </c>
      <c r="J58" s="9">
        <v>4</v>
      </c>
      <c r="K58" s="9">
        <v>4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4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</row>
    <row r="59" spans="1:45" x14ac:dyDescent="0.25">
      <c r="A59" s="6" t="s">
        <v>747</v>
      </c>
      <c r="B59" s="6" t="s">
        <v>309</v>
      </c>
      <c r="C59" s="6"/>
      <c r="D59" s="6" t="s">
        <v>422</v>
      </c>
      <c r="E59" s="6" t="s">
        <v>810</v>
      </c>
      <c r="G59" s="6"/>
      <c r="H59" s="6" t="s">
        <v>252</v>
      </c>
      <c r="I59" s="9">
        <v>1.0499999999999998</v>
      </c>
      <c r="J59" s="9">
        <v>1.2</v>
      </c>
      <c r="K59" s="9">
        <v>2.25</v>
      </c>
      <c r="L59" s="6">
        <v>3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2</v>
      </c>
      <c r="AD59" s="6">
        <v>1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</row>
    <row r="60" spans="1:45" x14ac:dyDescent="0.25">
      <c r="A60" s="6" t="s">
        <v>747</v>
      </c>
      <c r="B60" s="6" t="s">
        <v>310</v>
      </c>
      <c r="C60" s="6"/>
      <c r="D60" s="6" t="s">
        <v>422</v>
      </c>
      <c r="E60" s="6" t="s">
        <v>811</v>
      </c>
      <c r="G60" s="6"/>
      <c r="H60" s="6" t="s">
        <v>252</v>
      </c>
      <c r="I60" s="9">
        <v>0.7</v>
      </c>
      <c r="J60" s="9">
        <v>1.5499999999999998</v>
      </c>
      <c r="K60" s="9">
        <v>2.25</v>
      </c>
      <c r="L60" s="6">
        <v>2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3</v>
      </c>
      <c r="AD60" s="6">
        <v>1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</row>
    <row r="61" spans="1:45" x14ac:dyDescent="0.25">
      <c r="A61" s="6" t="s">
        <v>747</v>
      </c>
      <c r="B61" s="6" t="s">
        <v>311</v>
      </c>
      <c r="C61" s="6"/>
      <c r="D61" s="6" t="s">
        <v>422</v>
      </c>
      <c r="E61" s="6" t="s">
        <v>812</v>
      </c>
      <c r="G61" s="6"/>
      <c r="H61" s="6" t="s">
        <v>252</v>
      </c>
      <c r="I61" s="9">
        <v>0.7</v>
      </c>
      <c r="J61" s="9">
        <v>1.5499999999999998</v>
      </c>
      <c r="K61" s="9">
        <v>2.25</v>
      </c>
      <c r="L61" s="6">
        <v>2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3</v>
      </c>
      <c r="AD61" s="6">
        <v>1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</row>
    <row r="62" spans="1:45" x14ac:dyDescent="0.25">
      <c r="A62" s="6" t="s">
        <v>747</v>
      </c>
      <c r="B62" s="6" t="s">
        <v>313</v>
      </c>
      <c r="C62" s="6"/>
      <c r="D62" s="6" t="s">
        <v>422</v>
      </c>
      <c r="E62" s="6" t="s">
        <v>813</v>
      </c>
      <c r="G62" s="6"/>
      <c r="H62" s="6" t="s">
        <v>252</v>
      </c>
      <c r="I62" s="9">
        <v>1.0499999999999998</v>
      </c>
      <c r="J62" s="9">
        <v>1.5499999999999998</v>
      </c>
      <c r="K62" s="9">
        <v>2.5999999999999996</v>
      </c>
      <c r="L62" s="6">
        <v>3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3</v>
      </c>
      <c r="AD62" s="6">
        <v>1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</row>
    <row r="63" spans="1:45" x14ac:dyDescent="0.25">
      <c r="A63" s="6" t="s">
        <v>747</v>
      </c>
      <c r="B63" s="6" t="s">
        <v>269</v>
      </c>
      <c r="C63" s="6"/>
      <c r="D63" s="6" t="s">
        <v>422</v>
      </c>
      <c r="E63" s="6" t="s">
        <v>814</v>
      </c>
      <c r="G63" s="6"/>
      <c r="H63" s="6" t="s">
        <v>252</v>
      </c>
      <c r="I63" s="9">
        <v>0.5</v>
      </c>
      <c r="J63" s="9">
        <v>0.7</v>
      </c>
      <c r="K63" s="9">
        <v>1.2</v>
      </c>
      <c r="L63" s="6">
        <v>0</v>
      </c>
      <c r="M63" s="6">
        <v>1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2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</row>
    <row r="64" spans="1:45" x14ac:dyDescent="0.25">
      <c r="A64" s="6" t="s">
        <v>747</v>
      </c>
      <c r="B64" s="6" t="s">
        <v>271</v>
      </c>
      <c r="C64" s="6"/>
      <c r="D64" s="6" t="s">
        <v>422</v>
      </c>
      <c r="E64" s="6" t="s">
        <v>815</v>
      </c>
      <c r="G64" s="6"/>
      <c r="H64" s="6" t="s">
        <v>252</v>
      </c>
      <c r="I64" s="9">
        <v>0.7</v>
      </c>
      <c r="J64" s="9">
        <v>0.5</v>
      </c>
      <c r="K64" s="9">
        <v>1.2</v>
      </c>
      <c r="L64" s="6">
        <v>2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1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</row>
    <row r="65" spans="1:45" x14ac:dyDescent="0.25">
      <c r="A65" s="6" t="s">
        <v>747</v>
      </c>
      <c r="B65" s="6" t="s">
        <v>296</v>
      </c>
      <c r="C65" s="6"/>
      <c r="D65" s="6" t="s">
        <v>422</v>
      </c>
      <c r="E65" s="6" t="s">
        <v>816</v>
      </c>
      <c r="G65" s="6"/>
      <c r="H65" s="6" t="s">
        <v>252</v>
      </c>
      <c r="I65" s="9">
        <v>0.7</v>
      </c>
      <c r="J65" s="9">
        <v>0.85</v>
      </c>
      <c r="K65" s="9">
        <v>1.5499999999999998</v>
      </c>
      <c r="L65" s="6">
        <v>2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1</v>
      </c>
      <c r="AD65" s="6">
        <v>1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</row>
    <row r="66" spans="1:45" x14ac:dyDescent="0.25">
      <c r="A66" s="6" t="s">
        <v>747</v>
      </c>
      <c r="B66" s="6" t="s">
        <v>197</v>
      </c>
      <c r="C66" s="6"/>
      <c r="D66" s="6" t="s">
        <v>422</v>
      </c>
      <c r="E66" s="6" t="s">
        <v>817</v>
      </c>
      <c r="G66" s="6"/>
      <c r="H66" s="6" t="s">
        <v>84</v>
      </c>
      <c r="I66" s="9">
        <v>0.35</v>
      </c>
      <c r="J66" s="9">
        <v>0.7</v>
      </c>
      <c r="K66" s="9">
        <v>1.0499999999999998</v>
      </c>
      <c r="L66" s="6">
        <v>1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2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</row>
    <row r="67" spans="1:45" x14ac:dyDescent="0.25">
      <c r="A67" s="6" t="s">
        <v>747</v>
      </c>
      <c r="B67" s="6" t="s">
        <v>259</v>
      </c>
      <c r="C67" s="6"/>
      <c r="D67" s="6" t="s">
        <v>422</v>
      </c>
      <c r="E67" s="6" t="s">
        <v>818</v>
      </c>
      <c r="G67" s="6"/>
      <c r="H67" s="6" t="s">
        <v>252</v>
      </c>
      <c r="I67" s="9">
        <v>0.7</v>
      </c>
      <c r="J67" s="9">
        <v>0.35</v>
      </c>
      <c r="K67" s="9">
        <v>1.0499999999999998</v>
      </c>
      <c r="L67" s="6">
        <v>2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1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</row>
    <row r="68" spans="1:45" x14ac:dyDescent="0.25">
      <c r="A68" s="6" t="s">
        <v>747</v>
      </c>
      <c r="B68" s="6" t="s">
        <v>293</v>
      </c>
      <c r="C68" s="6"/>
      <c r="D68" s="6" t="s">
        <v>422</v>
      </c>
      <c r="E68" s="6" t="s">
        <v>819</v>
      </c>
      <c r="G68" s="6"/>
      <c r="H68" s="6" t="s">
        <v>252</v>
      </c>
      <c r="I68" s="9">
        <v>0.5</v>
      </c>
      <c r="J68" s="9">
        <v>1</v>
      </c>
      <c r="K68" s="9">
        <v>1.5</v>
      </c>
      <c r="L68" s="6">
        <v>0</v>
      </c>
      <c r="M68" s="6">
        <v>1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2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</row>
    <row r="69" spans="1:45" x14ac:dyDescent="0.25">
      <c r="A69" s="6" t="s">
        <v>747</v>
      </c>
      <c r="B69" s="6" t="s">
        <v>213</v>
      </c>
      <c r="C69" s="6"/>
      <c r="D69" s="6" t="s">
        <v>422</v>
      </c>
      <c r="E69" s="6" t="s">
        <v>820</v>
      </c>
      <c r="G69" s="6"/>
      <c r="H69" s="6" t="s">
        <v>84</v>
      </c>
      <c r="I69" s="9">
        <v>0</v>
      </c>
      <c r="J69" s="9">
        <v>1.5</v>
      </c>
      <c r="K69" s="9">
        <v>1.5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3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</row>
    <row r="70" spans="1:45" x14ac:dyDescent="0.25">
      <c r="A70" s="6" t="s">
        <v>747</v>
      </c>
      <c r="B70" s="6" t="s">
        <v>207</v>
      </c>
      <c r="C70" s="6"/>
      <c r="D70" s="6" t="s">
        <v>422</v>
      </c>
      <c r="E70" s="6" t="s">
        <v>821</v>
      </c>
      <c r="G70" s="6"/>
      <c r="H70" s="6" t="s">
        <v>84</v>
      </c>
      <c r="I70" s="9">
        <v>0.5</v>
      </c>
      <c r="J70" s="9">
        <v>0.85</v>
      </c>
      <c r="K70" s="9">
        <v>1.35</v>
      </c>
      <c r="L70" s="6">
        <v>0</v>
      </c>
      <c r="M70" s="6">
        <v>1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1</v>
      </c>
      <c r="AD70" s="6">
        <v>1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</row>
    <row r="71" spans="1:45" x14ac:dyDescent="0.25">
      <c r="A71" s="6" t="s">
        <v>747</v>
      </c>
      <c r="B71" s="6" t="s">
        <v>300</v>
      </c>
      <c r="C71" s="6"/>
      <c r="D71" s="6" t="s">
        <v>422</v>
      </c>
      <c r="E71" s="6" t="s">
        <v>770</v>
      </c>
      <c r="G71" s="6"/>
      <c r="H71" s="6" t="s">
        <v>252</v>
      </c>
      <c r="I71" s="9">
        <v>1.0499999999999998</v>
      </c>
      <c r="J71" s="9">
        <v>0.7</v>
      </c>
      <c r="K71" s="9">
        <v>1.7499999999999998</v>
      </c>
      <c r="L71" s="6">
        <v>3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2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</row>
    <row r="72" spans="1:45" x14ac:dyDescent="0.25">
      <c r="A72" s="6" t="s">
        <v>747</v>
      </c>
      <c r="B72" s="6" t="s">
        <v>307</v>
      </c>
      <c r="C72" s="6"/>
      <c r="D72" s="6" t="s">
        <v>422</v>
      </c>
      <c r="E72" s="6" t="s">
        <v>822</v>
      </c>
      <c r="G72" s="6"/>
      <c r="H72" s="6" t="s">
        <v>252</v>
      </c>
      <c r="I72" s="9">
        <v>1.4</v>
      </c>
      <c r="J72" s="9">
        <v>0.7</v>
      </c>
      <c r="K72" s="9">
        <v>2.0999999999999996</v>
      </c>
      <c r="L72" s="6">
        <v>4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2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</row>
    <row r="73" spans="1:45" x14ac:dyDescent="0.25">
      <c r="A73" s="6" t="s">
        <v>747</v>
      </c>
      <c r="B73" s="6" t="s">
        <v>275</v>
      </c>
      <c r="C73" s="6"/>
      <c r="D73" s="6" t="s">
        <v>422</v>
      </c>
      <c r="E73" s="6" t="s">
        <v>823</v>
      </c>
      <c r="G73" s="6"/>
      <c r="H73" s="6" t="s">
        <v>252</v>
      </c>
      <c r="I73" s="9">
        <v>0.7</v>
      </c>
      <c r="J73" s="9">
        <v>0.7</v>
      </c>
      <c r="K73" s="9">
        <v>1.4</v>
      </c>
      <c r="L73" s="6">
        <v>2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2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</row>
    <row r="74" spans="1:45" x14ac:dyDescent="0.25">
      <c r="A74" s="6" t="s">
        <v>747</v>
      </c>
      <c r="B74" s="6" t="s">
        <v>261</v>
      </c>
      <c r="C74" s="6"/>
      <c r="D74" s="6" t="s">
        <v>422</v>
      </c>
      <c r="E74" s="6" t="s">
        <v>824</v>
      </c>
      <c r="G74" s="6"/>
      <c r="H74" s="6" t="s">
        <v>252</v>
      </c>
      <c r="I74" s="9">
        <v>0.7</v>
      </c>
      <c r="J74" s="9">
        <v>0.35</v>
      </c>
      <c r="K74" s="9">
        <v>1.0499999999999998</v>
      </c>
      <c r="L74" s="6">
        <v>2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1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</row>
    <row r="75" spans="1:45" x14ac:dyDescent="0.25">
      <c r="A75" s="6" t="s">
        <v>747</v>
      </c>
      <c r="B75" s="6" t="s">
        <v>301</v>
      </c>
      <c r="C75" s="6"/>
      <c r="D75" s="6" t="s">
        <v>422</v>
      </c>
      <c r="E75" s="6" t="s">
        <v>825</v>
      </c>
      <c r="G75" s="6"/>
      <c r="H75" s="6" t="s">
        <v>252</v>
      </c>
      <c r="I75" s="9">
        <v>1.0499999999999998</v>
      </c>
      <c r="J75" s="9">
        <v>0.7</v>
      </c>
      <c r="K75" s="9">
        <v>1.7499999999999998</v>
      </c>
      <c r="L75" s="6">
        <v>3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2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</row>
    <row r="76" spans="1:45" x14ac:dyDescent="0.25">
      <c r="A76" s="6" t="s">
        <v>747</v>
      </c>
      <c r="B76" s="6" t="s">
        <v>263</v>
      </c>
      <c r="C76" s="6"/>
      <c r="D76" s="6" t="s">
        <v>422</v>
      </c>
      <c r="E76" s="6" t="s">
        <v>826</v>
      </c>
      <c r="G76" s="6"/>
      <c r="H76" s="6" t="s">
        <v>252</v>
      </c>
      <c r="I76" s="9">
        <v>0.7</v>
      </c>
      <c r="J76" s="9">
        <v>0.35</v>
      </c>
      <c r="K76" s="9">
        <v>1.0499999999999998</v>
      </c>
      <c r="L76" s="6">
        <v>2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1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</row>
    <row r="77" spans="1:45" x14ac:dyDescent="0.25">
      <c r="A77" s="6" t="s">
        <v>747</v>
      </c>
      <c r="B77" s="6" t="s">
        <v>304</v>
      </c>
      <c r="C77" s="6"/>
      <c r="D77" s="6" t="s">
        <v>422</v>
      </c>
      <c r="E77" s="6" t="s">
        <v>827</v>
      </c>
      <c r="G77" s="6"/>
      <c r="H77" s="6" t="s">
        <v>252</v>
      </c>
      <c r="I77" s="9">
        <v>1.2</v>
      </c>
      <c r="J77" s="9">
        <v>0.7</v>
      </c>
      <c r="K77" s="9">
        <v>1.9</v>
      </c>
      <c r="L77" s="6">
        <v>2</v>
      </c>
      <c r="M77" s="6">
        <v>1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2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</row>
    <row r="78" spans="1:45" x14ac:dyDescent="0.25">
      <c r="A78" s="6" t="s">
        <v>747</v>
      </c>
      <c r="B78" s="6" t="s">
        <v>242</v>
      </c>
      <c r="C78" s="6"/>
      <c r="D78" s="6" t="s">
        <v>422</v>
      </c>
      <c r="E78" s="6" t="s">
        <v>772</v>
      </c>
      <c r="G78" s="6" t="s">
        <v>92</v>
      </c>
      <c r="H78" s="8"/>
      <c r="I78" s="9">
        <v>0.7</v>
      </c>
      <c r="J78" s="9">
        <v>0</v>
      </c>
      <c r="K78" s="9">
        <v>0.7</v>
      </c>
      <c r="L78" s="6">
        <v>2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</row>
    <row r="79" spans="1:45" x14ac:dyDescent="0.25">
      <c r="A79" s="6" t="s">
        <v>747</v>
      </c>
      <c r="B79" s="6" t="s">
        <v>276</v>
      </c>
      <c r="C79" s="6"/>
      <c r="D79" s="6" t="s">
        <v>422</v>
      </c>
      <c r="E79" s="6" t="s">
        <v>828</v>
      </c>
      <c r="G79" s="6"/>
      <c r="H79" s="6" t="s">
        <v>252</v>
      </c>
      <c r="I79" s="9">
        <v>0.7</v>
      </c>
      <c r="J79" s="9">
        <v>0.7</v>
      </c>
      <c r="K79" s="9">
        <v>1.4</v>
      </c>
      <c r="L79" s="6">
        <v>2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2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</row>
    <row r="80" spans="1:45" x14ac:dyDescent="0.25">
      <c r="A80" s="6" t="s">
        <v>747</v>
      </c>
      <c r="B80" s="6" t="s">
        <v>303</v>
      </c>
      <c r="C80" s="6"/>
      <c r="D80" s="6" t="s">
        <v>422</v>
      </c>
      <c r="E80" s="6" t="s">
        <v>829</v>
      </c>
      <c r="G80" s="6"/>
      <c r="H80" s="6" t="s">
        <v>252</v>
      </c>
      <c r="I80" s="9">
        <v>1.4</v>
      </c>
      <c r="J80" s="9">
        <v>0.35</v>
      </c>
      <c r="K80" s="9">
        <v>1.75</v>
      </c>
      <c r="L80" s="6">
        <v>4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1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</row>
    <row r="81" spans="1:45" x14ac:dyDescent="0.25">
      <c r="A81" s="6" t="s">
        <v>747</v>
      </c>
      <c r="B81" s="6" t="s">
        <v>284</v>
      </c>
      <c r="C81" s="6"/>
      <c r="D81" s="6" t="s">
        <v>422</v>
      </c>
      <c r="E81" s="6" t="s">
        <v>830</v>
      </c>
      <c r="G81" s="6"/>
      <c r="H81" s="6" t="s">
        <v>252</v>
      </c>
      <c r="I81" s="9">
        <v>1.0499999999999998</v>
      </c>
      <c r="J81" s="9">
        <v>0.35</v>
      </c>
      <c r="K81" s="9">
        <v>1.4</v>
      </c>
      <c r="L81" s="6">
        <v>3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1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</row>
    <row r="82" spans="1:45" x14ac:dyDescent="0.25">
      <c r="A82" s="6" t="s">
        <v>747</v>
      </c>
      <c r="B82" s="6" t="s">
        <v>217</v>
      </c>
      <c r="C82" s="6"/>
      <c r="D82" s="6" t="s">
        <v>422</v>
      </c>
      <c r="E82" s="6" t="s">
        <v>823</v>
      </c>
      <c r="G82" s="6"/>
      <c r="H82" s="6" t="s">
        <v>84</v>
      </c>
      <c r="I82" s="9">
        <v>0.85</v>
      </c>
      <c r="J82" s="9">
        <v>0.85</v>
      </c>
      <c r="K82" s="9">
        <v>1.7</v>
      </c>
      <c r="L82" s="6">
        <v>1</v>
      </c>
      <c r="M82" s="6">
        <v>1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1</v>
      </c>
      <c r="AD82" s="6">
        <v>1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</row>
    <row r="83" spans="1:45" x14ac:dyDescent="0.25">
      <c r="A83" s="6" t="s">
        <v>747</v>
      </c>
      <c r="B83" s="6" t="s">
        <v>232</v>
      </c>
      <c r="C83" s="6"/>
      <c r="D83" s="6" t="s">
        <v>422</v>
      </c>
      <c r="E83" s="6" t="s">
        <v>831</v>
      </c>
      <c r="G83" s="6"/>
      <c r="H83" s="6" t="s">
        <v>84</v>
      </c>
      <c r="I83" s="9">
        <v>2</v>
      </c>
      <c r="J83" s="9">
        <v>2</v>
      </c>
      <c r="K83" s="9">
        <v>4</v>
      </c>
      <c r="L83" s="6">
        <v>0</v>
      </c>
      <c r="M83" s="6">
        <v>0</v>
      </c>
      <c r="N83" s="6">
        <v>0</v>
      </c>
      <c r="O83" s="6">
        <v>2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2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</row>
    <row r="84" spans="1:45" x14ac:dyDescent="0.25">
      <c r="A84" s="6" t="s">
        <v>747</v>
      </c>
      <c r="B84" s="6" t="s">
        <v>224</v>
      </c>
      <c r="C84" s="6"/>
      <c r="D84" s="6" t="s">
        <v>422</v>
      </c>
      <c r="E84" s="6" t="s">
        <v>832</v>
      </c>
      <c r="G84" s="6"/>
      <c r="H84" s="6" t="s">
        <v>84</v>
      </c>
      <c r="I84" s="9">
        <v>1</v>
      </c>
      <c r="J84" s="9">
        <v>1</v>
      </c>
      <c r="K84" s="9">
        <v>2</v>
      </c>
      <c r="L84" s="6">
        <v>0</v>
      </c>
      <c r="M84" s="6">
        <v>2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2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</row>
    <row r="85" spans="1:45" x14ac:dyDescent="0.25">
      <c r="A85" s="6" t="s">
        <v>747</v>
      </c>
      <c r="B85" s="6" t="s">
        <v>238</v>
      </c>
      <c r="C85" s="6"/>
      <c r="D85" s="6" t="s">
        <v>422</v>
      </c>
      <c r="E85" s="6" t="s">
        <v>833</v>
      </c>
      <c r="G85" s="6"/>
      <c r="H85" s="6" t="s">
        <v>84</v>
      </c>
      <c r="I85" s="9">
        <v>3.25</v>
      </c>
      <c r="J85" s="9">
        <v>3</v>
      </c>
      <c r="K85" s="9">
        <v>6.25</v>
      </c>
      <c r="L85" s="6">
        <v>0</v>
      </c>
      <c r="M85" s="6">
        <v>0</v>
      </c>
      <c r="N85" s="6">
        <v>3</v>
      </c>
      <c r="O85" s="6">
        <v>1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3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</row>
    <row r="86" spans="1:45" x14ac:dyDescent="0.25">
      <c r="A86" s="6" t="s">
        <v>747</v>
      </c>
      <c r="B86" s="6" t="s">
        <v>236</v>
      </c>
      <c r="C86" s="6"/>
      <c r="D86" s="6" t="s">
        <v>422</v>
      </c>
      <c r="E86" s="6" t="s">
        <v>834</v>
      </c>
      <c r="G86" s="6"/>
      <c r="H86" s="6" t="s">
        <v>84</v>
      </c>
      <c r="I86" s="9">
        <v>3</v>
      </c>
      <c r="J86" s="9">
        <v>2.5</v>
      </c>
      <c r="K86" s="9">
        <v>5.5</v>
      </c>
      <c r="L86" s="6">
        <v>0</v>
      </c>
      <c r="M86" s="6">
        <v>0</v>
      </c>
      <c r="N86" s="6">
        <v>0</v>
      </c>
      <c r="O86" s="6">
        <v>3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3</v>
      </c>
      <c r="AE86" s="6">
        <v>0</v>
      </c>
      <c r="AF86" s="6">
        <v>1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</row>
    <row r="87" spans="1:45" x14ac:dyDescent="0.25">
      <c r="A87" s="6" t="s">
        <v>747</v>
      </c>
      <c r="B87" s="6" t="s">
        <v>244</v>
      </c>
      <c r="C87" s="6"/>
      <c r="D87" s="6" t="s">
        <v>422</v>
      </c>
      <c r="E87" s="6" t="s">
        <v>819</v>
      </c>
      <c r="G87" s="6"/>
      <c r="H87" s="6" t="s">
        <v>92</v>
      </c>
      <c r="I87" s="9">
        <v>3</v>
      </c>
      <c r="J87" s="9">
        <v>1</v>
      </c>
      <c r="K87" s="9">
        <v>4</v>
      </c>
      <c r="L87" s="6">
        <v>0</v>
      </c>
      <c r="M87" s="6">
        <v>6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2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</row>
    <row r="88" spans="1:45" x14ac:dyDescent="0.25">
      <c r="A88" s="6" t="s">
        <v>747</v>
      </c>
      <c r="B88" s="6" t="s">
        <v>219</v>
      </c>
      <c r="C88" s="6"/>
      <c r="D88" s="6" t="s">
        <v>422</v>
      </c>
      <c r="E88" s="6" t="s">
        <v>220</v>
      </c>
      <c r="G88" s="6"/>
      <c r="H88" s="6" t="s">
        <v>84</v>
      </c>
      <c r="I88" s="9">
        <v>1</v>
      </c>
      <c r="J88" s="9">
        <v>0.85</v>
      </c>
      <c r="K88" s="9">
        <v>1.85</v>
      </c>
      <c r="L88" s="6">
        <v>0</v>
      </c>
      <c r="M88" s="6">
        <v>2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1</v>
      </c>
      <c r="AD88" s="6">
        <v>1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</row>
    <row r="89" spans="1:45" x14ac:dyDescent="0.25">
      <c r="A89" s="6" t="s">
        <v>747</v>
      </c>
      <c r="B89" s="6" t="s">
        <v>234</v>
      </c>
      <c r="C89" s="6"/>
      <c r="D89" s="6" t="s">
        <v>422</v>
      </c>
      <c r="E89" s="6" t="s">
        <v>831</v>
      </c>
      <c r="G89" s="6"/>
      <c r="H89" s="6" t="s">
        <v>84</v>
      </c>
      <c r="I89" s="9">
        <v>3</v>
      </c>
      <c r="J89" s="9">
        <v>1</v>
      </c>
      <c r="K89" s="9">
        <v>4</v>
      </c>
      <c r="L89" s="6">
        <v>0</v>
      </c>
      <c r="M89" s="6">
        <v>0</v>
      </c>
      <c r="N89" s="6">
        <v>0</v>
      </c>
      <c r="O89" s="6">
        <v>3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1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</row>
    <row r="90" spans="1:45" x14ac:dyDescent="0.25">
      <c r="A90" s="6" t="s">
        <v>747</v>
      </c>
      <c r="B90" s="6" t="s">
        <v>229</v>
      </c>
      <c r="C90" s="6"/>
      <c r="D90" s="6" t="s">
        <v>422</v>
      </c>
      <c r="E90" s="6" t="s">
        <v>832</v>
      </c>
      <c r="G90" s="6"/>
      <c r="H90" s="6" t="s">
        <v>84</v>
      </c>
      <c r="I90" s="9">
        <v>1.5</v>
      </c>
      <c r="J90" s="9">
        <v>0.5</v>
      </c>
      <c r="K90" s="9">
        <v>2</v>
      </c>
      <c r="L90" s="6">
        <v>0</v>
      </c>
      <c r="M90" s="6">
        <v>3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1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</row>
    <row r="91" spans="1:45" x14ac:dyDescent="0.25">
      <c r="A91" s="6" t="s">
        <v>747</v>
      </c>
      <c r="B91" s="6" t="s">
        <v>226</v>
      </c>
      <c r="C91" s="6"/>
      <c r="D91" s="6" t="s">
        <v>422</v>
      </c>
      <c r="E91" s="6" t="s">
        <v>835</v>
      </c>
      <c r="G91" s="6"/>
      <c r="H91" s="6" t="s">
        <v>84</v>
      </c>
      <c r="I91" s="9">
        <v>1</v>
      </c>
      <c r="J91" s="9">
        <v>1</v>
      </c>
      <c r="K91" s="9">
        <v>2</v>
      </c>
      <c r="L91" s="6">
        <v>0</v>
      </c>
      <c r="M91" s="6">
        <v>2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2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</row>
    <row r="92" spans="1:45" x14ac:dyDescent="0.25">
      <c r="A92" s="6" t="s">
        <v>747</v>
      </c>
      <c r="B92" s="6" t="s">
        <v>228</v>
      </c>
      <c r="C92" s="6"/>
      <c r="D92" s="6" t="s">
        <v>422</v>
      </c>
      <c r="E92" s="6" t="s">
        <v>823</v>
      </c>
      <c r="G92" s="6"/>
      <c r="H92" s="6" t="s">
        <v>84</v>
      </c>
      <c r="I92" s="9">
        <v>1</v>
      </c>
      <c r="J92" s="9">
        <v>1</v>
      </c>
      <c r="K92" s="9">
        <v>2</v>
      </c>
      <c r="L92" s="6">
        <v>0</v>
      </c>
      <c r="M92" s="6">
        <v>2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2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</row>
    <row r="93" spans="1:45" x14ac:dyDescent="0.25">
      <c r="A93" s="6" t="s">
        <v>747</v>
      </c>
      <c r="B93" s="6" t="s">
        <v>113</v>
      </c>
      <c r="C93" s="6"/>
      <c r="D93" s="6" t="s">
        <v>422</v>
      </c>
      <c r="E93" s="6" t="s">
        <v>836</v>
      </c>
      <c r="G93" s="6"/>
      <c r="H93" s="6" t="s">
        <v>252</v>
      </c>
      <c r="I93" s="9">
        <v>1</v>
      </c>
      <c r="J93" s="9">
        <v>1</v>
      </c>
      <c r="K93" s="9">
        <v>2</v>
      </c>
      <c r="L93" s="6">
        <v>0</v>
      </c>
      <c r="M93" s="6">
        <v>2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2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</row>
    <row r="94" spans="1:45" x14ac:dyDescent="0.25">
      <c r="A94" s="6" t="s">
        <v>747</v>
      </c>
      <c r="B94" s="6" t="s">
        <v>111</v>
      </c>
      <c r="C94" s="6"/>
      <c r="D94" s="6" t="s">
        <v>422</v>
      </c>
      <c r="E94" s="6" t="s">
        <v>837</v>
      </c>
      <c r="G94" s="6"/>
      <c r="H94" s="6" t="s">
        <v>252</v>
      </c>
      <c r="I94" s="9">
        <v>1.4</v>
      </c>
      <c r="J94" s="9">
        <v>0.35</v>
      </c>
      <c r="K94" s="9">
        <v>1.75</v>
      </c>
      <c r="L94" s="6">
        <v>4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1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</row>
    <row r="95" spans="1:45" x14ac:dyDescent="0.25">
      <c r="A95" s="6" t="s">
        <v>747</v>
      </c>
      <c r="B95" s="6" t="s">
        <v>199</v>
      </c>
      <c r="C95" s="6"/>
      <c r="D95" s="6" t="s">
        <v>422</v>
      </c>
      <c r="E95" s="6" t="s">
        <v>838</v>
      </c>
      <c r="G95" s="6"/>
      <c r="H95" s="6" t="s">
        <v>84</v>
      </c>
      <c r="I95" s="9">
        <v>0.35</v>
      </c>
      <c r="J95" s="9">
        <v>0.7</v>
      </c>
      <c r="K95" s="9">
        <v>1.0499999999999998</v>
      </c>
      <c r="L95" s="6">
        <v>1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2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</row>
    <row r="96" spans="1:45" x14ac:dyDescent="0.25">
      <c r="A96" s="6" t="s">
        <v>747</v>
      </c>
      <c r="B96" s="6" t="s">
        <v>339</v>
      </c>
      <c r="C96" s="6"/>
      <c r="D96" s="6" t="s">
        <v>422</v>
      </c>
      <c r="E96" s="6" t="s">
        <v>839</v>
      </c>
      <c r="G96" s="6"/>
      <c r="H96" s="6" t="s">
        <v>337</v>
      </c>
      <c r="I96" s="9">
        <v>0.7</v>
      </c>
      <c r="J96" s="9">
        <v>2.5499999999999998</v>
      </c>
      <c r="K96" s="9">
        <v>3.25</v>
      </c>
      <c r="L96" s="6">
        <v>2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3</v>
      </c>
      <c r="AD96" s="6">
        <v>1</v>
      </c>
      <c r="AE96" s="6">
        <v>0</v>
      </c>
      <c r="AF96" s="6">
        <v>1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</row>
    <row r="97" spans="1:45" x14ac:dyDescent="0.25">
      <c r="A97" s="6" t="s">
        <v>747</v>
      </c>
      <c r="B97" s="6" t="s">
        <v>338</v>
      </c>
      <c r="C97" s="6"/>
      <c r="D97" s="6" t="s">
        <v>422</v>
      </c>
      <c r="E97" s="6" t="s">
        <v>840</v>
      </c>
      <c r="G97" s="6"/>
      <c r="H97" s="6" t="s">
        <v>337</v>
      </c>
      <c r="I97" s="9">
        <v>0.35</v>
      </c>
      <c r="J97" s="9">
        <v>2.5499999999999998</v>
      </c>
      <c r="K97" s="9">
        <v>2.9</v>
      </c>
      <c r="L97" s="6">
        <v>1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3</v>
      </c>
      <c r="AD97" s="6">
        <v>1</v>
      </c>
      <c r="AE97" s="6">
        <v>0</v>
      </c>
      <c r="AF97" s="6">
        <v>1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</row>
    <row r="98" spans="1:45" x14ac:dyDescent="0.25">
      <c r="A98" s="6" t="s">
        <v>747</v>
      </c>
      <c r="B98" s="6" t="s">
        <v>341</v>
      </c>
      <c r="C98" s="6"/>
      <c r="D98" s="6" t="s">
        <v>422</v>
      </c>
      <c r="E98" s="6" t="s">
        <v>841</v>
      </c>
      <c r="G98" s="6"/>
      <c r="H98" s="6" t="s">
        <v>337</v>
      </c>
      <c r="I98" s="9">
        <v>0.7</v>
      </c>
      <c r="J98" s="9">
        <v>2.9</v>
      </c>
      <c r="K98" s="9">
        <v>3.5999999999999996</v>
      </c>
      <c r="L98" s="6">
        <v>2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4</v>
      </c>
      <c r="AD98" s="6">
        <v>1</v>
      </c>
      <c r="AE98" s="6">
        <v>0</v>
      </c>
      <c r="AF98" s="6">
        <v>1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</row>
    <row r="99" spans="1:45" x14ac:dyDescent="0.25">
      <c r="A99" s="6" t="s">
        <v>747</v>
      </c>
      <c r="B99" s="6" t="s">
        <v>326</v>
      </c>
      <c r="C99" s="6"/>
      <c r="D99" s="6" t="s">
        <v>422</v>
      </c>
      <c r="E99" s="6" t="s">
        <v>842</v>
      </c>
      <c r="G99" s="6"/>
      <c r="H99" s="6" t="s">
        <v>252</v>
      </c>
      <c r="I99" s="9">
        <v>4</v>
      </c>
      <c r="J99" s="9">
        <v>1</v>
      </c>
      <c r="K99" s="9">
        <v>5</v>
      </c>
      <c r="L99" s="6">
        <v>0</v>
      </c>
      <c r="M99" s="6">
        <v>0</v>
      </c>
      <c r="N99" s="6">
        <v>0</v>
      </c>
      <c r="O99" s="6">
        <v>1</v>
      </c>
      <c r="P99" s="6">
        <v>0</v>
      </c>
      <c r="Q99" s="6">
        <v>0</v>
      </c>
      <c r="R99" s="6">
        <v>0</v>
      </c>
      <c r="S99" s="6">
        <v>1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2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</row>
    <row r="100" spans="1:45" x14ac:dyDescent="0.25">
      <c r="A100" s="6" t="s">
        <v>747</v>
      </c>
      <c r="B100" s="6" t="s">
        <v>240</v>
      </c>
      <c r="C100" s="6"/>
      <c r="D100" s="6" t="s">
        <v>422</v>
      </c>
      <c r="E100" s="6" t="s">
        <v>843</v>
      </c>
      <c r="G100" s="6"/>
      <c r="H100" s="6" t="s">
        <v>84</v>
      </c>
      <c r="I100" s="9">
        <v>5</v>
      </c>
      <c r="J100" s="9">
        <v>1</v>
      </c>
      <c r="K100" s="9">
        <v>6</v>
      </c>
      <c r="L100" s="6">
        <v>0</v>
      </c>
      <c r="M100" s="6">
        <v>0</v>
      </c>
      <c r="N100" s="6">
        <v>0</v>
      </c>
      <c r="O100" s="6">
        <v>2</v>
      </c>
      <c r="P100" s="6">
        <v>0</v>
      </c>
      <c r="Q100" s="6">
        <v>0</v>
      </c>
      <c r="R100" s="6">
        <v>0</v>
      </c>
      <c r="S100" s="6">
        <v>1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2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</row>
    <row r="101" spans="1:45" x14ac:dyDescent="0.25">
      <c r="A101" s="6" t="s">
        <v>747</v>
      </c>
      <c r="B101" s="6" t="s">
        <v>320</v>
      </c>
      <c r="C101" s="6"/>
      <c r="D101" s="6" t="s">
        <v>422</v>
      </c>
      <c r="E101" s="6" t="s">
        <v>844</v>
      </c>
      <c r="G101" s="6"/>
      <c r="H101" s="6" t="s">
        <v>252</v>
      </c>
      <c r="I101" s="9">
        <v>3</v>
      </c>
      <c r="J101" s="9">
        <v>1</v>
      </c>
      <c r="K101" s="9">
        <v>4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1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2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</row>
    <row r="102" spans="1:45" x14ac:dyDescent="0.25">
      <c r="A102" s="6" t="s">
        <v>747</v>
      </c>
      <c r="B102" s="6" t="s">
        <v>325</v>
      </c>
      <c r="C102" s="6"/>
      <c r="D102" s="6" t="s">
        <v>422</v>
      </c>
      <c r="E102" s="6" t="s">
        <v>845</v>
      </c>
      <c r="G102" s="6"/>
      <c r="H102" s="6" t="s">
        <v>252</v>
      </c>
      <c r="I102" s="9">
        <v>4.5</v>
      </c>
      <c r="J102" s="9">
        <v>1</v>
      </c>
      <c r="K102" s="9">
        <v>5.5</v>
      </c>
      <c r="L102" s="6">
        <v>0</v>
      </c>
      <c r="M102" s="6">
        <v>1</v>
      </c>
      <c r="N102" s="6">
        <v>0</v>
      </c>
      <c r="O102" s="6">
        <v>1</v>
      </c>
      <c r="P102" s="6">
        <v>0</v>
      </c>
      <c r="Q102" s="6">
        <v>0</v>
      </c>
      <c r="R102" s="6">
        <v>0</v>
      </c>
      <c r="S102" s="6">
        <v>1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2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</row>
    <row r="103" spans="1:45" x14ac:dyDescent="0.25">
      <c r="A103" s="6" t="s">
        <v>747</v>
      </c>
      <c r="B103" s="6" t="s">
        <v>346</v>
      </c>
      <c r="C103" s="6"/>
      <c r="D103" s="6" t="s">
        <v>422</v>
      </c>
      <c r="E103" s="6" t="s">
        <v>846</v>
      </c>
      <c r="G103" s="6"/>
      <c r="H103" s="6" t="s">
        <v>337</v>
      </c>
      <c r="I103" s="9">
        <v>2</v>
      </c>
      <c r="J103" s="9">
        <v>3</v>
      </c>
      <c r="K103" s="9">
        <v>5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1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1</v>
      </c>
      <c r="AG103" s="6">
        <v>0</v>
      </c>
      <c r="AH103" s="6">
        <v>1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</row>
    <row r="104" spans="1:45" x14ac:dyDescent="0.25">
      <c r="A104" s="6" t="s">
        <v>747</v>
      </c>
      <c r="B104" s="6" t="s">
        <v>348</v>
      </c>
      <c r="C104" s="6"/>
      <c r="D104" s="6" t="s">
        <v>422</v>
      </c>
      <c r="E104" s="6" t="s">
        <v>847</v>
      </c>
      <c r="G104" s="6"/>
      <c r="H104" s="6" t="s">
        <v>349</v>
      </c>
      <c r="I104" s="9">
        <v>1.45</v>
      </c>
      <c r="J104" s="9">
        <v>0</v>
      </c>
      <c r="K104" s="9">
        <v>1.45</v>
      </c>
      <c r="L104" s="6">
        <v>2</v>
      </c>
      <c r="M104" s="6">
        <v>0</v>
      </c>
      <c r="N104" s="6">
        <v>1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</row>
    <row r="105" spans="1:45" x14ac:dyDescent="0.25">
      <c r="A105" s="6" t="s">
        <v>747</v>
      </c>
      <c r="B105" s="6" t="s">
        <v>352</v>
      </c>
      <c r="C105" s="6"/>
      <c r="D105" s="6" t="s">
        <v>422</v>
      </c>
      <c r="E105" s="6" t="s">
        <v>848</v>
      </c>
      <c r="G105" s="6"/>
      <c r="H105" s="6" t="s">
        <v>349</v>
      </c>
      <c r="I105" s="9">
        <v>2.2999999999999998</v>
      </c>
      <c r="J105" s="9">
        <v>0.35</v>
      </c>
      <c r="K105" s="9">
        <v>2.65</v>
      </c>
      <c r="L105" s="6">
        <v>3</v>
      </c>
      <c r="M105" s="6">
        <v>1</v>
      </c>
      <c r="N105" s="6">
        <v>1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1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</row>
    <row r="106" spans="1:45" x14ac:dyDescent="0.25">
      <c r="A106" s="6" t="s">
        <v>747</v>
      </c>
      <c r="B106" s="6" t="s">
        <v>201</v>
      </c>
      <c r="C106" s="6"/>
      <c r="D106" s="6" t="s">
        <v>422</v>
      </c>
      <c r="E106" s="6" t="s">
        <v>849</v>
      </c>
      <c r="G106" s="6"/>
      <c r="H106" s="6" t="s">
        <v>84</v>
      </c>
      <c r="I106" s="9">
        <v>0.7</v>
      </c>
      <c r="J106" s="9">
        <v>0.5</v>
      </c>
      <c r="K106" s="9">
        <v>1.2</v>
      </c>
      <c r="L106" s="6">
        <v>2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1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</row>
    <row r="107" spans="1:45" x14ac:dyDescent="0.25">
      <c r="A107" s="6" t="s">
        <v>747</v>
      </c>
      <c r="B107" s="6" t="s">
        <v>353</v>
      </c>
      <c r="C107" s="6"/>
      <c r="D107" s="6" t="s">
        <v>422</v>
      </c>
      <c r="E107" s="6" t="s">
        <v>850</v>
      </c>
      <c r="G107" s="6"/>
      <c r="H107" s="6" t="s">
        <v>349</v>
      </c>
      <c r="I107" s="9">
        <v>3</v>
      </c>
      <c r="J107" s="9">
        <v>0.35</v>
      </c>
      <c r="K107" s="9">
        <v>3.35</v>
      </c>
      <c r="L107" s="6">
        <v>5</v>
      </c>
      <c r="M107" s="6">
        <v>1</v>
      </c>
      <c r="N107" s="6">
        <v>1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1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</row>
    <row r="108" spans="1:45" x14ac:dyDescent="0.25">
      <c r="A108" s="6" t="s">
        <v>747</v>
      </c>
      <c r="B108" s="6" t="s">
        <v>350</v>
      </c>
      <c r="C108" s="6"/>
      <c r="D108" s="6" t="s">
        <v>422</v>
      </c>
      <c r="E108" s="6" t="s">
        <v>851</v>
      </c>
      <c r="G108" s="6"/>
      <c r="H108" s="6" t="s">
        <v>349</v>
      </c>
      <c r="I108" s="9">
        <v>1.6</v>
      </c>
      <c r="J108" s="9">
        <v>0.35</v>
      </c>
      <c r="K108" s="9">
        <v>1.9500000000000002</v>
      </c>
      <c r="L108" s="6">
        <v>1</v>
      </c>
      <c r="M108" s="6">
        <v>1</v>
      </c>
      <c r="N108" s="6">
        <v>1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1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</row>
    <row r="109" spans="1:45" x14ac:dyDescent="0.25">
      <c r="A109" s="6" t="s">
        <v>747</v>
      </c>
      <c r="B109" s="6" t="s">
        <v>351</v>
      </c>
      <c r="C109" s="6"/>
      <c r="D109" s="6" t="s">
        <v>422</v>
      </c>
      <c r="E109" s="6" t="s">
        <v>852</v>
      </c>
      <c r="G109" s="6"/>
      <c r="H109" s="6" t="s">
        <v>349</v>
      </c>
      <c r="I109" s="9">
        <v>1.95</v>
      </c>
      <c r="J109" s="9">
        <v>0.35</v>
      </c>
      <c r="K109" s="9">
        <v>2.2999999999999998</v>
      </c>
      <c r="L109" s="6">
        <v>2</v>
      </c>
      <c r="M109" s="6">
        <v>1</v>
      </c>
      <c r="N109" s="6">
        <v>1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1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</row>
    <row r="110" spans="1:45" x14ac:dyDescent="0.25">
      <c r="A110" s="6" t="s">
        <v>747</v>
      </c>
      <c r="B110" s="6" t="s">
        <v>230</v>
      </c>
      <c r="C110" s="6"/>
      <c r="D110" s="6" t="s">
        <v>422</v>
      </c>
      <c r="E110" s="6" t="s">
        <v>853</v>
      </c>
      <c r="G110" s="6"/>
      <c r="H110" s="6" t="s">
        <v>84</v>
      </c>
      <c r="I110" s="9">
        <v>2.65</v>
      </c>
      <c r="J110" s="9">
        <v>0.35</v>
      </c>
      <c r="K110" s="9">
        <v>3</v>
      </c>
      <c r="L110" s="6">
        <v>4</v>
      </c>
      <c r="M110" s="6">
        <v>1</v>
      </c>
      <c r="N110" s="6">
        <v>1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1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</row>
    <row r="111" spans="1:45" x14ac:dyDescent="0.25">
      <c r="A111" s="6" t="s">
        <v>747</v>
      </c>
      <c r="B111" s="6" t="s">
        <v>265</v>
      </c>
      <c r="C111" s="6"/>
      <c r="D111" s="6" t="s">
        <v>422</v>
      </c>
      <c r="E111" s="6" t="s">
        <v>854</v>
      </c>
      <c r="G111" s="6"/>
      <c r="H111" s="6" t="s">
        <v>252</v>
      </c>
      <c r="I111" s="9">
        <v>1.1000000000000001</v>
      </c>
      <c r="J111" s="9">
        <v>0</v>
      </c>
      <c r="K111" s="9">
        <v>1.1000000000000001</v>
      </c>
      <c r="L111" s="6">
        <v>1</v>
      </c>
      <c r="M111" s="6">
        <v>0</v>
      </c>
      <c r="N111" s="6">
        <v>1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</row>
    <row r="112" spans="1:45" x14ac:dyDescent="0.25">
      <c r="A112" s="6" t="s">
        <v>747</v>
      </c>
      <c r="B112" s="6" t="s">
        <v>318</v>
      </c>
      <c r="C112" s="6"/>
      <c r="D112" s="6" t="s">
        <v>422</v>
      </c>
      <c r="E112" s="6" t="s">
        <v>855</v>
      </c>
      <c r="G112" s="6"/>
      <c r="H112" s="6" t="s">
        <v>252</v>
      </c>
      <c r="I112" s="9">
        <v>1</v>
      </c>
      <c r="J112" s="9">
        <v>1.75</v>
      </c>
      <c r="K112" s="9">
        <v>2.75</v>
      </c>
      <c r="L112" s="6">
        <v>0</v>
      </c>
      <c r="M112" s="6">
        <v>0</v>
      </c>
      <c r="N112" s="6">
        <v>0</v>
      </c>
      <c r="O112" s="6">
        <v>1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1</v>
      </c>
      <c r="AF112" s="6">
        <v>1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</row>
    <row r="113" spans="1:45" x14ac:dyDescent="0.25">
      <c r="A113" s="6" t="s">
        <v>747</v>
      </c>
      <c r="B113" s="6" t="s">
        <v>344</v>
      </c>
      <c r="C113" s="6"/>
      <c r="D113" s="6" t="s">
        <v>422</v>
      </c>
      <c r="E113" s="6" t="s">
        <v>856</v>
      </c>
      <c r="G113" s="6"/>
      <c r="H113" s="6" t="s">
        <v>337</v>
      </c>
      <c r="I113" s="9">
        <v>0</v>
      </c>
      <c r="J113" s="9">
        <v>5.35</v>
      </c>
      <c r="K113" s="9">
        <v>5.35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1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2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</row>
    <row r="114" spans="1:45" x14ac:dyDescent="0.25">
      <c r="A114" s="6" t="s">
        <v>747</v>
      </c>
      <c r="B114" s="6" t="s">
        <v>343</v>
      </c>
      <c r="C114" s="6"/>
      <c r="D114" s="6" t="s">
        <v>422</v>
      </c>
      <c r="E114" s="6" t="s">
        <v>857</v>
      </c>
      <c r="G114" s="6"/>
      <c r="H114" s="6" t="s">
        <v>337</v>
      </c>
      <c r="I114" s="9">
        <v>2.85</v>
      </c>
      <c r="J114" s="9">
        <v>2.5</v>
      </c>
      <c r="K114" s="9">
        <v>5.35</v>
      </c>
      <c r="L114" s="6">
        <v>1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1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1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</row>
    <row r="115" spans="1:45" x14ac:dyDescent="0.25">
      <c r="A115" s="6" t="s">
        <v>747</v>
      </c>
      <c r="B115" s="6" t="s">
        <v>345</v>
      </c>
      <c r="C115" s="6"/>
      <c r="D115" s="6" t="s">
        <v>422</v>
      </c>
      <c r="E115" s="6" t="s">
        <v>858</v>
      </c>
      <c r="G115" s="6"/>
      <c r="H115" s="6" t="s">
        <v>337</v>
      </c>
      <c r="I115" s="9">
        <v>2.85</v>
      </c>
      <c r="J115" s="9">
        <v>2.85</v>
      </c>
      <c r="K115" s="9">
        <v>5.7</v>
      </c>
      <c r="L115" s="6">
        <v>1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1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1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1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</row>
    <row r="116" spans="1:45" x14ac:dyDescent="0.25">
      <c r="A116" s="6" t="s">
        <v>747</v>
      </c>
      <c r="B116" s="6" t="s">
        <v>189</v>
      </c>
      <c r="C116" s="6"/>
      <c r="D116" s="6" t="s">
        <v>422</v>
      </c>
      <c r="E116" s="6" t="s">
        <v>859</v>
      </c>
      <c r="G116" s="6"/>
      <c r="H116" s="6" t="s">
        <v>82</v>
      </c>
      <c r="I116" s="9">
        <v>15</v>
      </c>
      <c r="J116" s="9">
        <v>0</v>
      </c>
      <c r="K116" s="9">
        <v>15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6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</row>
    <row r="117" spans="1:45" x14ac:dyDescent="0.25">
      <c r="A117" s="6" t="s">
        <v>747</v>
      </c>
      <c r="B117" s="6" t="s">
        <v>215</v>
      </c>
      <c r="C117" s="6"/>
      <c r="D117" s="6" t="s">
        <v>422</v>
      </c>
      <c r="E117" s="6" t="s">
        <v>839</v>
      </c>
      <c r="G117" s="6"/>
      <c r="H117" s="6" t="s">
        <v>84</v>
      </c>
      <c r="I117" s="9">
        <v>1.0499999999999998</v>
      </c>
      <c r="J117" s="9">
        <v>0.5</v>
      </c>
      <c r="K117" s="9">
        <v>1.5499999999999998</v>
      </c>
      <c r="L117" s="6">
        <v>3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1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</row>
    <row r="118" spans="1:45" x14ac:dyDescent="0.25">
      <c r="A118" s="6" t="s">
        <v>747</v>
      </c>
      <c r="B118" s="6" t="s">
        <v>183</v>
      </c>
      <c r="C118" s="6"/>
      <c r="D118" s="6" t="s">
        <v>422</v>
      </c>
      <c r="E118" s="6" t="s">
        <v>860</v>
      </c>
      <c r="G118" s="6"/>
      <c r="H118" s="6" t="s">
        <v>82</v>
      </c>
      <c r="I118" s="9">
        <v>12.5</v>
      </c>
      <c r="J118" s="9">
        <v>0</v>
      </c>
      <c r="K118" s="9">
        <v>12.5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5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</row>
    <row r="119" spans="1:45" x14ac:dyDescent="0.25">
      <c r="A119" s="6" t="s">
        <v>747</v>
      </c>
      <c r="B119" s="6" t="s">
        <v>191</v>
      </c>
      <c r="C119" s="6"/>
      <c r="D119" s="6" t="s">
        <v>422</v>
      </c>
      <c r="E119" s="6" t="s">
        <v>861</v>
      </c>
      <c r="G119" s="6"/>
      <c r="H119" s="6" t="s">
        <v>82</v>
      </c>
      <c r="I119" s="9">
        <v>17.5</v>
      </c>
      <c r="J119" s="9">
        <v>0</v>
      </c>
      <c r="K119" s="9">
        <v>17.5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7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</row>
    <row r="120" spans="1:45" x14ac:dyDescent="0.25">
      <c r="A120" s="6" t="s">
        <v>747</v>
      </c>
      <c r="B120" s="6" t="s">
        <v>347</v>
      </c>
      <c r="C120" s="6"/>
      <c r="D120" s="6" t="s">
        <v>422</v>
      </c>
      <c r="E120" s="6" t="s">
        <v>862</v>
      </c>
      <c r="G120" s="6"/>
      <c r="H120" s="6" t="s">
        <v>337</v>
      </c>
      <c r="I120" s="9">
        <v>2.5</v>
      </c>
      <c r="J120" s="9">
        <v>5</v>
      </c>
      <c r="K120" s="9">
        <v>7.5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1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2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</row>
    <row r="121" spans="1:45" x14ac:dyDescent="0.25">
      <c r="A121" s="6" t="s">
        <v>747</v>
      </c>
      <c r="B121" s="6" t="s">
        <v>185</v>
      </c>
      <c r="C121" s="6"/>
      <c r="D121" s="6" t="s">
        <v>422</v>
      </c>
      <c r="E121" s="6" t="s">
        <v>863</v>
      </c>
      <c r="G121" s="6"/>
      <c r="H121" s="6" t="s">
        <v>82</v>
      </c>
      <c r="I121" s="9">
        <v>0</v>
      </c>
      <c r="J121" s="9">
        <v>12</v>
      </c>
      <c r="K121" s="9">
        <v>12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4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</row>
    <row r="122" spans="1:45" x14ac:dyDescent="0.25">
      <c r="A122" s="6" t="s">
        <v>747</v>
      </c>
      <c r="B122" s="6" t="s">
        <v>193</v>
      </c>
      <c r="C122" s="6"/>
      <c r="D122" s="6" t="s">
        <v>422</v>
      </c>
      <c r="E122" s="6" t="s">
        <v>864</v>
      </c>
      <c r="G122" s="6"/>
      <c r="H122" s="6" t="s">
        <v>82</v>
      </c>
      <c r="I122" s="9">
        <v>0</v>
      </c>
      <c r="J122" s="9">
        <v>9</v>
      </c>
      <c r="K122" s="9">
        <v>9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3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</row>
    <row r="123" spans="1:45" x14ac:dyDescent="0.25">
      <c r="A123" s="6" t="s">
        <v>747</v>
      </c>
      <c r="B123" s="6" t="s">
        <v>305</v>
      </c>
      <c r="C123" s="6"/>
      <c r="D123" s="6" t="s">
        <v>422</v>
      </c>
      <c r="E123" s="6" t="s">
        <v>865</v>
      </c>
      <c r="G123" s="6"/>
      <c r="H123" s="6" t="s">
        <v>252</v>
      </c>
      <c r="I123" s="9">
        <v>1</v>
      </c>
      <c r="J123" s="9">
        <v>0</v>
      </c>
      <c r="K123" s="9">
        <v>1</v>
      </c>
      <c r="L123" s="6">
        <v>0</v>
      </c>
      <c r="M123" s="6">
        <v>2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</row>
    <row r="124" spans="1:45" x14ac:dyDescent="0.25">
      <c r="A124" s="6" t="s">
        <v>747</v>
      </c>
      <c r="B124" s="6" t="s">
        <v>246</v>
      </c>
      <c r="C124" s="6"/>
      <c r="D124" s="6" t="s">
        <v>422</v>
      </c>
      <c r="E124" s="6" t="s">
        <v>866</v>
      </c>
      <c r="G124" s="6"/>
      <c r="H124" s="6" t="s">
        <v>92</v>
      </c>
      <c r="I124" s="9">
        <v>5.75</v>
      </c>
      <c r="J124" s="9">
        <v>0.5</v>
      </c>
      <c r="K124" s="9">
        <v>6.25</v>
      </c>
      <c r="L124" s="6">
        <v>0</v>
      </c>
      <c r="M124" s="6">
        <v>1</v>
      </c>
      <c r="N124" s="6">
        <v>1</v>
      </c>
      <c r="O124" s="6">
        <v>1</v>
      </c>
      <c r="P124" s="6">
        <v>1</v>
      </c>
      <c r="Q124" s="6">
        <v>1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1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</row>
    <row r="125" spans="1:45" x14ac:dyDescent="0.25">
      <c r="A125" s="6" t="s">
        <v>747</v>
      </c>
      <c r="B125" s="6" t="s">
        <v>205</v>
      </c>
      <c r="C125" s="6"/>
      <c r="D125" s="6" t="s">
        <v>422</v>
      </c>
      <c r="E125" s="6" t="s">
        <v>867</v>
      </c>
      <c r="G125" s="6"/>
      <c r="H125" s="6" t="s">
        <v>84</v>
      </c>
      <c r="I125" s="9">
        <v>0.35</v>
      </c>
      <c r="J125" s="9">
        <v>1</v>
      </c>
      <c r="K125" s="9">
        <v>1.35</v>
      </c>
      <c r="L125" s="6">
        <v>1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2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</row>
    <row r="126" spans="1:45" x14ac:dyDescent="0.25">
      <c r="A126" s="6" t="s">
        <v>747</v>
      </c>
      <c r="B126" s="6" t="s">
        <v>319</v>
      </c>
      <c r="C126" s="6"/>
      <c r="D126" s="6" t="s">
        <v>422</v>
      </c>
      <c r="E126" s="6" t="s">
        <v>868</v>
      </c>
      <c r="G126" s="6"/>
      <c r="H126" s="6" t="s">
        <v>252</v>
      </c>
      <c r="I126" s="9">
        <v>1.7</v>
      </c>
      <c r="J126" s="9">
        <v>1.35</v>
      </c>
      <c r="K126" s="9">
        <v>3.05</v>
      </c>
      <c r="L126" s="6">
        <v>2</v>
      </c>
      <c r="M126" s="6">
        <v>2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1</v>
      </c>
      <c r="AD126" s="6">
        <v>2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</row>
    <row r="127" spans="1:45" x14ac:dyDescent="0.25">
      <c r="A127" s="6" t="s">
        <v>748</v>
      </c>
      <c r="B127" s="6" t="s">
        <v>381</v>
      </c>
      <c r="C127" s="14">
        <v>45027</v>
      </c>
      <c r="D127" s="6" t="s">
        <v>422</v>
      </c>
      <c r="E127" s="6" t="s">
        <v>382</v>
      </c>
      <c r="G127" s="6"/>
      <c r="H127" s="6" t="s">
        <v>29</v>
      </c>
      <c r="I127" s="9">
        <v>1</v>
      </c>
      <c r="J127" s="9">
        <v>1</v>
      </c>
      <c r="K127" s="9">
        <v>2</v>
      </c>
      <c r="L127" s="6">
        <v>0</v>
      </c>
      <c r="M127" s="6">
        <v>2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2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</row>
    <row r="128" spans="1:45" x14ac:dyDescent="0.25">
      <c r="A128" s="6" t="s">
        <v>748</v>
      </c>
      <c r="B128" s="6" t="s">
        <v>391</v>
      </c>
      <c r="C128" s="14">
        <v>45034</v>
      </c>
      <c r="D128" s="6" t="s">
        <v>422</v>
      </c>
      <c r="E128" s="6" t="s">
        <v>392</v>
      </c>
      <c r="G128" s="6"/>
      <c r="H128" s="6" t="s">
        <v>29</v>
      </c>
      <c r="I128" s="9">
        <v>1.5</v>
      </c>
      <c r="J128" s="9">
        <v>1.5</v>
      </c>
      <c r="K128" s="9">
        <v>3</v>
      </c>
      <c r="L128" s="6">
        <v>0</v>
      </c>
      <c r="M128" s="6">
        <v>3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3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</row>
    <row r="129" spans="1:45" x14ac:dyDescent="0.25">
      <c r="A129" s="6" t="s">
        <v>748</v>
      </c>
      <c r="B129" s="6" t="s">
        <v>377</v>
      </c>
      <c r="C129" s="14">
        <v>45035</v>
      </c>
      <c r="D129" s="6" t="s">
        <v>422</v>
      </c>
      <c r="E129" s="6" t="s">
        <v>378</v>
      </c>
      <c r="G129" s="6"/>
      <c r="H129" s="6" t="s">
        <v>29</v>
      </c>
      <c r="I129" s="9">
        <v>1</v>
      </c>
      <c r="J129" s="9">
        <v>1.5</v>
      </c>
      <c r="K129" s="9">
        <v>2.5</v>
      </c>
      <c r="L129" s="6">
        <v>0</v>
      </c>
      <c r="M129" s="6">
        <v>2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3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</row>
    <row r="130" spans="1:45" x14ac:dyDescent="0.25">
      <c r="A130" s="6" t="s">
        <v>748</v>
      </c>
      <c r="B130" s="6" t="s">
        <v>389</v>
      </c>
      <c r="C130" s="14">
        <v>45035</v>
      </c>
      <c r="D130" s="6" t="s">
        <v>422</v>
      </c>
      <c r="E130" s="6" t="s">
        <v>390</v>
      </c>
      <c r="G130" s="6"/>
      <c r="H130" s="6" t="s">
        <v>29</v>
      </c>
      <c r="I130" s="9">
        <v>0.5</v>
      </c>
      <c r="J130" s="9">
        <v>2.5</v>
      </c>
      <c r="K130" s="9">
        <v>3</v>
      </c>
      <c r="L130" s="6">
        <v>0</v>
      </c>
      <c r="M130" s="6">
        <v>1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2</v>
      </c>
      <c r="AE130" s="6">
        <v>0</v>
      </c>
      <c r="AF130" s="6">
        <v>0</v>
      </c>
      <c r="AG130" s="6">
        <v>1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</row>
    <row r="131" spans="1:45" x14ac:dyDescent="0.25">
      <c r="A131" s="6" t="s">
        <v>748</v>
      </c>
      <c r="B131" s="6" t="s">
        <v>375</v>
      </c>
      <c r="C131" s="6"/>
      <c r="D131" s="6" t="s">
        <v>422</v>
      </c>
      <c r="E131" s="6" t="s">
        <v>376</v>
      </c>
      <c r="G131" s="6"/>
      <c r="H131" s="6" t="s">
        <v>29</v>
      </c>
      <c r="I131" s="9">
        <v>1.5</v>
      </c>
      <c r="J131" s="9">
        <v>1</v>
      </c>
      <c r="K131" s="9">
        <v>2.5</v>
      </c>
      <c r="L131" s="6">
        <v>0</v>
      </c>
      <c r="M131" s="6">
        <v>0</v>
      </c>
      <c r="N131" s="6">
        <v>2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1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</row>
    <row r="132" spans="1:45" x14ac:dyDescent="0.25">
      <c r="A132" s="6" t="s">
        <v>747</v>
      </c>
      <c r="B132" s="7" t="s">
        <v>450</v>
      </c>
      <c r="C132" s="14">
        <v>45764</v>
      </c>
      <c r="D132" s="6"/>
      <c r="E132" s="6" t="s">
        <v>415</v>
      </c>
      <c r="G132" s="6"/>
      <c r="H132" s="6" t="s">
        <v>79</v>
      </c>
      <c r="I132" s="9">
        <v>3</v>
      </c>
      <c r="J132" s="9">
        <v>6</v>
      </c>
      <c r="K132" s="9">
        <v>9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1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2</v>
      </c>
      <c r="AG132" s="6">
        <v>0</v>
      </c>
      <c r="AH132" s="6">
        <v>2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</row>
    <row r="133" spans="1:45" x14ac:dyDescent="0.25">
      <c r="A133" s="6" t="s">
        <v>748</v>
      </c>
      <c r="B133" s="6" t="s">
        <v>406</v>
      </c>
      <c r="C133" s="6"/>
      <c r="D133" s="6" t="s">
        <v>422</v>
      </c>
      <c r="E133" s="6" t="s">
        <v>407</v>
      </c>
      <c r="G133" s="6"/>
      <c r="H133" s="6" t="s">
        <v>101</v>
      </c>
      <c r="I133" s="9">
        <v>3</v>
      </c>
      <c r="J133" s="9">
        <v>6</v>
      </c>
      <c r="K133" s="9">
        <v>9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1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2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</row>
    <row r="134" spans="1:45" x14ac:dyDescent="0.25">
      <c r="A134" s="6" t="s">
        <v>748</v>
      </c>
      <c r="B134" s="6" t="s">
        <v>404</v>
      </c>
      <c r="C134" s="6"/>
      <c r="D134" s="6" t="s">
        <v>422</v>
      </c>
      <c r="E134" s="6" t="s">
        <v>405</v>
      </c>
      <c r="G134" s="6"/>
      <c r="H134" s="6" t="s">
        <v>101</v>
      </c>
      <c r="I134" s="9">
        <v>4</v>
      </c>
      <c r="J134" s="9">
        <v>5.5</v>
      </c>
      <c r="K134" s="9">
        <v>9.5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1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1</v>
      </c>
      <c r="AH134" s="6">
        <v>0</v>
      </c>
      <c r="AI134" s="6">
        <v>0</v>
      </c>
      <c r="AJ134" s="6">
        <v>0</v>
      </c>
      <c r="AK134" s="6">
        <v>1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</row>
    <row r="135" spans="1:45" x14ac:dyDescent="0.25">
      <c r="A135" s="6" t="s">
        <v>748</v>
      </c>
      <c r="B135" s="6" t="s">
        <v>354</v>
      </c>
      <c r="C135" s="14">
        <v>45056</v>
      </c>
      <c r="D135" s="6" t="s">
        <v>422</v>
      </c>
      <c r="E135" s="6" t="s">
        <v>355</v>
      </c>
      <c r="G135" s="6"/>
      <c r="H135" s="6" t="s">
        <v>29</v>
      </c>
      <c r="I135" s="9">
        <v>0.5</v>
      </c>
      <c r="J135" s="9">
        <v>0.7</v>
      </c>
      <c r="K135" s="9">
        <v>1.2</v>
      </c>
      <c r="L135" s="6">
        <v>0</v>
      </c>
      <c r="M135" s="6">
        <v>1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2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</row>
    <row r="136" spans="1:45" x14ac:dyDescent="0.25">
      <c r="A136" s="6" t="s">
        <v>748</v>
      </c>
      <c r="B136" s="6" t="s">
        <v>451</v>
      </c>
      <c r="C136" s="14">
        <v>45050</v>
      </c>
      <c r="D136" s="6" t="s">
        <v>755</v>
      </c>
      <c r="E136" s="6" t="s">
        <v>387</v>
      </c>
      <c r="G136" s="6"/>
      <c r="H136" s="6" t="s">
        <v>29</v>
      </c>
      <c r="I136" s="9">
        <v>2.75</v>
      </c>
      <c r="J136" s="9">
        <v>0.5</v>
      </c>
      <c r="K136" s="9">
        <v>3.25</v>
      </c>
      <c r="L136" s="6">
        <v>0</v>
      </c>
      <c r="M136" s="6">
        <v>4</v>
      </c>
      <c r="N136" s="6">
        <v>1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1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</row>
    <row r="137" spans="1:45" x14ac:dyDescent="0.25">
      <c r="A137" s="6" t="s">
        <v>748</v>
      </c>
      <c r="B137" s="6" t="s">
        <v>367</v>
      </c>
      <c r="C137" s="14">
        <v>45056</v>
      </c>
      <c r="D137" s="6" t="s">
        <v>422</v>
      </c>
      <c r="E137" s="6" t="s">
        <v>368</v>
      </c>
      <c r="G137" s="6"/>
      <c r="H137" s="6" t="s">
        <v>29</v>
      </c>
      <c r="I137" s="9">
        <v>0.75</v>
      </c>
      <c r="J137" s="9">
        <v>1.1000000000000001</v>
      </c>
      <c r="K137" s="9">
        <v>1.85</v>
      </c>
      <c r="L137" s="6">
        <v>0</v>
      </c>
      <c r="M137" s="6">
        <v>0</v>
      </c>
      <c r="N137" s="6">
        <v>1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1</v>
      </c>
      <c r="AD137" s="6">
        <v>0</v>
      </c>
      <c r="AE137" s="6">
        <v>1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</row>
    <row r="138" spans="1:45" x14ac:dyDescent="0.25">
      <c r="A138" s="6" t="s">
        <v>748</v>
      </c>
      <c r="B138" s="6" t="s">
        <v>379</v>
      </c>
      <c r="C138" s="14">
        <v>45056</v>
      </c>
      <c r="D138" s="6" t="s">
        <v>422</v>
      </c>
      <c r="E138" s="6" t="s">
        <v>380</v>
      </c>
      <c r="G138" s="6"/>
      <c r="H138" s="6" t="s">
        <v>29</v>
      </c>
      <c r="I138" s="9">
        <v>1.25</v>
      </c>
      <c r="J138" s="9">
        <v>1.5</v>
      </c>
      <c r="K138" s="9">
        <v>2.75</v>
      </c>
      <c r="L138" s="6">
        <v>0</v>
      </c>
      <c r="M138" s="6">
        <v>1</v>
      </c>
      <c r="N138" s="6">
        <v>1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2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</row>
    <row r="139" spans="1:45" x14ac:dyDescent="0.25">
      <c r="A139" s="6" t="s">
        <v>748</v>
      </c>
      <c r="B139" s="6" t="s">
        <v>402</v>
      </c>
      <c r="C139" s="14">
        <v>45057</v>
      </c>
      <c r="D139" s="6" t="s">
        <v>422</v>
      </c>
      <c r="E139" s="6" t="s">
        <v>403</v>
      </c>
      <c r="G139" s="6"/>
      <c r="H139" s="6" t="s">
        <v>29</v>
      </c>
      <c r="I139" s="9">
        <v>2</v>
      </c>
      <c r="J139" s="9">
        <v>3.2</v>
      </c>
      <c r="K139" s="9">
        <v>5.2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1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2</v>
      </c>
      <c r="AD139" s="6">
        <v>2</v>
      </c>
      <c r="AE139" s="6">
        <v>0</v>
      </c>
      <c r="AF139" s="6">
        <v>0</v>
      </c>
      <c r="AG139" s="6">
        <v>1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</row>
    <row r="140" spans="1:45" x14ac:dyDescent="0.25">
      <c r="A140" s="6" t="s">
        <v>748</v>
      </c>
      <c r="B140" s="6" t="s">
        <v>373</v>
      </c>
      <c r="C140" s="14">
        <v>45058</v>
      </c>
      <c r="D140" s="6" t="s">
        <v>422</v>
      </c>
      <c r="E140" s="6" t="s">
        <v>374</v>
      </c>
      <c r="G140" s="6"/>
      <c r="H140" s="6" t="s">
        <v>29</v>
      </c>
      <c r="I140" s="9">
        <v>1</v>
      </c>
      <c r="J140" s="9">
        <v>1.35</v>
      </c>
      <c r="K140" s="9">
        <v>2.35</v>
      </c>
      <c r="L140" s="6">
        <v>0</v>
      </c>
      <c r="M140" s="6">
        <v>2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1</v>
      </c>
      <c r="AD140" s="6">
        <v>2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</row>
    <row r="141" spans="1:45" x14ac:dyDescent="0.25">
      <c r="A141" s="6" t="s">
        <v>748</v>
      </c>
      <c r="B141" s="6" t="s">
        <v>371</v>
      </c>
      <c r="C141" s="6"/>
      <c r="D141" s="6" t="s">
        <v>422</v>
      </c>
      <c r="E141" s="6" t="s">
        <v>372</v>
      </c>
      <c r="G141" s="6"/>
      <c r="H141" s="6" t="s">
        <v>29</v>
      </c>
      <c r="I141" s="9">
        <v>1.0499999999999998</v>
      </c>
      <c r="J141" s="9">
        <v>1.0499999999999998</v>
      </c>
      <c r="K141" s="9">
        <v>2.0999999999999996</v>
      </c>
      <c r="L141" s="6">
        <v>3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3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</row>
    <row r="142" spans="1:45" x14ac:dyDescent="0.25">
      <c r="A142" s="6" t="s">
        <v>748</v>
      </c>
      <c r="B142" s="6" t="s">
        <v>365</v>
      </c>
      <c r="C142" s="14">
        <v>45058</v>
      </c>
      <c r="D142" s="6" t="s">
        <v>422</v>
      </c>
      <c r="E142" s="6" t="s">
        <v>366</v>
      </c>
      <c r="G142" s="6"/>
      <c r="H142" s="6" t="s">
        <v>29</v>
      </c>
      <c r="I142" s="9">
        <v>1</v>
      </c>
      <c r="J142" s="9">
        <v>0.85</v>
      </c>
      <c r="K142" s="9">
        <v>1.85</v>
      </c>
      <c r="L142" s="6">
        <v>0</v>
      </c>
      <c r="M142" s="6">
        <v>2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1</v>
      </c>
      <c r="AD142" s="6">
        <v>1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</row>
    <row r="143" spans="1:45" x14ac:dyDescent="0.25">
      <c r="A143" s="6" t="s">
        <v>748</v>
      </c>
      <c r="B143" s="6" t="s">
        <v>363</v>
      </c>
      <c r="C143" s="6"/>
      <c r="D143" s="6" t="s">
        <v>422</v>
      </c>
      <c r="E143" s="6" t="s">
        <v>364</v>
      </c>
      <c r="G143" s="6"/>
      <c r="H143" s="6" t="s">
        <v>29</v>
      </c>
      <c r="I143" s="9">
        <v>0.5</v>
      </c>
      <c r="J143" s="9">
        <v>1.0499999999999998</v>
      </c>
      <c r="K143" s="9">
        <v>1.5499999999999998</v>
      </c>
      <c r="L143" s="6">
        <v>0</v>
      </c>
      <c r="M143" s="6">
        <v>1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3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</row>
    <row r="144" spans="1:45" x14ac:dyDescent="0.25">
      <c r="A144" s="6" t="s">
        <v>748</v>
      </c>
      <c r="B144" s="6" t="s">
        <v>395</v>
      </c>
      <c r="C144" s="14">
        <v>45058</v>
      </c>
      <c r="D144" s="6" t="s">
        <v>422</v>
      </c>
      <c r="E144" s="6" t="s">
        <v>396</v>
      </c>
      <c r="G144" s="6"/>
      <c r="H144" s="6" t="s">
        <v>29</v>
      </c>
      <c r="I144" s="9">
        <v>1.2</v>
      </c>
      <c r="J144" s="9">
        <v>3.5</v>
      </c>
      <c r="K144" s="9">
        <v>4.7</v>
      </c>
      <c r="L144" s="6">
        <v>2</v>
      </c>
      <c r="M144" s="6">
        <v>1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1</v>
      </c>
      <c r="AH144" s="6">
        <v>1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</row>
    <row r="145" spans="1:45" x14ac:dyDescent="0.25">
      <c r="A145" s="6" t="s">
        <v>748</v>
      </c>
      <c r="B145" s="6" t="s">
        <v>369</v>
      </c>
      <c r="C145" s="14">
        <v>45058</v>
      </c>
      <c r="D145" s="6" t="s">
        <v>422</v>
      </c>
      <c r="E145" s="6" t="s">
        <v>370</v>
      </c>
      <c r="G145" s="6"/>
      <c r="H145" s="6" t="s">
        <v>29</v>
      </c>
      <c r="I145" s="9">
        <v>1.2</v>
      </c>
      <c r="J145" s="9">
        <v>0.85</v>
      </c>
      <c r="K145" s="9">
        <v>2.0499999999999998</v>
      </c>
      <c r="L145" s="6">
        <v>2</v>
      </c>
      <c r="M145" s="6">
        <v>1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1</v>
      </c>
      <c r="AD145" s="6">
        <v>1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</row>
    <row r="146" spans="1:45" x14ac:dyDescent="0.25">
      <c r="A146" s="6" t="s">
        <v>748</v>
      </c>
      <c r="B146" s="6" t="s">
        <v>356</v>
      </c>
      <c r="C146" s="14">
        <v>45058</v>
      </c>
      <c r="D146" s="6" t="s">
        <v>422</v>
      </c>
      <c r="E146" s="6" t="s">
        <v>357</v>
      </c>
      <c r="G146" s="6"/>
      <c r="H146" s="6" t="s">
        <v>29</v>
      </c>
      <c r="I146" s="9">
        <v>1</v>
      </c>
      <c r="J146" s="9">
        <v>0.35</v>
      </c>
      <c r="K146" s="9">
        <v>1.35</v>
      </c>
      <c r="L146" s="6">
        <v>0</v>
      </c>
      <c r="M146" s="6">
        <v>2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1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</row>
    <row r="147" spans="1:45" x14ac:dyDescent="0.25">
      <c r="A147" s="6" t="s">
        <v>748</v>
      </c>
      <c r="B147" s="6" t="s">
        <v>393</v>
      </c>
      <c r="C147" s="14">
        <v>45061</v>
      </c>
      <c r="D147" s="6" t="s">
        <v>422</v>
      </c>
      <c r="E147" s="6" t="s">
        <v>394</v>
      </c>
      <c r="G147" s="6"/>
      <c r="H147" s="6" t="s">
        <v>29</v>
      </c>
      <c r="I147" s="9">
        <v>0.85</v>
      </c>
      <c r="J147" s="9">
        <v>3.5</v>
      </c>
      <c r="K147" s="9">
        <v>4.3499999999999996</v>
      </c>
      <c r="L147" s="6">
        <v>1</v>
      </c>
      <c r="M147" s="6">
        <v>1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1</v>
      </c>
      <c r="AH147" s="6">
        <v>1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</row>
    <row r="148" spans="1:45" x14ac:dyDescent="0.25">
      <c r="A148" s="6" t="s">
        <v>748</v>
      </c>
      <c r="B148" s="6" t="s">
        <v>388</v>
      </c>
      <c r="C148" s="14">
        <v>45061</v>
      </c>
      <c r="D148" s="6" t="s">
        <v>422</v>
      </c>
      <c r="E148" s="6" t="s">
        <v>386</v>
      </c>
      <c r="G148" s="6"/>
      <c r="H148" s="6" t="s">
        <v>29</v>
      </c>
      <c r="I148" s="9">
        <v>1</v>
      </c>
      <c r="J148" s="9">
        <v>2.5</v>
      </c>
      <c r="K148" s="9">
        <v>3.5</v>
      </c>
      <c r="L148" s="6">
        <v>0</v>
      </c>
      <c r="M148" s="6">
        <v>2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2</v>
      </c>
      <c r="AE148" s="6">
        <v>0</v>
      </c>
      <c r="AF148" s="6">
        <v>0</v>
      </c>
      <c r="AG148" s="6">
        <v>1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</row>
    <row r="149" spans="1:45" x14ac:dyDescent="0.25">
      <c r="A149" s="6" t="s">
        <v>748</v>
      </c>
      <c r="B149" s="6" t="s">
        <v>385</v>
      </c>
      <c r="C149" s="14">
        <v>45061</v>
      </c>
      <c r="D149" s="6" t="s">
        <v>422</v>
      </c>
      <c r="E149" s="6" t="s">
        <v>386</v>
      </c>
      <c r="G149" s="6"/>
      <c r="H149" s="6" t="s">
        <v>29</v>
      </c>
      <c r="I149" s="9">
        <v>0.75</v>
      </c>
      <c r="J149" s="9">
        <v>2.5</v>
      </c>
      <c r="K149" s="9">
        <v>3.25</v>
      </c>
      <c r="L149" s="6">
        <v>0</v>
      </c>
      <c r="M149" s="6">
        <v>0</v>
      </c>
      <c r="N149" s="6">
        <v>1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2</v>
      </c>
      <c r="AE149" s="6">
        <v>0</v>
      </c>
      <c r="AF149" s="6">
        <v>0</v>
      </c>
      <c r="AG149" s="6">
        <v>1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</row>
    <row r="150" spans="1:45" x14ac:dyDescent="0.25">
      <c r="A150" s="6" t="s">
        <v>748</v>
      </c>
      <c r="B150" s="6" t="s">
        <v>383</v>
      </c>
      <c r="C150" s="14">
        <v>45061</v>
      </c>
      <c r="D150" s="6" t="s">
        <v>422</v>
      </c>
      <c r="E150" s="6" t="s">
        <v>384</v>
      </c>
      <c r="G150" s="6"/>
      <c r="H150" s="6" t="s">
        <v>29</v>
      </c>
      <c r="I150" s="9">
        <v>1.5499999999999998</v>
      </c>
      <c r="J150" s="9">
        <v>1.5499999999999998</v>
      </c>
      <c r="K150" s="9">
        <v>3.0999999999999996</v>
      </c>
      <c r="L150" s="6">
        <v>3</v>
      </c>
      <c r="M150" s="6">
        <v>1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3</v>
      </c>
      <c r="AD150" s="6">
        <v>1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</row>
    <row r="151" spans="1:45" x14ac:dyDescent="0.25">
      <c r="A151" s="6" t="s">
        <v>748</v>
      </c>
      <c r="B151" s="6" t="s">
        <v>397</v>
      </c>
      <c r="C151" s="14">
        <v>45061</v>
      </c>
      <c r="D151" s="6" t="s">
        <v>422</v>
      </c>
      <c r="E151" s="6" t="s">
        <v>398</v>
      </c>
      <c r="G151" s="6"/>
      <c r="H151" s="6" t="s">
        <v>29</v>
      </c>
      <c r="I151" s="9">
        <v>2.25</v>
      </c>
      <c r="J151" s="9">
        <v>2.5</v>
      </c>
      <c r="K151" s="9">
        <v>4.75</v>
      </c>
      <c r="L151" s="6">
        <v>0</v>
      </c>
      <c r="M151" s="6">
        <v>0</v>
      </c>
      <c r="N151" s="6">
        <v>1</v>
      </c>
      <c r="O151" s="6">
        <v>0</v>
      </c>
      <c r="P151" s="6">
        <v>1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1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</row>
    <row r="152" spans="1:45" x14ac:dyDescent="0.25">
      <c r="A152" s="6" t="s">
        <v>748</v>
      </c>
      <c r="B152" s="6" t="s">
        <v>361</v>
      </c>
      <c r="C152" s="14">
        <v>45061</v>
      </c>
      <c r="D152" s="6" t="s">
        <v>422</v>
      </c>
      <c r="E152" s="6" t="s">
        <v>362</v>
      </c>
      <c r="G152" s="6"/>
      <c r="H152" s="6" t="s">
        <v>29</v>
      </c>
      <c r="I152" s="9">
        <v>0.35</v>
      </c>
      <c r="J152" s="9">
        <v>1.2</v>
      </c>
      <c r="K152" s="9">
        <v>1.5499999999999998</v>
      </c>
      <c r="L152" s="6">
        <v>1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2</v>
      </c>
      <c r="AD152" s="6">
        <v>1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</row>
    <row r="153" spans="1:45" x14ac:dyDescent="0.25">
      <c r="A153" s="6" t="s">
        <v>748</v>
      </c>
      <c r="B153" s="6" t="s">
        <v>399</v>
      </c>
      <c r="C153" s="14">
        <v>45061</v>
      </c>
      <c r="D153" s="6" t="s">
        <v>422</v>
      </c>
      <c r="E153" s="6" t="s">
        <v>400</v>
      </c>
      <c r="G153" s="6"/>
      <c r="H153" s="6" t="s">
        <v>29</v>
      </c>
      <c r="I153" s="9">
        <v>2</v>
      </c>
      <c r="J153" s="9">
        <v>2.85</v>
      </c>
      <c r="K153" s="9">
        <v>4.8499999999999996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1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1</v>
      </c>
      <c r="AD153" s="6">
        <v>2</v>
      </c>
      <c r="AE153" s="6">
        <v>0</v>
      </c>
      <c r="AF153" s="6">
        <v>0</v>
      </c>
      <c r="AG153" s="6">
        <v>1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</row>
    <row r="154" spans="1:45" x14ac:dyDescent="0.25">
      <c r="A154" s="6" t="s">
        <v>748</v>
      </c>
      <c r="B154" s="6" t="s">
        <v>358</v>
      </c>
      <c r="C154" s="14">
        <v>45061</v>
      </c>
      <c r="D154" s="6" t="s">
        <v>422</v>
      </c>
      <c r="E154" s="6" t="s">
        <v>359</v>
      </c>
      <c r="G154" s="6"/>
      <c r="H154" s="6" t="s">
        <v>29</v>
      </c>
      <c r="I154" s="9">
        <v>0.5</v>
      </c>
      <c r="J154" s="9">
        <v>0.85</v>
      </c>
      <c r="K154" s="9">
        <v>1.35</v>
      </c>
      <c r="L154" s="6">
        <v>0</v>
      </c>
      <c r="M154" s="6">
        <v>1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1</v>
      </c>
      <c r="AD154" s="6">
        <v>1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</row>
    <row r="155" spans="1:45" x14ac:dyDescent="0.25">
      <c r="A155" s="6" t="s">
        <v>747</v>
      </c>
      <c r="B155" s="11" t="s">
        <v>452</v>
      </c>
      <c r="C155" s="6"/>
      <c r="D155" s="6" t="s">
        <v>422</v>
      </c>
      <c r="E155" s="6"/>
      <c r="G155" s="6"/>
      <c r="H155" s="6"/>
      <c r="I155" s="9">
        <v>0.35</v>
      </c>
      <c r="J155" s="9">
        <v>0.7</v>
      </c>
      <c r="K155" s="9">
        <v>1.0499999999999998</v>
      </c>
      <c r="L155" s="6">
        <v>1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2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</row>
    <row r="156" spans="1:45" x14ac:dyDescent="0.25">
      <c r="A156" s="6" t="s">
        <v>747</v>
      </c>
      <c r="B156" s="6" t="s">
        <v>453</v>
      </c>
      <c r="C156" s="6"/>
      <c r="D156" s="6" t="s">
        <v>422</v>
      </c>
      <c r="E156" s="6"/>
      <c r="G156" s="6"/>
      <c r="H156" s="6"/>
      <c r="I156" s="9">
        <v>0.7</v>
      </c>
      <c r="J156" s="9">
        <v>0.5</v>
      </c>
      <c r="K156" s="9">
        <v>1.2</v>
      </c>
      <c r="L156" s="6">
        <v>2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/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1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</row>
    <row r="157" spans="1:45" x14ac:dyDescent="0.25">
      <c r="A157" s="6" t="s">
        <v>747</v>
      </c>
      <c r="B157" s="6" t="s">
        <v>454</v>
      </c>
      <c r="C157" s="6"/>
      <c r="D157" s="6" t="s">
        <v>422</v>
      </c>
      <c r="E157" s="6"/>
      <c r="G157" s="6"/>
      <c r="H157" s="6"/>
      <c r="I157" s="9">
        <v>1.0499999999999998</v>
      </c>
      <c r="J157" s="9">
        <v>0.5</v>
      </c>
      <c r="K157" s="9">
        <v>1.5499999999999998</v>
      </c>
      <c r="L157" s="6">
        <v>3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1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</row>
    <row r="158" spans="1:45" x14ac:dyDescent="0.25">
      <c r="A158" s="6" t="s">
        <v>747</v>
      </c>
      <c r="B158" s="6" t="s">
        <v>455</v>
      </c>
      <c r="C158" s="6"/>
      <c r="D158" s="6" t="s">
        <v>422</v>
      </c>
      <c r="E158" s="6"/>
      <c r="G158" s="6"/>
      <c r="H158" s="6"/>
      <c r="I158" s="9">
        <v>1.0499999999999998</v>
      </c>
      <c r="J158" s="9">
        <v>0.85</v>
      </c>
      <c r="K158" s="9">
        <v>1.9</v>
      </c>
      <c r="L158" s="6">
        <v>3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1</v>
      </c>
      <c r="AD158" s="6">
        <v>1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</row>
    <row r="159" spans="1:45" x14ac:dyDescent="0.25">
      <c r="A159" s="6" t="s">
        <v>747</v>
      </c>
      <c r="B159" s="6" t="s">
        <v>456</v>
      </c>
      <c r="C159" s="6"/>
      <c r="D159" s="6" t="s">
        <v>422</v>
      </c>
      <c r="E159" s="6"/>
      <c r="G159" s="6"/>
      <c r="H159" s="6"/>
      <c r="I159" s="9">
        <v>1.0499999999999998</v>
      </c>
      <c r="J159" s="9">
        <v>1.0499999999999998</v>
      </c>
      <c r="K159" s="9">
        <v>2.0999999999999996</v>
      </c>
      <c r="L159" s="6">
        <v>3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3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</row>
    <row r="160" spans="1:45" x14ac:dyDescent="0.25">
      <c r="A160" s="6" t="s">
        <v>747</v>
      </c>
      <c r="B160" s="6" t="s">
        <v>457</v>
      </c>
      <c r="C160" s="14">
        <v>45764</v>
      </c>
      <c r="D160" s="6" t="s">
        <v>422</v>
      </c>
      <c r="E160" s="6"/>
      <c r="G160" s="6"/>
      <c r="H160" s="6"/>
      <c r="I160" s="9">
        <v>0.7</v>
      </c>
      <c r="J160" s="9">
        <v>0.7</v>
      </c>
      <c r="K160" s="9">
        <v>1.4</v>
      </c>
      <c r="L160" s="6">
        <v>2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2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</row>
    <row r="161" spans="1:45" x14ac:dyDescent="0.25">
      <c r="A161" s="6" t="s">
        <v>747</v>
      </c>
      <c r="B161" s="6" t="s">
        <v>458</v>
      </c>
      <c r="C161" s="14">
        <v>45764</v>
      </c>
      <c r="D161" s="6" t="s">
        <v>422</v>
      </c>
      <c r="E161" s="6"/>
      <c r="G161" s="6"/>
      <c r="H161" s="6"/>
      <c r="I161" s="9">
        <v>1.25</v>
      </c>
      <c r="J161" s="9">
        <v>0.5</v>
      </c>
      <c r="K161" s="9">
        <v>1.75</v>
      </c>
      <c r="L161" s="6">
        <v>0</v>
      </c>
      <c r="M161" s="6">
        <v>1</v>
      </c>
      <c r="N161" s="6">
        <v>1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1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</row>
    <row r="162" spans="1:45" x14ac:dyDescent="0.25">
      <c r="A162" s="6" t="s">
        <v>747</v>
      </c>
      <c r="B162" s="6" t="s">
        <v>459</v>
      </c>
      <c r="C162" s="6"/>
      <c r="D162" s="6" t="s">
        <v>422</v>
      </c>
      <c r="E162" s="6"/>
      <c r="G162" s="6"/>
      <c r="H162" s="6"/>
      <c r="I162" s="9">
        <v>1.1000000000000001</v>
      </c>
      <c r="J162" s="9">
        <v>0.35</v>
      </c>
      <c r="K162" s="9">
        <v>1.4500000000000002</v>
      </c>
      <c r="L162" s="6">
        <v>1</v>
      </c>
      <c r="M162" s="6">
        <v>0</v>
      </c>
      <c r="N162" s="6">
        <v>1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1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</row>
    <row r="163" spans="1:45" x14ac:dyDescent="0.25">
      <c r="A163" s="6" t="s">
        <v>747</v>
      </c>
      <c r="B163" s="6" t="s">
        <v>460</v>
      </c>
      <c r="C163" s="14">
        <v>45764</v>
      </c>
      <c r="D163" s="6" t="s">
        <v>422</v>
      </c>
      <c r="E163" s="6"/>
      <c r="G163" s="6"/>
      <c r="H163" s="6"/>
      <c r="I163" s="9">
        <v>1</v>
      </c>
      <c r="J163" s="9">
        <v>0.5</v>
      </c>
      <c r="K163" s="9">
        <v>1.5</v>
      </c>
      <c r="L163" s="6">
        <v>0</v>
      </c>
      <c r="M163" s="6">
        <v>2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1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</row>
    <row r="164" spans="1:45" x14ac:dyDescent="0.25">
      <c r="A164" s="6" t="s">
        <v>747</v>
      </c>
      <c r="B164" s="6" t="s">
        <v>461</v>
      </c>
      <c r="C164" s="14">
        <v>45764</v>
      </c>
      <c r="D164" s="6" t="s">
        <v>422</v>
      </c>
      <c r="E164" s="6"/>
      <c r="G164" s="6"/>
      <c r="H164" s="6"/>
      <c r="I164" s="9">
        <v>1.0499999999999998</v>
      </c>
      <c r="J164" s="9">
        <v>1.4</v>
      </c>
      <c r="K164" s="9">
        <v>2.4499999999999997</v>
      </c>
      <c r="L164" s="6">
        <v>3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4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</row>
    <row r="165" spans="1:45" x14ac:dyDescent="0.25">
      <c r="A165" s="6" t="s">
        <v>747</v>
      </c>
      <c r="B165" s="6" t="s">
        <v>462</v>
      </c>
      <c r="C165" s="6"/>
      <c r="D165" s="6" t="s">
        <v>422</v>
      </c>
      <c r="E165" s="6"/>
      <c r="G165" s="6"/>
      <c r="H165" s="6"/>
      <c r="I165" s="9">
        <v>0.5</v>
      </c>
      <c r="J165" s="9">
        <v>1.75</v>
      </c>
      <c r="K165" s="9">
        <v>2.25</v>
      </c>
      <c r="L165" s="6">
        <v>0</v>
      </c>
      <c r="M165" s="6">
        <v>1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5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</row>
    <row r="166" spans="1:45" x14ac:dyDescent="0.25">
      <c r="A166" s="6" t="s">
        <v>747</v>
      </c>
      <c r="B166" s="6" t="s">
        <v>463</v>
      </c>
      <c r="C166" s="14">
        <v>45764</v>
      </c>
      <c r="D166" s="6" t="s">
        <v>422</v>
      </c>
      <c r="E166" s="6" t="s">
        <v>360</v>
      </c>
      <c r="G166" s="6"/>
      <c r="H166" s="6"/>
      <c r="I166" s="9">
        <v>1.5</v>
      </c>
      <c r="J166" s="9">
        <v>0</v>
      </c>
      <c r="K166" s="9">
        <v>1.5</v>
      </c>
      <c r="L166" s="6">
        <v>0</v>
      </c>
      <c r="M166" s="6">
        <v>3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</row>
    <row r="167" spans="1:45" x14ac:dyDescent="0.25">
      <c r="A167" s="6" t="s">
        <v>747</v>
      </c>
      <c r="B167" s="6" t="s">
        <v>464</v>
      </c>
      <c r="C167" s="6"/>
      <c r="D167" s="6" t="s">
        <v>422</v>
      </c>
      <c r="E167" s="6"/>
      <c r="G167" s="6"/>
      <c r="H167" s="6"/>
      <c r="I167" s="9">
        <v>0</v>
      </c>
      <c r="J167" s="9">
        <v>3</v>
      </c>
      <c r="K167" s="9">
        <v>3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3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</row>
    <row r="168" spans="1:45" x14ac:dyDescent="0.25">
      <c r="A168" s="6" t="s">
        <v>747</v>
      </c>
      <c r="B168" s="6" t="s">
        <v>465</v>
      </c>
      <c r="C168" s="6"/>
      <c r="D168" s="6" t="s">
        <v>422</v>
      </c>
      <c r="E168" s="6"/>
      <c r="G168" s="6"/>
      <c r="H168" s="6"/>
      <c r="I168" s="9">
        <v>0</v>
      </c>
      <c r="J168" s="9">
        <v>4</v>
      </c>
      <c r="K168" s="9">
        <v>4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4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</row>
    <row r="169" spans="1:45" x14ac:dyDescent="0.25">
      <c r="A169" s="6" t="s">
        <v>747</v>
      </c>
      <c r="B169" s="6" t="s">
        <v>466</v>
      </c>
      <c r="C169" s="6"/>
      <c r="D169" s="6" t="s">
        <v>422</v>
      </c>
      <c r="E169" s="6"/>
      <c r="G169" s="6"/>
      <c r="H169" s="6"/>
      <c r="I169" s="9">
        <v>1</v>
      </c>
      <c r="J169" s="9">
        <v>1</v>
      </c>
      <c r="K169" s="9">
        <v>2</v>
      </c>
      <c r="L169" s="6">
        <v>0</v>
      </c>
      <c r="M169" s="6">
        <v>2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2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</row>
    <row r="170" spans="1:45" x14ac:dyDescent="0.25">
      <c r="A170" s="6" t="s">
        <v>747</v>
      </c>
      <c r="B170" s="6" t="s">
        <v>436</v>
      </c>
      <c r="C170" s="6"/>
      <c r="D170" s="6" t="s">
        <v>422</v>
      </c>
      <c r="E170" s="6"/>
      <c r="G170" s="6"/>
      <c r="H170" s="6"/>
      <c r="I170" s="9">
        <v>1.4</v>
      </c>
      <c r="J170" s="9">
        <v>0.35</v>
      </c>
      <c r="K170" s="9">
        <v>1.75</v>
      </c>
      <c r="L170" s="6">
        <v>4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1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</row>
    <row r="171" spans="1:45" x14ac:dyDescent="0.25">
      <c r="A171" s="6" t="s">
        <v>747</v>
      </c>
      <c r="B171" s="6" t="s">
        <v>467</v>
      </c>
      <c r="C171" s="14">
        <v>45764</v>
      </c>
      <c r="D171" s="6" t="s">
        <v>422</v>
      </c>
      <c r="E171" s="6"/>
      <c r="G171" s="6"/>
      <c r="H171" s="6"/>
      <c r="I171" s="9">
        <v>0.7</v>
      </c>
      <c r="J171" s="9">
        <v>2.5499999999999998</v>
      </c>
      <c r="K171" s="9">
        <v>3.25</v>
      </c>
      <c r="L171" s="6">
        <v>2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3</v>
      </c>
      <c r="AD171" s="6">
        <v>1</v>
      </c>
      <c r="AE171" s="6">
        <v>0</v>
      </c>
      <c r="AF171" s="6">
        <v>1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</row>
    <row r="172" spans="1:45" x14ac:dyDescent="0.25">
      <c r="A172" s="6" t="s">
        <v>747</v>
      </c>
      <c r="B172" s="6" t="s">
        <v>468</v>
      </c>
      <c r="C172" s="14">
        <v>45724</v>
      </c>
      <c r="D172" s="6" t="s">
        <v>422</v>
      </c>
      <c r="E172" s="6"/>
      <c r="G172" s="6"/>
      <c r="H172" s="6"/>
      <c r="I172" s="9">
        <v>0.35</v>
      </c>
      <c r="J172" s="9">
        <v>2.5499999999999998</v>
      </c>
      <c r="K172" s="9">
        <v>2.9</v>
      </c>
      <c r="L172" s="6">
        <v>1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3</v>
      </c>
      <c r="AD172" s="6">
        <v>1</v>
      </c>
      <c r="AE172" s="6">
        <v>0</v>
      </c>
      <c r="AF172" s="6">
        <v>1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0</v>
      </c>
      <c r="AS172" s="6">
        <v>0</v>
      </c>
    </row>
    <row r="173" spans="1:45" x14ac:dyDescent="0.25">
      <c r="A173" s="7" t="s">
        <v>747</v>
      </c>
      <c r="B173" s="7" t="s">
        <v>469</v>
      </c>
      <c r="C173" s="7"/>
      <c r="D173" s="7" t="s">
        <v>422</v>
      </c>
      <c r="E173" s="7"/>
      <c r="G173" s="7"/>
      <c r="H173" s="7"/>
      <c r="I173" s="10">
        <v>0.7</v>
      </c>
      <c r="J173" s="10">
        <v>2.9</v>
      </c>
      <c r="K173" s="10">
        <v>3.5999999999999996</v>
      </c>
      <c r="L173" s="7">
        <v>2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4</v>
      </c>
      <c r="AD173" s="7">
        <v>1</v>
      </c>
      <c r="AE173" s="7">
        <v>0</v>
      </c>
      <c r="AF173" s="7">
        <v>1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</row>
    <row r="174" spans="1:45" x14ac:dyDescent="0.25">
      <c r="A174" s="6" t="s">
        <v>747</v>
      </c>
      <c r="B174" s="6" t="s">
        <v>470</v>
      </c>
      <c r="C174" s="6"/>
      <c r="D174" s="6" t="s">
        <v>422</v>
      </c>
      <c r="E174" s="6"/>
      <c r="G174" s="6"/>
      <c r="H174" s="6"/>
      <c r="I174" s="9">
        <v>4</v>
      </c>
      <c r="J174" s="9">
        <v>1</v>
      </c>
      <c r="K174" s="9">
        <v>5</v>
      </c>
      <c r="L174" s="6">
        <v>0</v>
      </c>
      <c r="M174" s="6">
        <v>0</v>
      </c>
      <c r="N174" s="6">
        <v>0</v>
      </c>
      <c r="O174" s="6">
        <v>1</v>
      </c>
      <c r="P174" s="6">
        <v>0</v>
      </c>
      <c r="Q174" s="6">
        <v>0</v>
      </c>
      <c r="R174" s="6">
        <v>0</v>
      </c>
      <c r="S174" s="6">
        <v>1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2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</row>
    <row r="175" spans="1:45" x14ac:dyDescent="0.25">
      <c r="A175" s="6" t="s">
        <v>747</v>
      </c>
      <c r="B175" s="6" t="s">
        <v>471</v>
      </c>
      <c r="C175" s="6"/>
      <c r="D175" s="6" t="s">
        <v>422</v>
      </c>
      <c r="E175" s="6"/>
      <c r="G175" s="6"/>
      <c r="H175" s="6"/>
      <c r="I175" s="9">
        <v>5</v>
      </c>
      <c r="J175" s="9">
        <v>1</v>
      </c>
      <c r="K175" s="9">
        <v>6</v>
      </c>
      <c r="L175" s="6">
        <v>0</v>
      </c>
      <c r="M175" s="6">
        <v>0</v>
      </c>
      <c r="N175" s="6">
        <v>0</v>
      </c>
      <c r="O175" s="6">
        <v>2</v>
      </c>
      <c r="P175" s="6">
        <v>0</v>
      </c>
      <c r="Q175" s="6">
        <v>0</v>
      </c>
      <c r="R175" s="6">
        <v>0</v>
      </c>
      <c r="S175" s="6">
        <v>1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2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</row>
    <row r="176" spans="1:45" x14ac:dyDescent="0.25">
      <c r="A176" s="6" t="s">
        <v>747</v>
      </c>
      <c r="B176" s="6" t="s">
        <v>472</v>
      </c>
      <c r="C176" s="6"/>
      <c r="D176" s="6" t="s">
        <v>422</v>
      </c>
      <c r="E176" s="6"/>
      <c r="G176" s="6"/>
      <c r="H176" s="6"/>
      <c r="I176" s="9">
        <v>3</v>
      </c>
      <c r="J176" s="9">
        <v>1</v>
      </c>
      <c r="K176" s="9">
        <v>4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1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2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6">
        <v>0</v>
      </c>
    </row>
    <row r="177" spans="1:45" x14ac:dyDescent="0.25">
      <c r="A177" s="6" t="s">
        <v>747</v>
      </c>
      <c r="B177" s="6" t="s">
        <v>473</v>
      </c>
      <c r="C177" s="6"/>
      <c r="D177" s="6" t="s">
        <v>422</v>
      </c>
      <c r="E177" s="6"/>
      <c r="G177" s="6"/>
      <c r="H177" s="6"/>
      <c r="I177" s="9">
        <v>4.5</v>
      </c>
      <c r="J177" s="9">
        <v>1</v>
      </c>
      <c r="K177" s="9">
        <v>5.5</v>
      </c>
      <c r="L177" s="6">
        <v>0</v>
      </c>
      <c r="M177" s="6">
        <v>1</v>
      </c>
      <c r="N177" s="6">
        <v>0</v>
      </c>
      <c r="O177" s="6">
        <v>1</v>
      </c>
      <c r="P177" s="6">
        <v>0</v>
      </c>
      <c r="Q177" s="6">
        <v>0</v>
      </c>
      <c r="R177" s="6">
        <v>0</v>
      </c>
      <c r="S177" s="6">
        <v>1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2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6">
        <v>0</v>
      </c>
      <c r="AS177" s="6">
        <v>0</v>
      </c>
    </row>
    <row r="178" spans="1:45" x14ac:dyDescent="0.25">
      <c r="A178" s="6" t="s">
        <v>747</v>
      </c>
      <c r="B178" s="6" t="s">
        <v>449</v>
      </c>
      <c r="C178" s="6"/>
      <c r="D178" s="6" t="s">
        <v>422</v>
      </c>
      <c r="E178" s="6"/>
      <c r="G178" s="6"/>
      <c r="H178" s="6"/>
      <c r="I178" s="9">
        <v>2</v>
      </c>
      <c r="J178" s="9">
        <v>3</v>
      </c>
      <c r="K178" s="9">
        <v>5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1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1</v>
      </c>
      <c r="AG178" s="6">
        <v>0</v>
      </c>
      <c r="AH178" s="6">
        <v>1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</row>
    <row r="179" spans="1:45" x14ac:dyDescent="0.25">
      <c r="A179" s="6" t="s">
        <v>747</v>
      </c>
      <c r="B179" s="6" t="s">
        <v>435</v>
      </c>
      <c r="C179" s="6"/>
      <c r="D179" s="6" t="s">
        <v>422</v>
      </c>
      <c r="E179" s="6"/>
      <c r="G179" s="6"/>
      <c r="H179" s="6"/>
      <c r="I179" s="9">
        <v>1.45</v>
      </c>
      <c r="J179" s="9">
        <v>0</v>
      </c>
      <c r="K179" s="9">
        <v>1.45</v>
      </c>
      <c r="L179" s="6">
        <v>2</v>
      </c>
      <c r="M179" s="6">
        <v>0</v>
      </c>
      <c r="N179" s="6">
        <v>1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</row>
    <row r="180" spans="1:45" x14ac:dyDescent="0.25">
      <c r="A180" s="6" t="s">
        <v>747</v>
      </c>
      <c r="B180" s="6" t="s">
        <v>474</v>
      </c>
      <c r="C180" s="14">
        <v>45724</v>
      </c>
      <c r="D180" s="6" t="s">
        <v>422</v>
      </c>
      <c r="E180" s="6"/>
      <c r="G180" s="6"/>
      <c r="H180" s="6"/>
      <c r="I180" s="9">
        <v>2.2999999999999998</v>
      </c>
      <c r="J180" s="9">
        <v>0.35</v>
      </c>
      <c r="K180" s="9">
        <v>2.65</v>
      </c>
      <c r="L180" s="6">
        <v>3</v>
      </c>
      <c r="M180" s="6">
        <v>1</v>
      </c>
      <c r="N180" s="6">
        <v>1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1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</row>
    <row r="181" spans="1:45" x14ac:dyDescent="0.25">
      <c r="A181" s="6" t="s">
        <v>747</v>
      </c>
      <c r="B181" s="6" t="s">
        <v>475</v>
      </c>
      <c r="C181" s="6"/>
      <c r="D181" s="6" t="s">
        <v>422</v>
      </c>
      <c r="E181" s="6"/>
      <c r="G181" s="6"/>
      <c r="H181" s="6"/>
      <c r="I181" s="9">
        <v>3</v>
      </c>
      <c r="J181" s="9">
        <v>0.35</v>
      </c>
      <c r="K181" s="9">
        <v>3.35</v>
      </c>
      <c r="L181" s="6">
        <v>5</v>
      </c>
      <c r="M181" s="6">
        <v>1</v>
      </c>
      <c r="N181" s="6">
        <v>1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1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</row>
    <row r="182" spans="1:45" x14ac:dyDescent="0.25">
      <c r="A182" s="6" t="s">
        <v>747</v>
      </c>
      <c r="B182" s="6" t="s">
        <v>476</v>
      </c>
      <c r="C182" s="14">
        <v>45724</v>
      </c>
      <c r="D182" s="6" t="s">
        <v>422</v>
      </c>
      <c r="E182" s="6"/>
      <c r="G182" s="6"/>
      <c r="H182" s="6"/>
      <c r="I182" s="9">
        <v>1.6</v>
      </c>
      <c r="J182" s="9">
        <v>0.35</v>
      </c>
      <c r="K182" s="9">
        <v>1.9500000000000002</v>
      </c>
      <c r="L182" s="6">
        <v>1</v>
      </c>
      <c r="M182" s="6">
        <v>1</v>
      </c>
      <c r="N182" s="6">
        <v>1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1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</row>
    <row r="183" spans="1:45" x14ac:dyDescent="0.25">
      <c r="A183" s="6" t="s">
        <v>747</v>
      </c>
      <c r="B183" s="6" t="s">
        <v>477</v>
      </c>
      <c r="C183" s="14">
        <v>45724</v>
      </c>
      <c r="D183" s="6" t="s">
        <v>422</v>
      </c>
      <c r="E183" s="6"/>
      <c r="G183" s="6"/>
      <c r="H183" s="6"/>
      <c r="I183" s="9">
        <v>1.95</v>
      </c>
      <c r="J183" s="9">
        <v>0.35</v>
      </c>
      <c r="K183" s="9">
        <v>2.2999999999999998</v>
      </c>
      <c r="L183" s="6">
        <v>2</v>
      </c>
      <c r="M183" s="6">
        <v>1</v>
      </c>
      <c r="N183" s="6">
        <v>1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1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</row>
    <row r="184" spans="1:45" x14ac:dyDescent="0.25">
      <c r="A184" s="6" t="s">
        <v>747</v>
      </c>
      <c r="B184" s="6" t="s">
        <v>439</v>
      </c>
      <c r="C184" s="6"/>
      <c r="D184" s="6" t="s">
        <v>422</v>
      </c>
      <c r="E184" s="6"/>
      <c r="G184" s="6"/>
      <c r="H184" s="6"/>
      <c r="I184" s="9">
        <v>2.65</v>
      </c>
      <c r="J184" s="9">
        <v>0.35</v>
      </c>
      <c r="K184" s="9">
        <v>3</v>
      </c>
      <c r="L184" s="6">
        <v>4</v>
      </c>
      <c r="M184" s="6">
        <v>1</v>
      </c>
      <c r="N184" s="6">
        <v>1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1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</row>
    <row r="185" spans="1:45" x14ac:dyDescent="0.25">
      <c r="A185" s="6" t="s">
        <v>747</v>
      </c>
      <c r="B185" s="6" t="s">
        <v>478</v>
      </c>
      <c r="C185" s="6"/>
      <c r="D185" s="6" t="s">
        <v>422</v>
      </c>
      <c r="E185" s="6"/>
      <c r="G185" s="6"/>
      <c r="H185" s="6"/>
      <c r="I185" s="9">
        <v>1.1000000000000001</v>
      </c>
      <c r="J185" s="9">
        <v>0</v>
      </c>
      <c r="K185" s="9">
        <v>1.1000000000000001</v>
      </c>
      <c r="L185" s="6">
        <v>1</v>
      </c>
      <c r="M185" s="6">
        <v>0</v>
      </c>
      <c r="N185" s="6">
        <v>1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0</v>
      </c>
    </row>
    <row r="186" spans="1:45" x14ac:dyDescent="0.25">
      <c r="A186" s="6" t="s">
        <v>747</v>
      </c>
      <c r="B186" s="6" t="s">
        <v>479</v>
      </c>
      <c r="C186" s="6"/>
      <c r="D186" s="6" t="s">
        <v>422</v>
      </c>
      <c r="E186" s="6"/>
      <c r="G186" s="6"/>
      <c r="H186" s="6"/>
      <c r="I186" s="9">
        <v>1</v>
      </c>
      <c r="J186" s="9">
        <v>1.75</v>
      </c>
      <c r="K186" s="9">
        <v>2.75</v>
      </c>
      <c r="L186" s="6">
        <v>0</v>
      </c>
      <c r="M186" s="6">
        <v>0</v>
      </c>
      <c r="N186" s="6">
        <v>0</v>
      </c>
      <c r="O186" s="6">
        <v>1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1</v>
      </c>
      <c r="AF186" s="6">
        <v>1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</row>
    <row r="187" spans="1:45" x14ac:dyDescent="0.25">
      <c r="A187" s="6" t="s">
        <v>747</v>
      </c>
      <c r="B187" s="6" t="s">
        <v>480</v>
      </c>
      <c r="C187" s="6"/>
      <c r="D187" s="6" t="s">
        <v>422</v>
      </c>
      <c r="E187" s="6"/>
      <c r="G187" s="6"/>
      <c r="H187" s="6"/>
      <c r="I187" s="9">
        <v>0</v>
      </c>
      <c r="J187" s="9">
        <v>5.35</v>
      </c>
      <c r="K187" s="9">
        <v>5.35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1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2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6">
        <v>0</v>
      </c>
    </row>
    <row r="188" spans="1:45" x14ac:dyDescent="0.25">
      <c r="A188" s="6" t="s">
        <v>747</v>
      </c>
      <c r="B188" s="6" t="s">
        <v>481</v>
      </c>
      <c r="C188" s="6"/>
      <c r="D188" s="6" t="s">
        <v>422</v>
      </c>
      <c r="E188" s="6"/>
      <c r="G188" s="6"/>
      <c r="H188" s="6"/>
      <c r="I188" s="9">
        <v>0.35</v>
      </c>
      <c r="J188" s="9">
        <v>2.5</v>
      </c>
      <c r="K188" s="9">
        <v>2.85</v>
      </c>
      <c r="L188" s="6">
        <v>1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1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0</v>
      </c>
    </row>
    <row r="189" spans="1:45" x14ac:dyDescent="0.25">
      <c r="A189" s="6" t="s">
        <v>747</v>
      </c>
      <c r="B189" s="6" t="s">
        <v>437</v>
      </c>
      <c r="C189" s="6"/>
      <c r="D189" s="6" t="s">
        <v>422</v>
      </c>
      <c r="E189" s="6"/>
      <c r="G189" s="6"/>
      <c r="H189" s="6"/>
      <c r="I189" s="9">
        <v>2.85</v>
      </c>
      <c r="J189" s="9">
        <v>2.85</v>
      </c>
      <c r="K189" s="9">
        <v>5.7</v>
      </c>
      <c r="L189" s="6">
        <v>1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1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1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1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</row>
    <row r="190" spans="1:45" x14ac:dyDescent="0.25">
      <c r="A190" s="6" t="s">
        <v>747</v>
      </c>
      <c r="B190" s="6" t="s">
        <v>482</v>
      </c>
      <c r="C190" s="14">
        <v>43404</v>
      </c>
      <c r="D190" s="6" t="s">
        <v>422</v>
      </c>
      <c r="E190" s="6"/>
      <c r="G190" s="6"/>
      <c r="H190" s="6"/>
      <c r="I190" s="9">
        <v>15</v>
      </c>
      <c r="J190" s="9">
        <v>0</v>
      </c>
      <c r="K190" s="9">
        <v>15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6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</row>
    <row r="191" spans="1:45" x14ac:dyDescent="0.25">
      <c r="A191" s="6" t="s">
        <v>747</v>
      </c>
      <c r="B191" s="6" t="s">
        <v>446</v>
      </c>
      <c r="C191" s="6"/>
      <c r="D191" s="6" t="s">
        <v>422</v>
      </c>
      <c r="E191" s="6"/>
      <c r="G191" s="6"/>
      <c r="H191" s="6"/>
      <c r="I191" s="9">
        <v>12.5</v>
      </c>
      <c r="J191" s="9">
        <v>0</v>
      </c>
      <c r="K191" s="9">
        <v>12.5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5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</row>
    <row r="192" spans="1:45" x14ac:dyDescent="0.25">
      <c r="A192" s="7" t="s">
        <v>747</v>
      </c>
      <c r="B192" s="7" t="s">
        <v>483</v>
      </c>
      <c r="C192" s="15">
        <v>43404</v>
      </c>
      <c r="D192" s="7" t="s">
        <v>422</v>
      </c>
      <c r="E192" s="7"/>
      <c r="G192" s="7"/>
      <c r="H192" s="7"/>
      <c r="I192" s="10">
        <v>17.5</v>
      </c>
      <c r="J192" s="10">
        <v>0</v>
      </c>
      <c r="K192" s="10">
        <v>17.5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7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</row>
    <row r="193" spans="1:45" x14ac:dyDescent="0.25">
      <c r="A193" s="6" t="s">
        <v>747</v>
      </c>
      <c r="B193" s="6" t="s">
        <v>484</v>
      </c>
      <c r="C193" s="6"/>
      <c r="D193" s="6" t="s">
        <v>422</v>
      </c>
      <c r="E193" s="6"/>
      <c r="G193" s="6"/>
      <c r="H193" s="6"/>
      <c r="I193" s="9">
        <v>2.5</v>
      </c>
      <c r="J193" s="9">
        <v>5</v>
      </c>
      <c r="K193" s="9">
        <v>7.5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1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2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</row>
    <row r="194" spans="1:45" x14ac:dyDescent="0.25">
      <c r="A194" s="6" t="s">
        <v>747</v>
      </c>
      <c r="B194" s="6" t="s">
        <v>448</v>
      </c>
      <c r="C194" s="6"/>
      <c r="D194" s="6" t="s">
        <v>422</v>
      </c>
      <c r="E194" s="6"/>
      <c r="G194" s="6"/>
      <c r="H194" s="6"/>
      <c r="I194" s="9">
        <v>0</v>
      </c>
      <c r="J194" s="9">
        <v>12</v>
      </c>
      <c r="K194" s="9">
        <v>12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4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</row>
    <row r="195" spans="1:45" x14ac:dyDescent="0.25">
      <c r="A195" s="6" t="s">
        <v>747</v>
      </c>
      <c r="B195" s="6" t="s">
        <v>485</v>
      </c>
      <c r="C195" s="6"/>
      <c r="D195" s="6" t="s">
        <v>422</v>
      </c>
      <c r="E195" s="6"/>
      <c r="G195" s="6"/>
      <c r="H195" s="6"/>
      <c r="I195" s="9">
        <v>0</v>
      </c>
      <c r="J195" s="9">
        <v>9</v>
      </c>
      <c r="K195" s="9">
        <v>9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3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</row>
    <row r="196" spans="1:45" x14ac:dyDescent="0.25">
      <c r="A196" s="6" t="s">
        <v>747</v>
      </c>
      <c r="B196" s="6" t="s">
        <v>486</v>
      </c>
      <c r="C196" s="6"/>
      <c r="D196" s="6" t="s">
        <v>422</v>
      </c>
      <c r="E196" s="6"/>
      <c r="G196" s="6"/>
      <c r="H196" s="6"/>
      <c r="I196" s="9">
        <v>1</v>
      </c>
      <c r="J196" s="9">
        <v>0</v>
      </c>
      <c r="K196" s="9">
        <v>1</v>
      </c>
      <c r="L196" s="6">
        <v>0</v>
      </c>
      <c r="M196" s="6">
        <v>2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</row>
    <row r="197" spans="1:45" x14ac:dyDescent="0.25">
      <c r="A197" s="6" t="s">
        <v>747</v>
      </c>
      <c r="B197" s="6" t="s">
        <v>445</v>
      </c>
      <c r="C197" s="6"/>
      <c r="D197" s="6" t="s">
        <v>422</v>
      </c>
      <c r="E197" s="6"/>
      <c r="G197" s="6"/>
      <c r="H197" s="6"/>
      <c r="I197" s="9">
        <v>5.75</v>
      </c>
      <c r="J197" s="9">
        <v>0.5</v>
      </c>
      <c r="K197" s="9">
        <v>6.25</v>
      </c>
      <c r="L197" s="6">
        <v>0</v>
      </c>
      <c r="M197" s="6">
        <v>1</v>
      </c>
      <c r="N197" s="6">
        <v>1</v>
      </c>
      <c r="O197" s="6">
        <v>1</v>
      </c>
      <c r="P197" s="6">
        <v>1</v>
      </c>
      <c r="Q197" s="6">
        <v>1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1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</row>
    <row r="198" spans="1:45" x14ac:dyDescent="0.25">
      <c r="A198" s="6" t="s">
        <v>747</v>
      </c>
      <c r="B198" s="6" t="s">
        <v>487</v>
      </c>
      <c r="C198" s="6"/>
      <c r="D198" s="6" t="s">
        <v>422</v>
      </c>
      <c r="E198" s="6"/>
      <c r="G198" s="6"/>
      <c r="H198" s="6"/>
      <c r="I198" s="9">
        <v>0.35</v>
      </c>
      <c r="J198" s="9">
        <v>1</v>
      </c>
      <c r="K198" s="9">
        <v>1.35</v>
      </c>
      <c r="L198" s="6">
        <v>1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2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</row>
    <row r="199" spans="1:45" x14ac:dyDescent="0.25">
      <c r="A199" s="6" t="s">
        <v>747</v>
      </c>
      <c r="B199" s="6" t="s">
        <v>488</v>
      </c>
      <c r="C199" s="6"/>
      <c r="D199" s="6" t="s">
        <v>422</v>
      </c>
      <c r="E199" s="6"/>
      <c r="G199" s="6"/>
      <c r="H199" s="6"/>
      <c r="I199" s="9">
        <v>1.7</v>
      </c>
      <c r="J199" s="9">
        <v>1.35</v>
      </c>
      <c r="K199" s="9">
        <v>3.05</v>
      </c>
      <c r="L199" s="6">
        <v>2</v>
      </c>
      <c r="M199" s="6">
        <v>2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1</v>
      </c>
      <c r="AD199" s="6">
        <v>2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6">
        <v>0</v>
      </c>
      <c r="AO199" s="6">
        <v>0</v>
      </c>
      <c r="AP199" s="6">
        <v>0</v>
      </c>
      <c r="AQ199" s="6">
        <v>0</v>
      </c>
      <c r="AR199" s="6">
        <v>0</v>
      </c>
      <c r="AS199" s="6">
        <v>0</v>
      </c>
    </row>
    <row r="200" spans="1:45" x14ac:dyDescent="0.25">
      <c r="A200" s="6" t="s">
        <v>747</v>
      </c>
      <c r="B200" s="6" t="s">
        <v>489</v>
      </c>
      <c r="C200" s="6"/>
      <c r="D200" s="6" t="s">
        <v>422</v>
      </c>
      <c r="E200" s="6"/>
      <c r="G200" s="6"/>
      <c r="H200" s="6"/>
      <c r="I200" s="9">
        <v>0</v>
      </c>
      <c r="J200" s="9">
        <v>12.5</v>
      </c>
      <c r="K200" s="9">
        <v>12.5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1</v>
      </c>
      <c r="AJ200" s="6">
        <v>0</v>
      </c>
      <c r="AK200" s="6">
        <v>1</v>
      </c>
      <c r="AL200" s="6">
        <v>0</v>
      </c>
      <c r="AM200" s="6">
        <v>1</v>
      </c>
      <c r="AN200" s="6">
        <v>0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</row>
    <row r="201" spans="1:45" x14ac:dyDescent="0.25">
      <c r="A201" s="6" t="s">
        <v>747</v>
      </c>
      <c r="B201" s="6" t="s">
        <v>490</v>
      </c>
      <c r="C201" s="6" t="s">
        <v>754</v>
      </c>
      <c r="D201" s="6" t="s">
        <v>422</v>
      </c>
      <c r="E201" s="6"/>
      <c r="G201" s="6"/>
      <c r="H201" s="6"/>
      <c r="I201" s="9">
        <v>2.5</v>
      </c>
      <c r="J201" s="9">
        <v>1.5</v>
      </c>
      <c r="K201" s="9">
        <v>4</v>
      </c>
      <c r="L201" s="6">
        <v>0</v>
      </c>
      <c r="M201" s="6">
        <v>0</v>
      </c>
      <c r="N201" s="6">
        <v>2</v>
      </c>
      <c r="O201" s="6">
        <v>1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2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</row>
    <row r="202" spans="1:45" x14ac:dyDescent="0.25">
      <c r="A202" s="6" t="s">
        <v>747</v>
      </c>
      <c r="B202" s="6" t="s">
        <v>491</v>
      </c>
      <c r="C202" s="6"/>
      <c r="D202" s="6" t="s">
        <v>422</v>
      </c>
      <c r="E202" s="6"/>
      <c r="G202" s="6"/>
      <c r="H202" s="6"/>
      <c r="I202" s="9">
        <v>0.5</v>
      </c>
      <c r="J202" s="9">
        <v>1.5</v>
      </c>
      <c r="K202" s="9">
        <v>2</v>
      </c>
      <c r="L202" s="6">
        <v>0</v>
      </c>
      <c r="M202" s="6">
        <v>1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1</v>
      </c>
      <c r="AE202" s="6">
        <v>0</v>
      </c>
      <c r="AF202" s="6">
        <v>1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0</v>
      </c>
      <c r="AR202" s="6">
        <v>0</v>
      </c>
      <c r="AS202" s="6">
        <v>0</v>
      </c>
    </row>
    <row r="203" spans="1:45" x14ac:dyDescent="0.25">
      <c r="A203" s="6" t="s">
        <v>747</v>
      </c>
      <c r="B203" s="6" t="s">
        <v>444</v>
      </c>
      <c r="C203" s="6"/>
      <c r="D203" s="6" t="s">
        <v>422</v>
      </c>
      <c r="E203" s="6"/>
      <c r="G203" s="6"/>
      <c r="H203" s="6"/>
      <c r="I203" s="9">
        <v>6</v>
      </c>
      <c r="J203" s="9">
        <v>3</v>
      </c>
      <c r="K203" s="9">
        <v>9</v>
      </c>
      <c r="L203" s="6">
        <v>0</v>
      </c>
      <c r="M203" s="6">
        <v>0</v>
      </c>
      <c r="N203" s="6">
        <v>0</v>
      </c>
      <c r="O203" s="6">
        <v>2</v>
      </c>
      <c r="P203" s="6">
        <v>0</v>
      </c>
      <c r="Q203" s="6">
        <v>2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1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0</v>
      </c>
    </row>
    <row r="204" spans="1:45" x14ac:dyDescent="0.25">
      <c r="A204" s="6" t="s">
        <v>747</v>
      </c>
      <c r="B204" s="6" t="s">
        <v>438</v>
      </c>
      <c r="C204" s="6"/>
      <c r="D204" s="6" t="s">
        <v>422</v>
      </c>
      <c r="E204" s="6"/>
      <c r="G204" s="6"/>
      <c r="H204" s="6"/>
      <c r="I204" s="9">
        <v>3</v>
      </c>
      <c r="J204" s="9">
        <v>3</v>
      </c>
      <c r="K204" s="9">
        <v>6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1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2</v>
      </c>
      <c r="AE204" s="6">
        <v>0</v>
      </c>
      <c r="AF204" s="6">
        <v>2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</row>
    <row r="205" spans="1:45" x14ac:dyDescent="0.25">
      <c r="A205" s="6" t="s">
        <v>747</v>
      </c>
      <c r="B205" s="6" t="s">
        <v>441</v>
      </c>
      <c r="C205" s="6"/>
      <c r="D205" s="6" t="s">
        <v>422</v>
      </c>
      <c r="E205" s="6"/>
      <c r="G205" s="6"/>
      <c r="H205" s="6"/>
      <c r="I205" s="9">
        <v>4.5</v>
      </c>
      <c r="J205" s="9">
        <v>1.5</v>
      </c>
      <c r="K205" s="9">
        <v>6</v>
      </c>
      <c r="L205" s="6">
        <v>0</v>
      </c>
      <c r="M205" s="6">
        <v>3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1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1</v>
      </c>
      <c r="AE205" s="6">
        <v>0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</row>
    <row r="206" spans="1:45" x14ac:dyDescent="0.25">
      <c r="A206" s="7" t="s">
        <v>747</v>
      </c>
      <c r="B206" s="7" t="s">
        <v>492</v>
      </c>
      <c r="C206" s="7"/>
      <c r="D206" s="7" t="s">
        <v>422</v>
      </c>
      <c r="E206" s="7"/>
      <c r="G206" s="7"/>
      <c r="H206" s="7"/>
      <c r="I206" s="10">
        <v>1.0499999999999998</v>
      </c>
      <c r="J206" s="10">
        <v>1.5499999999999998</v>
      </c>
      <c r="K206" s="10">
        <v>2.5999999999999996</v>
      </c>
      <c r="L206" s="7">
        <v>3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3</v>
      </c>
      <c r="AD206" s="7">
        <v>1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</row>
    <row r="207" spans="1:45" x14ac:dyDescent="0.25">
      <c r="A207" s="6" t="s">
        <v>747</v>
      </c>
      <c r="B207" s="6" t="s">
        <v>493</v>
      </c>
      <c r="C207" s="6"/>
      <c r="D207" s="6" t="s">
        <v>422</v>
      </c>
      <c r="E207" s="6"/>
      <c r="G207" s="6"/>
      <c r="H207" s="6"/>
      <c r="I207" s="9">
        <v>0.5</v>
      </c>
      <c r="J207" s="9">
        <v>1.35</v>
      </c>
      <c r="K207" s="9">
        <v>1.85</v>
      </c>
      <c r="L207" s="6">
        <v>0</v>
      </c>
      <c r="M207" s="6">
        <v>1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1</v>
      </c>
      <c r="AD207" s="6">
        <v>2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</row>
    <row r="208" spans="1:45" x14ac:dyDescent="0.25">
      <c r="A208" s="6" t="s">
        <v>747</v>
      </c>
      <c r="B208" s="6" t="s">
        <v>494</v>
      </c>
      <c r="C208" s="6"/>
      <c r="D208" s="6" t="s">
        <v>422</v>
      </c>
      <c r="E208" s="6"/>
      <c r="G208" s="6"/>
      <c r="H208" s="6"/>
      <c r="I208" s="9">
        <v>0</v>
      </c>
      <c r="J208" s="9">
        <v>1.35</v>
      </c>
      <c r="K208" s="9">
        <v>1.35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1</v>
      </c>
      <c r="AD208" s="6">
        <v>2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6">
        <v>0</v>
      </c>
    </row>
    <row r="209" spans="1:45" x14ac:dyDescent="0.25">
      <c r="A209" s="6" t="s">
        <v>747</v>
      </c>
      <c r="B209" s="6" t="s">
        <v>442</v>
      </c>
      <c r="C209" s="6"/>
      <c r="D209" s="6" t="s">
        <v>422</v>
      </c>
      <c r="E209" s="6"/>
      <c r="G209" s="6"/>
      <c r="H209" s="6"/>
      <c r="I209" s="9">
        <v>0.7</v>
      </c>
      <c r="J209" s="9">
        <v>0</v>
      </c>
      <c r="K209" s="9">
        <v>0.7</v>
      </c>
      <c r="L209" s="6">
        <v>2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</row>
    <row r="210" spans="1:45" x14ac:dyDescent="0.25">
      <c r="A210" s="6" t="s">
        <v>747</v>
      </c>
      <c r="B210" s="6" t="s">
        <v>495</v>
      </c>
      <c r="C210" s="6"/>
      <c r="D210" s="6" t="s">
        <v>422</v>
      </c>
      <c r="E210" s="6"/>
      <c r="G210" s="6"/>
      <c r="H210" s="6"/>
      <c r="I210" s="9">
        <v>4.5</v>
      </c>
      <c r="J210" s="9">
        <v>0.5</v>
      </c>
      <c r="K210" s="9">
        <v>5</v>
      </c>
      <c r="L210" s="6">
        <v>0</v>
      </c>
      <c r="M210" s="6">
        <v>2</v>
      </c>
      <c r="N210" s="6">
        <v>2</v>
      </c>
      <c r="O210" s="6">
        <v>0</v>
      </c>
      <c r="P210" s="6">
        <v>0</v>
      </c>
      <c r="Q210" s="6">
        <v>1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1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6">
        <v>0</v>
      </c>
    </row>
    <row r="211" spans="1:45" x14ac:dyDescent="0.25">
      <c r="A211" s="6" t="s">
        <v>747</v>
      </c>
      <c r="B211" s="6" t="s">
        <v>496</v>
      </c>
      <c r="C211" s="6"/>
      <c r="D211" s="6" t="s">
        <v>422</v>
      </c>
      <c r="E211" s="6"/>
      <c r="G211" s="6"/>
      <c r="H211" s="6"/>
      <c r="I211" s="9">
        <v>3.75</v>
      </c>
      <c r="J211" s="9">
        <v>1</v>
      </c>
      <c r="K211" s="9">
        <v>4.75</v>
      </c>
      <c r="L211" s="6">
        <v>0</v>
      </c>
      <c r="M211" s="6">
        <v>2</v>
      </c>
      <c r="N211" s="6">
        <v>1</v>
      </c>
      <c r="O211" s="6">
        <v>0</v>
      </c>
      <c r="P211" s="6">
        <v>0</v>
      </c>
      <c r="Q211" s="6">
        <v>1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2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>
        <v>0</v>
      </c>
    </row>
    <row r="212" spans="1:45" x14ac:dyDescent="0.25">
      <c r="A212" s="6" t="s">
        <v>747</v>
      </c>
      <c r="B212" s="6" t="s">
        <v>497</v>
      </c>
      <c r="C212" s="6"/>
      <c r="D212" s="6" t="s">
        <v>422</v>
      </c>
      <c r="E212" s="6"/>
      <c r="G212" s="6"/>
      <c r="H212" s="6"/>
      <c r="I212" s="9">
        <v>4.5</v>
      </c>
      <c r="J212" s="9">
        <v>1.5</v>
      </c>
      <c r="K212" s="9">
        <v>6</v>
      </c>
      <c r="L212" s="6">
        <v>0</v>
      </c>
      <c r="M212" s="6">
        <v>2</v>
      </c>
      <c r="N212" s="6">
        <v>2</v>
      </c>
      <c r="O212" s="6">
        <v>0</v>
      </c>
      <c r="P212" s="6">
        <v>0</v>
      </c>
      <c r="Q212" s="6">
        <v>1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3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6">
        <v>0</v>
      </c>
      <c r="AQ212" s="6">
        <v>0</v>
      </c>
      <c r="AR212" s="6">
        <v>0</v>
      </c>
      <c r="AS212" s="6">
        <v>0</v>
      </c>
    </row>
    <row r="213" spans="1:45" x14ac:dyDescent="0.25">
      <c r="A213" s="6" t="s">
        <v>747</v>
      </c>
      <c r="B213" s="6" t="s">
        <v>498</v>
      </c>
      <c r="C213" s="6"/>
      <c r="D213" s="6" t="s">
        <v>422</v>
      </c>
      <c r="E213" s="6"/>
      <c r="G213" s="6"/>
      <c r="H213" s="6"/>
      <c r="I213" s="9">
        <v>5.75</v>
      </c>
      <c r="J213" s="9">
        <v>1.5</v>
      </c>
      <c r="K213" s="9">
        <v>7.25</v>
      </c>
      <c r="L213" s="6">
        <v>0</v>
      </c>
      <c r="M213" s="6">
        <v>2</v>
      </c>
      <c r="N213" s="6">
        <v>1</v>
      </c>
      <c r="O213" s="6">
        <v>0</v>
      </c>
      <c r="P213" s="6">
        <v>0</v>
      </c>
      <c r="Q213" s="6">
        <v>2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3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6">
        <v>0</v>
      </c>
      <c r="AP213" s="6">
        <v>0</v>
      </c>
      <c r="AQ213" s="6">
        <v>0</v>
      </c>
      <c r="AR213" s="6">
        <v>0</v>
      </c>
      <c r="AS213" s="6">
        <v>0</v>
      </c>
    </row>
    <row r="214" spans="1:45" x14ac:dyDescent="0.25">
      <c r="A214" s="6" t="s">
        <v>747</v>
      </c>
      <c r="B214" s="6" t="s">
        <v>443</v>
      </c>
      <c r="C214" s="6"/>
      <c r="D214" s="6" t="s">
        <v>422</v>
      </c>
      <c r="E214" s="6"/>
      <c r="G214" s="6"/>
      <c r="H214" s="6"/>
      <c r="I214" s="9">
        <v>2</v>
      </c>
      <c r="J214" s="9">
        <v>2</v>
      </c>
      <c r="K214" s="9">
        <v>4</v>
      </c>
      <c r="L214" s="6">
        <v>0</v>
      </c>
      <c r="M214" s="6">
        <v>0</v>
      </c>
      <c r="N214" s="6">
        <v>0</v>
      </c>
      <c r="O214" s="6">
        <v>2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2</v>
      </c>
      <c r="AG214" s="6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6">
        <v>0</v>
      </c>
      <c r="AS214" s="6">
        <v>0</v>
      </c>
    </row>
    <row r="215" spans="1:45" x14ac:dyDescent="0.25">
      <c r="A215" s="6" t="s">
        <v>747</v>
      </c>
      <c r="B215" s="6" t="s">
        <v>447</v>
      </c>
      <c r="C215" s="6"/>
      <c r="D215" s="6" t="s">
        <v>422</v>
      </c>
      <c r="E215" s="6"/>
      <c r="G215" s="6"/>
      <c r="H215" s="6"/>
      <c r="I215" s="9">
        <v>1</v>
      </c>
      <c r="J215" s="9">
        <v>1</v>
      </c>
      <c r="K215" s="9">
        <v>2</v>
      </c>
      <c r="L215" s="6">
        <v>0</v>
      </c>
      <c r="M215" s="6">
        <v>2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2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6">
        <v>0</v>
      </c>
      <c r="AQ215" s="6">
        <v>0</v>
      </c>
      <c r="AR215" s="6">
        <v>0</v>
      </c>
      <c r="AS215" s="6">
        <v>0</v>
      </c>
    </row>
    <row r="216" spans="1:45" x14ac:dyDescent="0.25">
      <c r="A216" s="6" t="s">
        <v>747</v>
      </c>
      <c r="B216" s="6" t="s">
        <v>499</v>
      </c>
      <c r="C216" s="14">
        <v>45764</v>
      </c>
      <c r="D216" s="6" t="s">
        <v>422</v>
      </c>
      <c r="E216" s="6"/>
      <c r="G216" s="6"/>
      <c r="H216" s="6"/>
      <c r="I216" s="9">
        <v>3</v>
      </c>
      <c r="J216" s="9">
        <v>2.5</v>
      </c>
      <c r="K216" s="9">
        <v>5.5</v>
      </c>
      <c r="L216" s="6">
        <v>0</v>
      </c>
      <c r="M216" s="6">
        <v>0</v>
      </c>
      <c r="N216" s="6">
        <v>0</v>
      </c>
      <c r="O216" s="6">
        <v>3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3</v>
      </c>
      <c r="AE216" s="6">
        <v>0</v>
      </c>
      <c r="AF216" s="6">
        <v>1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  <c r="AP216" s="6">
        <v>0</v>
      </c>
      <c r="AQ216" s="6">
        <v>0</v>
      </c>
      <c r="AR216" s="6">
        <v>0</v>
      </c>
      <c r="AS216" s="6">
        <v>0</v>
      </c>
    </row>
    <row r="217" spans="1:45" x14ac:dyDescent="0.25">
      <c r="A217" s="6" t="s">
        <v>747</v>
      </c>
      <c r="B217" s="6" t="s">
        <v>500</v>
      </c>
      <c r="C217" s="6"/>
      <c r="D217" s="6" t="s">
        <v>422</v>
      </c>
      <c r="E217" s="6"/>
      <c r="G217" s="6"/>
      <c r="H217" s="6"/>
      <c r="I217" s="9">
        <v>3.25</v>
      </c>
      <c r="J217" s="9">
        <v>1</v>
      </c>
      <c r="K217" s="9">
        <v>4.25</v>
      </c>
      <c r="L217" s="6">
        <v>0</v>
      </c>
      <c r="M217" s="6">
        <v>0</v>
      </c>
      <c r="N217" s="6">
        <v>3</v>
      </c>
      <c r="O217" s="6">
        <v>1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1</v>
      </c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0</v>
      </c>
      <c r="AR217" s="6">
        <v>0</v>
      </c>
      <c r="AS217" s="6">
        <v>0</v>
      </c>
    </row>
    <row r="218" spans="1:45" x14ac:dyDescent="0.25">
      <c r="A218" s="6" t="s">
        <v>747</v>
      </c>
      <c r="B218" s="6" t="s">
        <v>501</v>
      </c>
      <c r="C218" s="6"/>
      <c r="D218" s="6" t="s">
        <v>422</v>
      </c>
      <c r="E218" s="6"/>
      <c r="G218" s="6"/>
      <c r="H218" s="6"/>
      <c r="I218" s="9">
        <v>2</v>
      </c>
      <c r="J218" s="9">
        <v>2</v>
      </c>
      <c r="K218" s="9">
        <v>4</v>
      </c>
      <c r="L218" s="6">
        <v>0</v>
      </c>
      <c r="M218" s="6">
        <v>4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4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6">
        <v>0</v>
      </c>
      <c r="AQ218" s="6">
        <v>0</v>
      </c>
      <c r="AR218" s="6">
        <v>0</v>
      </c>
      <c r="AS218" s="6">
        <v>0</v>
      </c>
    </row>
    <row r="219" spans="1:45" x14ac:dyDescent="0.25">
      <c r="A219" s="6" t="s">
        <v>747</v>
      </c>
      <c r="B219" s="6" t="s">
        <v>502</v>
      </c>
      <c r="C219" s="14">
        <v>45764</v>
      </c>
      <c r="D219" s="6" t="s">
        <v>422</v>
      </c>
      <c r="E219" s="6"/>
      <c r="G219" s="6"/>
      <c r="H219" s="6"/>
      <c r="I219" s="9">
        <v>0.85</v>
      </c>
      <c r="J219" s="9">
        <v>0.85</v>
      </c>
      <c r="K219" s="9">
        <v>1.7</v>
      </c>
      <c r="L219" s="6">
        <v>1</v>
      </c>
      <c r="M219" s="6">
        <v>1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1</v>
      </c>
      <c r="AD219" s="6">
        <v>1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6">
        <v>0</v>
      </c>
      <c r="AQ219" s="6">
        <v>0</v>
      </c>
      <c r="AR219" s="6">
        <v>0</v>
      </c>
      <c r="AS219" s="6">
        <v>0</v>
      </c>
    </row>
    <row r="220" spans="1:45" x14ac:dyDescent="0.25">
      <c r="A220" s="6" t="s">
        <v>747</v>
      </c>
      <c r="B220" s="6">
        <v>30</v>
      </c>
      <c r="C220" s="6"/>
      <c r="D220" s="6" t="s">
        <v>422</v>
      </c>
      <c r="E220" s="6"/>
      <c r="G220" s="6"/>
      <c r="H220" s="6"/>
      <c r="I220" s="9">
        <v>1</v>
      </c>
      <c r="J220" s="9">
        <v>0.85</v>
      </c>
      <c r="K220" s="9">
        <v>1.85</v>
      </c>
      <c r="L220" s="6">
        <v>0</v>
      </c>
      <c r="M220" s="6">
        <v>2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1</v>
      </c>
      <c r="AD220" s="6">
        <v>1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6">
        <v>0</v>
      </c>
      <c r="AS220" s="6">
        <v>0</v>
      </c>
    </row>
    <row r="221" spans="1:45" x14ac:dyDescent="0.25">
      <c r="A221" s="6" t="s">
        <v>747</v>
      </c>
      <c r="B221" s="6" t="s">
        <v>503</v>
      </c>
      <c r="C221" s="6"/>
      <c r="D221" s="6" t="s">
        <v>422</v>
      </c>
      <c r="E221" s="6"/>
      <c r="G221" s="6"/>
      <c r="H221" s="6"/>
      <c r="I221" s="9">
        <v>3</v>
      </c>
      <c r="J221" s="9">
        <v>1.75</v>
      </c>
      <c r="K221" s="9">
        <v>4.75</v>
      </c>
      <c r="L221" s="6">
        <v>0</v>
      </c>
      <c r="M221" s="6">
        <v>0</v>
      </c>
      <c r="N221" s="6">
        <v>0</v>
      </c>
      <c r="O221" s="6">
        <v>3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1</v>
      </c>
      <c r="AF221" s="6">
        <v>1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6">
        <v>0</v>
      </c>
    </row>
    <row r="222" spans="1:45" x14ac:dyDescent="0.25">
      <c r="A222" s="6" t="s">
        <v>747</v>
      </c>
      <c r="B222" s="6" t="s">
        <v>504</v>
      </c>
      <c r="C222" s="14">
        <v>45764</v>
      </c>
      <c r="D222" s="6" t="s">
        <v>422</v>
      </c>
      <c r="E222" s="6"/>
      <c r="G222" s="6"/>
      <c r="H222" s="6"/>
      <c r="I222" s="9">
        <v>2.5</v>
      </c>
      <c r="J222" s="9">
        <v>1</v>
      </c>
      <c r="K222" s="9">
        <v>3.5</v>
      </c>
      <c r="L222" s="6">
        <v>0</v>
      </c>
      <c r="M222" s="6">
        <v>5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2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6">
        <v>0</v>
      </c>
      <c r="AP222" s="6">
        <v>0</v>
      </c>
      <c r="AQ222" s="6">
        <v>0</v>
      </c>
      <c r="AR222" s="6">
        <v>0</v>
      </c>
      <c r="AS222" s="6">
        <v>0</v>
      </c>
    </row>
    <row r="223" spans="1:45" x14ac:dyDescent="0.25">
      <c r="A223" s="6" t="s">
        <v>747</v>
      </c>
      <c r="B223" s="6" t="s">
        <v>505</v>
      </c>
      <c r="C223" s="6"/>
      <c r="D223" s="6" t="s">
        <v>422</v>
      </c>
      <c r="E223" s="6"/>
      <c r="G223" s="6"/>
      <c r="H223" s="6"/>
      <c r="I223" s="9">
        <v>1.4</v>
      </c>
      <c r="J223" s="9">
        <v>0</v>
      </c>
      <c r="K223" s="9">
        <v>1.4</v>
      </c>
      <c r="L223" s="6">
        <v>4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  <c r="AP223" s="6">
        <v>0</v>
      </c>
      <c r="AQ223" s="6">
        <v>0</v>
      </c>
      <c r="AR223" s="6">
        <v>0</v>
      </c>
      <c r="AS223" s="6">
        <v>0</v>
      </c>
    </row>
    <row r="224" spans="1:45" x14ac:dyDescent="0.25">
      <c r="A224" s="6" t="s">
        <v>747</v>
      </c>
      <c r="B224" s="6" t="s">
        <v>440</v>
      </c>
      <c r="C224" s="6"/>
      <c r="D224" s="6" t="s">
        <v>422</v>
      </c>
      <c r="E224" s="6"/>
      <c r="G224" s="6"/>
      <c r="H224" s="6"/>
      <c r="I224" s="9">
        <v>2.5</v>
      </c>
      <c r="J224" s="9">
        <v>5</v>
      </c>
      <c r="K224" s="9">
        <v>7.5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1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0</v>
      </c>
      <c r="AF224" s="6">
        <v>0</v>
      </c>
      <c r="AG224" s="6">
        <v>0</v>
      </c>
      <c r="AH224" s="6">
        <v>0</v>
      </c>
      <c r="AI224" s="6">
        <v>2</v>
      </c>
      <c r="AJ224" s="6">
        <v>0</v>
      </c>
      <c r="AK224" s="6">
        <v>0</v>
      </c>
      <c r="AL224" s="6">
        <v>0</v>
      </c>
      <c r="AM224" s="6">
        <v>0</v>
      </c>
      <c r="AN224" s="6">
        <v>0</v>
      </c>
      <c r="AO224" s="6">
        <v>0</v>
      </c>
      <c r="AP224" s="6">
        <v>0</v>
      </c>
      <c r="AQ224" s="6">
        <v>0</v>
      </c>
      <c r="AR224" s="6">
        <v>0</v>
      </c>
      <c r="AS224" s="6">
        <v>0</v>
      </c>
    </row>
    <row r="225" spans="1:45" x14ac:dyDescent="0.25">
      <c r="A225" s="6" t="s">
        <v>747</v>
      </c>
      <c r="B225" s="6" t="s">
        <v>506</v>
      </c>
      <c r="C225" s="6"/>
      <c r="D225" s="6" t="s">
        <v>422</v>
      </c>
      <c r="E225" s="6"/>
      <c r="G225" s="6"/>
      <c r="H225" s="6"/>
      <c r="I225" s="9">
        <v>0.75</v>
      </c>
      <c r="J225" s="9">
        <v>2.25</v>
      </c>
      <c r="K225" s="9">
        <v>3</v>
      </c>
      <c r="L225" s="6">
        <v>0</v>
      </c>
      <c r="M225" s="6">
        <v>0</v>
      </c>
      <c r="N225" s="6">
        <v>1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3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0</v>
      </c>
      <c r="AQ225" s="6">
        <v>0</v>
      </c>
      <c r="AR225" s="6">
        <v>0</v>
      </c>
      <c r="AS225" s="6">
        <v>0</v>
      </c>
    </row>
    <row r="226" spans="1:45" x14ac:dyDescent="0.25">
      <c r="A226" s="6" t="s">
        <v>747</v>
      </c>
      <c r="B226" s="6" t="s">
        <v>507</v>
      </c>
      <c r="C226" s="6"/>
      <c r="D226" s="6" t="s">
        <v>422</v>
      </c>
      <c r="E226" s="6"/>
      <c r="G226" s="6"/>
      <c r="H226" s="6"/>
      <c r="I226" s="9">
        <v>2.5</v>
      </c>
      <c r="J226" s="9">
        <v>3.25</v>
      </c>
      <c r="K226" s="9">
        <v>5.75</v>
      </c>
      <c r="L226" s="6">
        <v>0</v>
      </c>
      <c r="M226" s="6">
        <v>0</v>
      </c>
      <c r="N226" s="6">
        <v>0</v>
      </c>
      <c r="O226" s="6">
        <v>1</v>
      </c>
      <c r="P226" s="6">
        <v>1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1</v>
      </c>
      <c r="AE226" s="6">
        <v>1</v>
      </c>
      <c r="AF226" s="6">
        <v>0</v>
      </c>
      <c r="AG226" s="6">
        <v>0</v>
      </c>
      <c r="AH226" s="6">
        <v>1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6">
        <v>0</v>
      </c>
      <c r="AQ226" s="6">
        <v>0</v>
      </c>
      <c r="AR226" s="6">
        <v>0</v>
      </c>
      <c r="AS226" s="6">
        <v>0</v>
      </c>
    </row>
    <row r="227" spans="1:45" x14ac:dyDescent="0.25">
      <c r="A227" s="6" t="s">
        <v>747</v>
      </c>
      <c r="B227" s="6" t="s">
        <v>508</v>
      </c>
      <c r="C227" s="6"/>
      <c r="D227" s="6" t="s">
        <v>422</v>
      </c>
      <c r="E227" s="6"/>
      <c r="G227" s="6"/>
      <c r="H227" s="6"/>
      <c r="I227" s="9">
        <v>0.5</v>
      </c>
      <c r="J227" s="9">
        <v>2</v>
      </c>
      <c r="K227" s="9">
        <v>2.5</v>
      </c>
      <c r="L227" s="6">
        <v>0</v>
      </c>
      <c r="M227" s="6">
        <v>1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2</v>
      </c>
      <c r="AE227" s="6">
        <v>0</v>
      </c>
      <c r="AF227" s="6">
        <v>1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6">
        <v>0</v>
      </c>
      <c r="AQ227" s="6">
        <v>0</v>
      </c>
      <c r="AR227" s="6">
        <v>0</v>
      </c>
      <c r="AS227" s="6">
        <v>0</v>
      </c>
    </row>
    <row r="228" spans="1:45" x14ac:dyDescent="0.25">
      <c r="A228" s="6" t="s">
        <v>747</v>
      </c>
      <c r="B228" s="6" t="s">
        <v>509</v>
      </c>
      <c r="C228" s="6"/>
      <c r="D228" s="6" t="s">
        <v>422</v>
      </c>
      <c r="E228" s="6"/>
      <c r="G228" s="6"/>
      <c r="H228" s="6"/>
      <c r="I228" s="9">
        <v>1.0499999999999998</v>
      </c>
      <c r="J228" s="9">
        <v>1.45</v>
      </c>
      <c r="K228" s="9">
        <v>2.5</v>
      </c>
      <c r="L228" s="6">
        <v>3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2</v>
      </c>
      <c r="AD228" s="6">
        <v>0</v>
      </c>
      <c r="AE228" s="6">
        <v>1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</row>
    <row r="229" spans="1:45" x14ac:dyDescent="0.25">
      <c r="A229" s="6" t="s">
        <v>747</v>
      </c>
      <c r="B229" s="6" t="s">
        <v>510</v>
      </c>
      <c r="C229" s="6"/>
      <c r="D229" s="6" t="s">
        <v>422</v>
      </c>
      <c r="E229" s="6"/>
      <c r="G229" s="6"/>
      <c r="H229" s="6"/>
      <c r="I229" s="9">
        <v>1.1000000000000001</v>
      </c>
      <c r="J229" s="9">
        <v>0.7</v>
      </c>
      <c r="K229" s="9">
        <v>1.8</v>
      </c>
      <c r="L229" s="6">
        <v>1</v>
      </c>
      <c r="M229" s="6">
        <v>0</v>
      </c>
      <c r="N229" s="6">
        <v>1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2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</row>
    <row r="230" spans="1:45" x14ac:dyDescent="0.25">
      <c r="A230" s="6" t="s">
        <v>747</v>
      </c>
      <c r="B230" s="6" t="s">
        <v>511</v>
      </c>
      <c r="C230" s="6"/>
      <c r="D230" s="6" t="s">
        <v>422</v>
      </c>
      <c r="E230" s="6"/>
      <c r="G230" s="6"/>
      <c r="H230" s="6"/>
      <c r="I230" s="9">
        <v>3.25</v>
      </c>
      <c r="J230" s="9">
        <v>1.75</v>
      </c>
      <c r="K230" s="9">
        <v>5</v>
      </c>
      <c r="L230" s="6">
        <v>0</v>
      </c>
      <c r="M230" s="6">
        <v>1</v>
      </c>
      <c r="N230" s="6">
        <v>1</v>
      </c>
      <c r="O230" s="6">
        <v>0</v>
      </c>
      <c r="P230" s="6">
        <v>0</v>
      </c>
      <c r="Q230" s="6">
        <v>1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2</v>
      </c>
      <c r="AE230" s="6">
        <v>1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>
        <v>0</v>
      </c>
      <c r="AS230" s="6">
        <v>0</v>
      </c>
    </row>
    <row r="231" spans="1:45" x14ac:dyDescent="0.25">
      <c r="A231" s="6" t="s">
        <v>747</v>
      </c>
      <c r="B231" s="6" t="s">
        <v>512</v>
      </c>
      <c r="C231" s="6"/>
      <c r="D231" s="6" t="s">
        <v>422</v>
      </c>
      <c r="E231" s="6"/>
      <c r="G231" s="6"/>
      <c r="H231" s="6"/>
      <c r="I231" s="9">
        <v>2.5</v>
      </c>
      <c r="J231" s="9">
        <v>1.75</v>
      </c>
      <c r="K231" s="9">
        <v>4.25</v>
      </c>
      <c r="L231" s="6">
        <v>0</v>
      </c>
      <c r="M231" s="6">
        <v>1</v>
      </c>
      <c r="N231" s="6">
        <v>0</v>
      </c>
      <c r="O231" s="6">
        <v>0</v>
      </c>
      <c r="P231" s="6">
        <v>0</v>
      </c>
      <c r="Q231" s="6">
        <v>1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2</v>
      </c>
      <c r="AE231" s="6">
        <v>1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6">
        <v>0</v>
      </c>
      <c r="AS231" s="6">
        <v>0</v>
      </c>
    </row>
    <row r="232" spans="1:45" x14ac:dyDescent="0.25">
      <c r="A232" s="6" t="s">
        <v>747</v>
      </c>
      <c r="B232" s="6" t="s">
        <v>513</v>
      </c>
      <c r="C232" s="6"/>
      <c r="D232" s="6" t="s">
        <v>422</v>
      </c>
      <c r="E232" s="6"/>
      <c r="G232" s="6"/>
      <c r="H232" s="6"/>
      <c r="I232" s="9">
        <v>0.5</v>
      </c>
      <c r="J232" s="9">
        <v>4.25</v>
      </c>
      <c r="K232" s="9">
        <v>4.75</v>
      </c>
      <c r="L232" s="6">
        <v>0</v>
      </c>
      <c r="M232" s="6">
        <v>1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1</v>
      </c>
      <c r="AE232" s="6">
        <v>1</v>
      </c>
      <c r="AF232" s="6">
        <v>1</v>
      </c>
      <c r="AG232" s="6">
        <v>0</v>
      </c>
      <c r="AH232" s="6">
        <v>1</v>
      </c>
      <c r="AI232" s="6">
        <v>0</v>
      </c>
      <c r="AJ232" s="6">
        <v>0</v>
      </c>
      <c r="AK232" s="6">
        <v>0</v>
      </c>
      <c r="AL232" s="6">
        <v>0</v>
      </c>
      <c r="AM232" s="6">
        <v>0</v>
      </c>
      <c r="AN232" s="6">
        <v>0</v>
      </c>
      <c r="AO232" s="6">
        <v>0</v>
      </c>
      <c r="AP232" s="6">
        <v>0</v>
      </c>
      <c r="AQ232" s="6">
        <v>0</v>
      </c>
      <c r="AR232" s="6">
        <v>0</v>
      </c>
      <c r="AS232" s="6">
        <v>0</v>
      </c>
    </row>
    <row r="233" spans="1:45" x14ac:dyDescent="0.25">
      <c r="A233" s="6" t="s">
        <v>747</v>
      </c>
      <c r="B233" s="6" t="s">
        <v>514</v>
      </c>
      <c r="C233" s="6"/>
      <c r="D233" s="6" t="s">
        <v>422</v>
      </c>
      <c r="E233" s="6"/>
      <c r="G233" s="6"/>
      <c r="H233" s="6"/>
      <c r="I233" s="9">
        <v>1.85</v>
      </c>
      <c r="J233" s="9">
        <v>3.35</v>
      </c>
      <c r="K233" s="9">
        <v>5.2</v>
      </c>
      <c r="L233" s="6">
        <v>1</v>
      </c>
      <c r="M233" s="6">
        <v>1</v>
      </c>
      <c r="N233" s="6">
        <v>0</v>
      </c>
      <c r="O233" s="6">
        <v>1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6">
        <v>1</v>
      </c>
      <c r="AD233" s="6">
        <v>0</v>
      </c>
      <c r="AE233" s="6">
        <v>0</v>
      </c>
      <c r="AF233" s="6">
        <v>0</v>
      </c>
      <c r="AG233" s="6">
        <v>0</v>
      </c>
      <c r="AH233" s="6">
        <v>0</v>
      </c>
      <c r="AI233" s="6">
        <v>0</v>
      </c>
      <c r="AJ233" s="6">
        <v>1</v>
      </c>
      <c r="AK233" s="6">
        <v>0</v>
      </c>
      <c r="AL233" s="6">
        <v>0</v>
      </c>
      <c r="AM233" s="6">
        <v>0</v>
      </c>
      <c r="AN233" s="6">
        <v>0</v>
      </c>
      <c r="AO233" s="6">
        <v>0</v>
      </c>
      <c r="AP233" s="6">
        <v>0</v>
      </c>
      <c r="AQ233" s="6">
        <v>0</v>
      </c>
      <c r="AR233" s="6">
        <v>0</v>
      </c>
      <c r="AS233" s="6">
        <v>0</v>
      </c>
    </row>
    <row r="234" spans="1:45" x14ac:dyDescent="0.25">
      <c r="A234" s="6" t="s">
        <v>747</v>
      </c>
      <c r="B234" s="6" t="s">
        <v>515</v>
      </c>
      <c r="C234" s="6"/>
      <c r="D234" s="6" t="s">
        <v>422</v>
      </c>
      <c r="E234" s="6"/>
      <c r="G234" s="6"/>
      <c r="H234" s="6"/>
      <c r="I234" s="9">
        <v>0.35</v>
      </c>
      <c r="J234" s="9">
        <v>11.5</v>
      </c>
      <c r="K234" s="9">
        <v>11.85</v>
      </c>
      <c r="L234" s="6">
        <v>1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1</v>
      </c>
      <c r="AE234" s="6">
        <v>0</v>
      </c>
      <c r="AF234" s="6">
        <v>2</v>
      </c>
      <c r="AG234" s="6">
        <v>0</v>
      </c>
      <c r="AH234" s="6">
        <v>0</v>
      </c>
      <c r="AI234" s="6">
        <v>0</v>
      </c>
      <c r="AJ234" s="6">
        <v>3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6">
        <v>0</v>
      </c>
      <c r="AQ234" s="6">
        <v>0</v>
      </c>
      <c r="AR234" s="6">
        <v>0</v>
      </c>
      <c r="AS234" s="6">
        <v>0</v>
      </c>
    </row>
    <row r="235" spans="1:45" x14ac:dyDescent="0.25">
      <c r="A235" s="6" t="s">
        <v>747</v>
      </c>
      <c r="B235" s="6" t="s">
        <v>516</v>
      </c>
      <c r="C235" s="6"/>
      <c r="D235" s="6" t="s">
        <v>422</v>
      </c>
      <c r="E235" s="6"/>
      <c r="G235" s="6"/>
      <c r="H235" s="6"/>
      <c r="I235" s="9">
        <v>0.85</v>
      </c>
      <c r="J235" s="9">
        <v>5</v>
      </c>
      <c r="K235" s="9">
        <v>5.85</v>
      </c>
      <c r="L235" s="6">
        <v>1</v>
      </c>
      <c r="M235" s="6">
        <v>1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2</v>
      </c>
      <c r="AG235" s="6">
        <v>0</v>
      </c>
      <c r="AH235" s="6">
        <v>0</v>
      </c>
      <c r="AI235" s="6">
        <v>0</v>
      </c>
      <c r="AJ235" s="6">
        <v>1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6">
        <v>0</v>
      </c>
      <c r="AS235" s="6">
        <v>0</v>
      </c>
    </row>
    <row r="236" spans="1:45" x14ac:dyDescent="0.25">
      <c r="A236" s="6" t="s">
        <v>747</v>
      </c>
      <c r="B236" s="6" t="s">
        <v>517</v>
      </c>
      <c r="C236" s="6"/>
      <c r="D236" s="6" t="s">
        <v>422</v>
      </c>
      <c r="E236" s="6"/>
      <c r="G236" s="6"/>
      <c r="H236" s="6"/>
      <c r="I236" s="9">
        <v>3.75</v>
      </c>
      <c r="J236" s="9">
        <v>0.5</v>
      </c>
      <c r="K236" s="9">
        <v>4.25</v>
      </c>
      <c r="L236" s="6">
        <v>0</v>
      </c>
      <c r="M236" s="6">
        <v>2</v>
      </c>
      <c r="N236" s="6">
        <v>1</v>
      </c>
      <c r="O236" s="6">
        <v>0</v>
      </c>
      <c r="P236" s="6">
        <v>0</v>
      </c>
      <c r="Q236" s="6">
        <v>1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1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6">
        <v>0</v>
      </c>
      <c r="AQ236" s="6">
        <v>0</v>
      </c>
      <c r="AR236" s="6">
        <v>0</v>
      </c>
      <c r="AS236" s="6">
        <v>0</v>
      </c>
    </row>
    <row r="237" spans="1:45" x14ac:dyDescent="0.25">
      <c r="A237" s="6" t="s">
        <v>747</v>
      </c>
      <c r="B237" s="6" t="s">
        <v>518</v>
      </c>
      <c r="C237" s="6"/>
      <c r="D237" s="6" t="s">
        <v>422</v>
      </c>
      <c r="E237" s="6"/>
      <c r="G237" s="6"/>
      <c r="H237" s="6"/>
      <c r="I237" s="9">
        <v>4.5</v>
      </c>
      <c r="J237" s="9">
        <v>0.5</v>
      </c>
      <c r="K237" s="9">
        <v>5</v>
      </c>
      <c r="L237" s="6">
        <v>0</v>
      </c>
      <c r="M237" s="6">
        <v>2</v>
      </c>
      <c r="N237" s="6">
        <v>2</v>
      </c>
      <c r="O237" s="6">
        <v>0</v>
      </c>
      <c r="P237" s="6">
        <v>0</v>
      </c>
      <c r="Q237" s="6">
        <v>1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1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0</v>
      </c>
      <c r="AS237" s="6">
        <v>0</v>
      </c>
    </row>
    <row r="238" spans="1:45" x14ac:dyDescent="0.25">
      <c r="A238" s="6" t="s">
        <v>747</v>
      </c>
      <c r="B238" s="6" t="s">
        <v>519</v>
      </c>
      <c r="C238" s="6"/>
      <c r="D238" s="6" t="s">
        <v>422</v>
      </c>
      <c r="E238" s="6"/>
      <c r="G238" s="6"/>
      <c r="H238" s="6"/>
      <c r="I238" s="9">
        <v>3</v>
      </c>
      <c r="J238" s="9">
        <v>3</v>
      </c>
      <c r="K238" s="9">
        <v>6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1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1</v>
      </c>
      <c r="AG238" s="6">
        <v>0</v>
      </c>
      <c r="AH238" s="6">
        <v>1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6">
        <v>0</v>
      </c>
      <c r="AS238" s="6">
        <v>0</v>
      </c>
    </row>
    <row r="239" spans="1:45" x14ac:dyDescent="0.25">
      <c r="A239" s="6" t="s">
        <v>747</v>
      </c>
      <c r="B239" s="6" t="s">
        <v>520</v>
      </c>
      <c r="C239" s="6"/>
      <c r="D239" s="6" t="s">
        <v>422</v>
      </c>
      <c r="E239" s="6"/>
      <c r="G239" s="6"/>
      <c r="H239" s="6"/>
      <c r="I239" s="9">
        <v>4.3499999999999996</v>
      </c>
      <c r="J239" s="9">
        <v>3.5</v>
      </c>
      <c r="K239" s="9">
        <v>7.85</v>
      </c>
      <c r="L239" s="6">
        <v>1</v>
      </c>
      <c r="M239" s="6">
        <v>0</v>
      </c>
      <c r="N239" s="6">
        <v>0</v>
      </c>
      <c r="O239" s="6">
        <v>1</v>
      </c>
      <c r="P239" s="6">
        <v>0</v>
      </c>
      <c r="Q239" s="6">
        <v>0</v>
      </c>
      <c r="R239" s="6">
        <v>0</v>
      </c>
      <c r="S239" s="6">
        <v>1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1</v>
      </c>
      <c r="AE239" s="6">
        <v>0</v>
      </c>
      <c r="AF239" s="6">
        <v>1</v>
      </c>
      <c r="AG239" s="6">
        <v>0</v>
      </c>
      <c r="AH239" s="6">
        <v>1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6">
        <v>0</v>
      </c>
    </row>
    <row r="240" spans="1:45" x14ac:dyDescent="0.25">
      <c r="A240" s="6" t="s">
        <v>747</v>
      </c>
      <c r="B240" s="6" t="s">
        <v>521</v>
      </c>
      <c r="C240" s="6"/>
      <c r="D240" s="6" t="s">
        <v>422</v>
      </c>
      <c r="E240" s="6"/>
      <c r="G240" s="6"/>
      <c r="H240" s="6"/>
      <c r="I240" s="9">
        <v>4</v>
      </c>
      <c r="J240" s="9">
        <v>3.5</v>
      </c>
      <c r="K240" s="9">
        <v>7.5</v>
      </c>
      <c r="L240" s="6">
        <v>0</v>
      </c>
      <c r="M240" s="6">
        <v>0</v>
      </c>
      <c r="N240" s="6">
        <v>0</v>
      </c>
      <c r="O240" s="6">
        <v>1</v>
      </c>
      <c r="P240" s="6">
        <v>0</v>
      </c>
      <c r="Q240" s="6">
        <v>0</v>
      </c>
      <c r="R240" s="6">
        <v>0</v>
      </c>
      <c r="S240" s="6">
        <v>1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1</v>
      </c>
      <c r="AE240" s="6">
        <v>0</v>
      </c>
      <c r="AF240" s="6">
        <v>1</v>
      </c>
      <c r="AG240" s="6">
        <v>0</v>
      </c>
      <c r="AH240" s="6">
        <v>1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</row>
    <row r="241" spans="1:49" x14ac:dyDescent="0.25">
      <c r="A241" s="6" t="s">
        <v>747</v>
      </c>
      <c r="B241" s="6" t="s">
        <v>522</v>
      </c>
      <c r="C241" s="6"/>
      <c r="D241" s="6" t="s">
        <v>422</v>
      </c>
      <c r="E241" s="6"/>
      <c r="G241" s="6"/>
      <c r="H241" s="6"/>
      <c r="I241" s="9">
        <v>4</v>
      </c>
      <c r="J241" s="9">
        <v>3</v>
      </c>
      <c r="K241" s="9">
        <v>7</v>
      </c>
      <c r="L241" s="6">
        <v>0</v>
      </c>
      <c r="M241" s="6">
        <v>0</v>
      </c>
      <c r="N241" s="6">
        <v>0</v>
      </c>
      <c r="O241" s="6">
        <v>1</v>
      </c>
      <c r="P241" s="6">
        <v>0</v>
      </c>
      <c r="Q241" s="6">
        <v>0</v>
      </c>
      <c r="R241" s="6">
        <v>0</v>
      </c>
      <c r="S241" s="6">
        <v>1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1</v>
      </c>
      <c r="AG241" s="6">
        <v>0</v>
      </c>
      <c r="AH241" s="6">
        <v>1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>
        <v>0</v>
      </c>
    </row>
    <row r="242" spans="1:49" s="2" customFormat="1" x14ac:dyDescent="0.25">
      <c r="A242" s="6" t="s">
        <v>747</v>
      </c>
      <c r="B242" s="6" t="s">
        <v>523</v>
      </c>
      <c r="C242" s="6"/>
      <c r="D242" s="6" t="s">
        <v>422</v>
      </c>
      <c r="E242" s="6"/>
      <c r="G242" s="6"/>
      <c r="H242" s="6"/>
      <c r="I242" s="9">
        <v>5.5</v>
      </c>
      <c r="J242" s="9">
        <v>0</v>
      </c>
      <c r="K242" s="9">
        <v>5.5</v>
      </c>
      <c r="L242" s="6">
        <v>0</v>
      </c>
      <c r="M242" s="6">
        <v>1</v>
      </c>
      <c r="N242" s="6">
        <v>0</v>
      </c>
      <c r="O242" s="6">
        <v>0</v>
      </c>
      <c r="P242" s="6">
        <v>0</v>
      </c>
      <c r="Q242" s="6">
        <v>0</v>
      </c>
      <c r="R242" s="6">
        <v>2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6">
        <v>0</v>
      </c>
    </row>
    <row r="243" spans="1:49" s="2" customFormat="1" x14ac:dyDescent="0.25">
      <c r="A243" s="6" t="s">
        <v>747</v>
      </c>
      <c r="B243" s="6" t="s">
        <v>524</v>
      </c>
      <c r="C243" s="6"/>
      <c r="D243" s="6" t="s">
        <v>422</v>
      </c>
      <c r="E243" s="6"/>
      <c r="G243" s="6"/>
      <c r="H243" s="6"/>
      <c r="I243" s="9">
        <v>2.5</v>
      </c>
      <c r="J243" s="9">
        <v>3</v>
      </c>
      <c r="K243" s="9">
        <v>5.5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1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1</v>
      </c>
      <c r="AE243" s="6">
        <v>0</v>
      </c>
      <c r="AF243" s="6">
        <v>0</v>
      </c>
      <c r="AG243" s="6">
        <v>0</v>
      </c>
      <c r="AH243" s="6">
        <v>0</v>
      </c>
      <c r="AI243" s="6">
        <v>1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</row>
    <row r="244" spans="1:49" x14ac:dyDescent="0.25">
      <c r="A244" s="6" t="s">
        <v>747</v>
      </c>
      <c r="B244" s="6" t="s">
        <v>525</v>
      </c>
      <c r="C244" s="6"/>
      <c r="D244" s="6" t="s">
        <v>422</v>
      </c>
      <c r="E244" s="6"/>
      <c r="G244" s="6"/>
      <c r="H244" s="6"/>
      <c r="I244" s="9">
        <v>3</v>
      </c>
      <c r="J244" s="9">
        <v>3</v>
      </c>
      <c r="K244" s="9">
        <v>6</v>
      </c>
      <c r="L244" s="6">
        <v>0</v>
      </c>
      <c r="M244" s="6">
        <v>1</v>
      </c>
      <c r="N244" s="6">
        <v>0</v>
      </c>
      <c r="O244" s="6">
        <v>0</v>
      </c>
      <c r="P244" s="6">
        <v>0</v>
      </c>
      <c r="Q244" s="6">
        <v>0</v>
      </c>
      <c r="R244" s="6">
        <v>1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1</v>
      </c>
      <c r="AE244" s="6">
        <v>0</v>
      </c>
      <c r="AF244" s="6">
        <v>0</v>
      </c>
      <c r="AG244" s="6">
        <v>0</v>
      </c>
      <c r="AH244" s="6">
        <v>0</v>
      </c>
      <c r="AI244" s="6">
        <v>1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0</v>
      </c>
      <c r="AS244" s="6">
        <v>0</v>
      </c>
      <c r="AW244" s="2"/>
    </row>
    <row r="245" spans="1:49" x14ac:dyDescent="0.25">
      <c r="A245" s="6" t="s">
        <v>747</v>
      </c>
      <c r="B245" s="6" t="s">
        <v>526</v>
      </c>
      <c r="C245" s="6"/>
      <c r="D245" s="6" t="s">
        <v>422</v>
      </c>
      <c r="E245" s="6"/>
      <c r="G245" s="6"/>
      <c r="H245" s="6"/>
      <c r="I245" s="9">
        <v>0.75</v>
      </c>
      <c r="J245" s="9">
        <v>0.5</v>
      </c>
      <c r="K245" s="9">
        <v>1.25</v>
      </c>
      <c r="L245" s="6">
        <v>0</v>
      </c>
      <c r="M245" s="6">
        <v>0</v>
      </c>
      <c r="N245" s="6">
        <v>1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1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0</v>
      </c>
      <c r="AW245" s="2"/>
    </row>
    <row r="246" spans="1:49" x14ac:dyDescent="0.25">
      <c r="A246" s="6" t="s">
        <v>747</v>
      </c>
      <c r="B246" s="6" t="s">
        <v>527</v>
      </c>
      <c r="C246" s="6"/>
      <c r="D246" s="6" t="s">
        <v>422</v>
      </c>
      <c r="E246" s="6"/>
      <c r="G246" s="6"/>
      <c r="H246" s="6"/>
      <c r="I246" s="9">
        <v>11</v>
      </c>
      <c r="J246" s="9">
        <v>0</v>
      </c>
      <c r="K246" s="9">
        <v>11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2</v>
      </c>
      <c r="S246" s="6">
        <v>2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W246" s="2"/>
    </row>
    <row r="247" spans="1:49" x14ac:dyDescent="0.25">
      <c r="A247" s="6" t="s">
        <v>747</v>
      </c>
      <c r="B247" s="6" t="s">
        <v>528</v>
      </c>
      <c r="C247" s="6"/>
      <c r="D247" s="6" t="s">
        <v>422</v>
      </c>
      <c r="E247" s="6"/>
      <c r="G247" s="6"/>
      <c r="H247" s="6"/>
      <c r="I247" s="9">
        <v>8</v>
      </c>
      <c r="J247" s="9">
        <v>0</v>
      </c>
      <c r="K247" s="9">
        <v>8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2</v>
      </c>
      <c r="S247" s="6">
        <v>1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6">
        <v>0</v>
      </c>
      <c r="AW247" s="2"/>
    </row>
    <row r="248" spans="1:49" x14ac:dyDescent="0.25">
      <c r="A248" s="6" t="s">
        <v>747</v>
      </c>
      <c r="B248" s="6" t="s">
        <v>529</v>
      </c>
      <c r="C248" s="6"/>
      <c r="D248" s="6" t="s">
        <v>422</v>
      </c>
      <c r="E248" s="6"/>
      <c r="G248" s="6"/>
      <c r="H248" s="6"/>
      <c r="I248" s="9">
        <v>0.5</v>
      </c>
      <c r="J248" s="9">
        <v>1.85</v>
      </c>
      <c r="K248" s="9">
        <v>2.35</v>
      </c>
      <c r="L248" s="6">
        <v>0</v>
      </c>
      <c r="M248" s="6">
        <v>1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1</v>
      </c>
      <c r="AD248" s="6">
        <v>1</v>
      </c>
      <c r="AE248" s="6">
        <v>0</v>
      </c>
      <c r="AF248" s="6">
        <v>1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6">
        <v>0</v>
      </c>
      <c r="AQ248" s="6">
        <v>0</v>
      </c>
      <c r="AR248" s="6">
        <v>0</v>
      </c>
      <c r="AS248" s="6">
        <v>0</v>
      </c>
      <c r="AW248" s="2"/>
    </row>
    <row r="249" spans="1:49" x14ac:dyDescent="0.25">
      <c r="A249" s="6" t="s">
        <v>747</v>
      </c>
      <c r="B249" s="6" t="s">
        <v>530</v>
      </c>
      <c r="C249" s="6"/>
      <c r="D249" s="6" t="s">
        <v>422</v>
      </c>
      <c r="E249" s="6"/>
      <c r="G249" s="6"/>
      <c r="H249" s="6"/>
      <c r="I249" s="9">
        <v>0.35</v>
      </c>
      <c r="J249" s="9">
        <v>1</v>
      </c>
      <c r="K249" s="9">
        <v>1.35</v>
      </c>
      <c r="L249" s="6">
        <v>1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1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6">
        <v>0</v>
      </c>
      <c r="AW249" s="2"/>
    </row>
    <row r="250" spans="1:49" x14ac:dyDescent="0.25">
      <c r="A250" s="6" t="s">
        <v>747</v>
      </c>
      <c r="B250" s="6" t="s">
        <v>531</v>
      </c>
      <c r="C250" s="6"/>
      <c r="D250" s="6" t="s">
        <v>422</v>
      </c>
      <c r="E250" s="6"/>
      <c r="G250" s="6"/>
      <c r="H250" s="6"/>
      <c r="I250" s="9">
        <v>2</v>
      </c>
      <c r="J250" s="9">
        <v>0</v>
      </c>
      <c r="K250" s="9">
        <v>2</v>
      </c>
      <c r="L250" s="6">
        <v>0</v>
      </c>
      <c r="M250" s="6">
        <v>0</v>
      </c>
      <c r="N250" s="6">
        <v>0</v>
      </c>
      <c r="O250" s="6">
        <v>2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6">
        <v>0</v>
      </c>
      <c r="AQ250" s="6">
        <v>0</v>
      </c>
      <c r="AR250" s="6">
        <v>0</v>
      </c>
      <c r="AS250" s="6">
        <v>0</v>
      </c>
      <c r="AW250" s="2"/>
    </row>
    <row r="251" spans="1:49" x14ac:dyDescent="0.25">
      <c r="A251" s="6" t="s">
        <v>747</v>
      </c>
      <c r="B251" s="6" t="s">
        <v>532</v>
      </c>
      <c r="C251" s="6"/>
      <c r="D251" s="6" t="s">
        <v>422</v>
      </c>
      <c r="E251" s="6"/>
      <c r="G251" s="6"/>
      <c r="H251" s="6"/>
      <c r="I251" s="9">
        <v>2</v>
      </c>
      <c r="J251" s="9">
        <v>0.35</v>
      </c>
      <c r="K251" s="9">
        <v>2.35</v>
      </c>
      <c r="L251" s="6">
        <v>0</v>
      </c>
      <c r="M251" s="6">
        <v>0</v>
      </c>
      <c r="N251" s="6">
        <v>0</v>
      </c>
      <c r="O251" s="6">
        <v>2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1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W251" s="2"/>
    </row>
    <row r="252" spans="1:49" x14ac:dyDescent="0.25">
      <c r="A252" s="6" t="s">
        <v>747</v>
      </c>
      <c r="B252" s="6" t="s">
        <v>533</v>
      </c>
      <c r="C252" s="6"/>
      <c r="D252" s="6" t="s">
        <v>422</v>
      </c>
      <c r="E252" s="6"/>
      <c r="G252" s="6"/>
      <c r="H252" s="6"/>
      <c r="I252" s="9">
        <v>1.0499999999999998</v>
      </c>
      <c r="J252" s="9">
        <v>0.35</v>
      </c>
      <c r="K252" s="9">
        <v>1.4</v>
      </c>
      <c r="L252" s="6">
        <v>3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1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W252" s="2"/>
    </row>
    <row r="253" spans="1:49" x14ac:dyDescent="0.25">
      <c r="A253" s="6" t="s">
        <v>747</v>
      </c>
      <c r="B253" s="6" t="s">
        <v>534</v>
      </c>
      <c r="C253" s="6"/>
      <c r="D253" s="6" t="s">
        <v>422</v>
      </c>
      <c r="E253" s="6"/>
      <c r="G253" s="6"/>
      <c r="H253" s="6"/>
      <c r="I253" s="9">
        <v>1.4</v>
      </c>
      <c r="J253" s="9">
        <v>1.0499999999999998</v>
      </c>
      <c r="K253" s="9">
        <v>2.4499999999999997</v>
      </c>
      <c r="L253" s="6">
        <v>4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3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6">
        <v>0</v>
      </c>
      <c r="AS253" s="6">
        <v>0</v>
      </c>
      <c r="AW253" s="2"/>
    </row>
    <row r="254" spans="1:49" x14ac:dyDescent="0.25">
      <c r="A254" s="6" t="s">
        <v>747</v>
      </c>
      <c r="B254" s="6" t="s">
        <v>535</v>
      </c>
      <c r="C254" s="6"/>
      <c r="D254" s="6" t="s">
        <v>422</v>
      </c>
      <c r="E254" s="6"/>
      <c r="G254" s="6"/>
      <c r="H254" s="6"/>
      <c r="I254" s="9">
        <v>1.0499999999999998</v>
      </c>
      <c r="J254" s="9">
        <v>0</v>
      </c>
      <c r="K254" s="9">
        <v>1.0499999999999998</v>
      </c>
      <c r="L254" s="6">
        <v>3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6">
        <v>0</v>
      </c>
      <c r="AW254" s="2"/>
    </row>
    <row r="255" spans="1:49" x14ac:dyDescent="0.25">
      <c r="A255" s="6" t="s">
        <v>747</v>
      </c>
      <c r="B255" s="6" t="s">
        <v>536</v>
      </c>
      <c r="C255" s="6"/>
      <c r="D255" s="6" t="s">
        <v>422</v>
      </c>
      <c r="E255" s="6"/>
      <c r="G255" s="6"/>
      <c r="H255" s="6"/>
      <c r="I255" s="9">
        <v>1.75</v>
      </c>
      <c r="J255" s="9">
        <v>0</v>
      </c>
      <c r="K255" s="9">
        <v>1.75</v>
      </c>
      <c r="L255" s="6">
        <v>0</v>
      </c>
      <c r="M255" s="6">
        <v>2</v>
      </c>
      <c r="N255" s="6">
        <v>1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6">
        <v>0</v>
      </c>
      <c r="AS255" s="6">
        <v>0</v>
      </c>
      <c r="AW255" s="2"/>
    </row>
    <row r="256" spans="1:49" x14ac:dyDescent="0.25">
      <c r="A256" s="6" t="s">
        <v>747</v>
      </c>
      <c r="B256" s="6" t="s">
        <v>537</v>
      </c>
      <c r="C256" s="14">
        <v>45764</v>
      </c>
      <c r="D256" s="6" t="s">
        <v>422</v>
      </c>
      <c r="E256" s="6"/>
      <c r="G256" s="6"/>
      <c r="H256" s="6"/>
      <c r="I256" s="9">
        <v>0.85</v>
      </c>
      <c r="J256" s="9">
        <v>0.35</v>
      </c>
      <c r="K256" s="9">
        <v>1.2</v>
      </c>
      <c r="L256" s="6">
        <v>1</v>
      </c>
      <c r="M256" s="6">
        <v>1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1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0</v>
      </c>
      <c r="AP256" s="6">
        <v>0</v>
      </c>
      <c r="AQ256" s="6">
        <v>0</v>
      </c>
      <c r="AR256" s="6">
        <v>0</v>
      </c>
      <c r="AS256" s="6">
        <v>0</v>
      </c>
      <c r="AW256" s="2"/>
    </row>
    <row r="257" spans="1:49" x14ac:dyDescent="0.25">
      <c r="A257" s="6" t="s">
        <v>747</v>
      </c>
      <c r="B257" s="6" t="s">
        <v>538</v>
      </c>
      <c r="C257" s="6"/>
      <c r="D257" s="6" t="s">
        <v>422</v>
      </c>
      <c r="E257" s="6"/>
      <c r="G257" s="6"/>
      <c r="H257" s="6"/>
      <c r="I257" s="9">
        <v>1.2</v>
      </c>
      <c r="J257" s="9">
        <v>0</v>
      </c>
      <c r="K257" s="9">
        <v>1.2</v>
      </c>
      <c r="L257" s="6">
        <v>2</v>
      </c>
      <c r="M257" s="6">
        <v>1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6">
        <v>0</v>
      </c>
      <c r="AQ257" s="6">
        <v>0</v>
      </c>
      <c r="AR257" s="6">
        <v>0</v>
      </c>
      <c r="AS257" s="6">
        <v>0</v>
      </c>
      <c r="AW257" s="2"/>
    </row>
    <row r="258" spans="1:49" x14ac:dyDescent="0.25">
      <c r="A258" s="6" t="s">
        <v>747</v>
      </c>
      <c r="B258" s="6" t="s">
        <v>539</v>
      </c>
      <c r="C258" s="6"/>
      <c r="D258" s="6" t="s">
        <v>422</v>
      </c>
      <c r="E258" s="6"/>
      <c r="G258" s="6"/>
      <c r="H258" s="6"/>
      <c r="I258" s="9">
        <v>0.35</v>
      </c>
      <c r="J258" s="9">
        <v>1.0499999999999998</v>
      </c>
      <c r="K258" s="9">
        <v>1.4</v>
      </c>
      <c r="L258" s="6">
        <v>1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3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6">
        <v>0</v>
      </c>
      <c r="AS258" s="6">
        <v>0</v>
      </c>
      <c r="AW258" s="2"/>
    </row>
    <row r="259" spans="1:49" x14ac:dyDescent="0.25">
      <c r="A259" s="6" t="s">
        <v>747</v>
      </c>
      <c r="B259" s="6" t="s">
        <v>540</v>
      </c>
      <c r="C259" s="6"/>
      <c r="D259" s="6" t="s">
        <v>422</v>
      </c>
      <c r="E259" s="6"/>
      <c r="G259" s="6"/>
      <c r="H259" s="6"/>
      <c r="I259" s="9">
        <v>0.7</v>
      </c>
      <c r="J259" s="9">
        <v>0.35</v>
      </c>
      <c r="K259" s="9">
        <v>1.0499999999999998</v>
      </c>
      <c r="L259" s="6">
        <v>2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6">
        <v>1</v>
      </c>
      <c r="AD259" s="6">
        <v>0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0</v>
      </c>
      <c r="AM259" s="6">
        <v>0</v>
      </c>
      <c r="AN259" s="6">
        <v>0</v>
      </c>
      <c r="AO259" s="6">
        <v>0</v>
      </c>
      <c r="AP259" s="6">
        <v>0</v>
      </c>
      <c r="AQ259" s="6">
        <v>0</v>
      </c>
      <c r="AR259" s="6">
        <v>0</v>
      </c>
      <c r="AS259" s="6">
        <v>0</v>
      </c>
      <c r="AW259" s="2"/>
    </row>
    <row r="260" spans="1:49" x14ac:dyDescent="0.25">
      <c r="A260" s="6" t="s">
        <v>747</v>
      </c>
      <c r="B260" s="6" t="s">
        <v>541</v>
      </c>
      <c r="C260" s="6"/>
      <c r="D260" s="6" t="s">
        <v>422</v>
      </c>
      <c r="E260" s="6"/>
      <c r="G260" s="6"/>
      <c r="H260" s="6"/>
      <c r="I260" s="9">
        <v>0.35</v>
      </c>
      <c r="J260" s="9">
        <v>0.7</v>
      </c>
      <c r="K260" s="9">
        <v>1.0499999999999998</v>
      </c>
      <c r="L260" s="6">
        <v>1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2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0</v>
      </c>
      <c r="AP260" s="6">
        <v>0</v>
      </c>
      <c r="AQ260" s="6">
        <v>0</v>
      </c>
      <c r="AR260" s="6">
        <v>0</v>
      </c>
      <c r="AS260" s="6">
        <v>0</v>
      </c>
      <c r="AW260" s="2"/>
    </row>
    <row r="261" spans="1:49" x14ac:dyDescent="0.25">
      <c r="A261" s="6" t="s">
        <v>747</v>
      </c>
      <c r="B261" s="6" t="s">
        <v>542</v>
      </c>
      <c r="C261" s="6"/>
      <c r="D261" s="6" t="s">
        <v>422</v>
      </c>
      <c r="E261" s="6"/>
      <c r="G261" s="6"/>
      <c r="H261" s="6"/>
      <c r="I261" s="9">
        <v>0.5</v>
      </c>
      <c r="J261" s="9">
        <v>0.7</v>
      </c>
      <c r="K261" s="9">
        <v>1.2</v>
      </c>
      <c r="L261" s="6">
        <v>0</v>
      </c>
      <c r="M261" s="6">
        <v>1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  <c r="AC261" s="6">
        <v>2</v>
      </c>
      <c r="AD261" s="6">
        <v>0</v>
      </c>
      <c r="AE261" s="6">
        <v>0</v>
      </c>
      <c r="AF261" s="6">
        <v>0</v>
      </c>
      <c r="AG261" s="6">
        <v>0</v>
      </c>
      <c r="AH261" s="6">
        <v>0</v>
      </c>
      <c r="AI261" s="6">
        <v>0</v>
      </c>
      <c r="AJ261" s="6">
        <v>0</v>
      </c>
      <c r="AK261" s="6">
        <v>0</v>
      </c>
      <c r="AL261" s="6">
        <v>0</v>
      </c>
      <c r="AM261" s="6">
        <v>0</v>
      </c>
      <c r="AN261" s="6">
        <v>0</v>
      </c>
      <c r="AO261" s="6">
        <v>0</v>
      </c>
      <c r="AP261" s="6">
        <v>0</v>
      </c>
      <c r="AQ261" s="6">
        <v>0</v>
      </c>
      <c r="AR261" s="6">
        <v>0</v>
      </c>
      <c r="AS261" s="6">
        <v>0</v>
      </c>
      <c r="AW261" s="2"/>
    </row>
    <row r="262" spans="1:49" x14ac:dyDescent="0.25">
      <c r="A262" s="6" t="s">
        <v>747</v>
      </c>
      <c r="B262" s="6" t="s">
        <v>543</v>
      </c>
      <c r="C262" s="6"/>
      <c r="D262" s="6" t="s">
        <v>422</v>
      </c>
      <c r="E262" s="6"/>
      <c r="G262" s="6"/>
      <c r="H262" s="6"/>
      <c r="I262" s="9">
        <v>0.35</v>
      </c>
      <c r="J262" s="9">
        <v>0.85</v>
      </c>
      <c r="K262" s="9">
        <v>1.2</v>
      </c>
      <c r="L262" s="6">
        <v>1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  <c r="AC262" s="6">
        <v>1</v>
      </c>
      <c r="AD262" s="6">
        <v>1</v>
      </c>
      <c r="AE262" s="6">
        <v>0</v>
      </c>
      <c r="AF262" s="6">
        <v>0</v>
      </c>
      <c r="AG262" s="6">
        <v>0</v>
      </c>
      <c r="AH262" s="6">
        <v>0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0</v>
      </c>
      <c r="AP262" s="6">
        <v>0</v>
      </c>
      <c r="AQ262" s="6">
        <v>0</v>
      </c>
      <c r="AR262" s="6">
        <v>0</v>
      </c>
      <c r="AS262" s="6">
        <v>0</v>
      </c>
      <c r="AW262" s="2"/>
    </row>
    <row r="263" spans="1:49" x14ac:dyDescent="0.25">
      <c r="A263" s="6" t="s">
        <v>747</v>
      </c>
      <c r="B263" s="6" t="s">
        <v>544</v>
      </c>
      <c r="C263" s="6"/>
      <c r="D263" s="6" t="s">
        <v>422</v>
      </c>
      <c r="E263" s="6"/>
      <c r="G263" s="6"/>
      <c r="H263" s="6"/>
      <c r="I263" s="9">
        <v>0</v>
      </c>
      <c r="J263" s="9">
        <v>1.2</v>
      </c>
      <c r="K263" s="9">
        <v>1.2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2</v>
      </c>
      <c r="AD263" s="6">
        <v>1</v>
      </c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  <c r="AP263" s="6">
        <v>0</v>
      </c>
      <c r="AQ263" s="6">
        <v>0</v>
      </c>
      <c r="AR263" s="6">
        <v>0</v>
      </c>
      <c r="AS263" s="6">
        <v>0</v>
      </c>
      <c r="AW263" s="2"/>
    </row>
    <row r="264" spans="1:49" x14ac:dyDescent="0.25">
      <c r="A264" s="6" t="s">
        <v>747</v>
      </c>
      <c r="B264" s="6" t="s">
        <v>545</v>
      </c>
      <c r="C264" s="6"/>
      <c r="D264" s="6" t="s">
        <v>422</v>
      </c>
      <c r="E264" s="6"/>
      <c r="G264" s="6"/>
      <c r="H264" s="6"/>
      <c r="I264" s="9">
        <v>0.7</v>
      </c>
      <c r="J264" s="9">
        <v>0.5</v>
      </c>
      <c r="K264" s="9">
        <v>1.2</v>
      </c>
      <c r="L264" s="6">
        <v>2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1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6">
        <v>0</v>
      </c>
      <c r="AQ264" s="6">
        <v>0</v>
      </c>
      <c r="AR264" s="6">
        <v>0</v>
      </c>
      <c r="AS264" s="6">
        <v>0</v>
      </c>
      <c r="AW264" s="2"/>
    </row>
    <row r="265" spans="1:49" x14ac:dyDescent="0.25">
      <c r="A265" s="6" t="s">
        <v>747</v>
      </c>
      <c r="B265" s="6" t="s">
        <v>546</v>
      </c>
      <c r="C265" s="6"/>
      <c r="D265" s="6" t="s">
        <v>422</v>
      </c>
      <c r="E265" s="6"/>
      <c r="G265" s="6"/>
      <c r="H265" s="6"/>
      <c r="I265" s="9">
        <v>1.5</v>
      </c>
      <c r="J265" s="9">
        <v>1</v>
      </c>
      <c r="K265" s="9">
        <v>2.5</v>
      </c>
      <c r="L265" s="6">
        <v>0</v>
      </c>
      <c r="M265" s="6">
        <v>3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2</v>
      </c>
      <c r="AE265" s="6">
        <v>0</v>
      </c>
      <c r="AF265" s="6">
        <v>0</v>
      </c>
      <c r="AG265" s="6">
        <v>0</v>
      </c>
      <c r="AH265" s="6">
        <v>0</v>
      </c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6">
        <v>0</v>
      </c>
      <c r="AS265" s="6">
        <v>0</v>
      </c>
      <c r="AW265" s="2"/>
    </row>
    <row r="266" spans="1:49" x14ac:dyDescent="0.25">
      <c r="A266" s="6" t="s">
        <v>748</v>
      </c>
      <c r="B266" s="6" t="s">
        <v>547</v>
      </c>
      <c r="C266" s="6"/>
      <c r="D266" s="6" t="s">
        <v>422</v>
      </c>
      <c r="E266" s="6"/>
      <c r="G266" s="6"/>
      <c r="H266" s="6"/>
      <c r="I266" s="9">
        <v>3</v>
      </c>
      <c r="J266" s="9">
        <v>6</v>
      </c>
      <c r="K266" s="9">
        <v>9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1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  <c r="AI266" s="6">
        <v>0</v>
      </c>
      <c r="AJ266" s="6">
        <v>2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0</v>
      </c>
      <c r="AQ266" s="6">
        <v>0</v>
      </c>
      <c r="AR266" s="6">
        <v>0</v>
      </c>
      <c r="AS266" s="6">
        <v>0</v>
      </c>
      <c r="AW266" s="2"/>
    </row>
    <row r="267" spans="1:49" x14ac:dyDescent="0.25">
      <c r="A267" s="6" t="s">
        <v>748</v>
      </c>
      <c r="B267" s="6" t="s">
        <v>548</v>
      </c>
      <c r="C267" s="6"/>
      <c r="D267" s="6" t="s">
        <v>422</v>
      </c>
      <c r="E267" s="6"/>
      <c r="G267" s="6"/>
      <c r="H267" s="6"/>
      <c r="I267" s="9">
        <v>0.35</v>
      </c>
      <c r="J267" s="9">
        <v>0.35</v>
      </c>
      <c r="K267" s="9">
        <v>0.7</v>
      </c>
      <c r="L267" s="6">
        <v>1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  <c r="AC267" s="6">
        <v>1</v>
      </c>
      <c r="AD267" s="6">
        <v>0</v>
      </c>
      <c r="AE267" s="6">
        <v>0</v>
      </c>
      <c r="AF267" s="6">
        <v>0</v>
      </c>
      <c r="AG267" s="6">
        <v>0</v>
      </c>
      <c r="AH267" s="6">
        <v>0</v>
      </c>
      <c r="AI267" s="6">
        <v>0</v>
      </c>
      <c r="AJ267" s="6">
        <v>0</v>
      </c>
      <c r="AK267" s="6">
        <v>0</v>
      </c>
      <c r="AL267" s="6">
        <v>0</v>
      </c>
      <c r="AM267" s="6">
        <v>0</v>
      </c>
      <c r="AN267" s="6">
        <v>0</v>
      </c>
      <c r="AO267" s="6">
        <v>0</v>
      </c>
      <c r="AP267" s="6">
        <v>0</v>
      </c>
      <c r="AQ267" s="6">
        <v>0</v>
      </c>
      <c r="AR267" s="6">
        <v>0</v>
      </c>
      <c r="AS267" s="6">
        <v>0</v>
      </c>
      <c r="AW267" s="2"/>
    </row>
    <row r="268" spans="1:49" x14ac:dyDescent="0.25">
      <c r="A268" s="6" t="s">
        <v>748</v>
      </c>
      <c r="B268" s="6" t="s">
        <v>549</v>
      </c>
      <c r="C268" s="14">
        <v>45764</v>
      </c>
      <c r="D268" s="6" t="s">
        <v>422</v>
      </c>
      <c r="E268" s="6"/>
      <c r="G268" s="6"/>
      <c r="H268" s="6"/>
      <c r="I268" s="9">
        <v>1.4</v>
      </c>
      <c r="J268" s="9">
        <v>0.7</v>
      </c>
      <c r="K268" s="9">
        <v>2.0999999999999996</v>
      </c>
      <c r="L268" s="6">
        <v>4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2</v>
      </c>
      <c r="AD268" s="6">
        <v>0</v>
      </c>
      <c r="AE268" s="6">
        <v>0</v>
      </c>
      <c r="AF268" s="6">
        <v>0</v>
      </c>
      <c r="AG268" s="6">
        <v>0</v>
      </c>
      <c r="AH268" s="6">
        <v>0</v>
      </c>
      <c r="AI268" s="6">
        <v>0</v>
      </c>
      <c r="AJ268" s="6">
        <v>0</v>
      </c>
      <c r="AK268" s="6">
        <v>0</v>
      </c>
      <c r="AL268" s="6">
        <v>0</v>
      </c>
      <c r="AM268" s="6">
        <v>0</v>
      </c>
      <c r="AN268" s="6">
        <v>0</v>
      </c>
      <c r="AO268" s="6">
        <v>0</v>
      </c>
      <c r="AP268" s="6">
        <v>0</v>
      </c>
      <c r="AQ268" s="6">
        <v>0</v>
      </c>
      <c r="AR268" s="6">
        <v>0</v>
      </c>
      <c r="AS268" s="6">
        <v>0</v>
      </c>
      <c r="AW268" s="2"/>
    </row>
    <row r="269" spans="1:49" x14ac:dyDescent="0.25">
      <c r="A269" s="6" t="s">
        <v>748</v>
      </c>
      <c r="B269" s="6" t="s">
        <v>550</v>
      </c>
      <c r="C269" s="6"/>
      <c r="D269" s="6" t="s">
        <v>422</v>
      </c>
      <c r="E269" s="6"/>
      <c r="G269" s="6"/>
      <c r="H269" s="6"/>
      <c r="I269" s="9">
        <v>0.35</v>
      </c>
      <c r="J269" s="9">
        <v>1.2</v>
      </c>
      <c r="K269" s="9">
        <v>1.5499999999999998</v>
      </c>
      <c r="L269" s="6">
        <v>1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  <c r="AC269" s="6">
        <v>2</v>
      </c>
      <c r="AD269" s="6">
        <v>1</v>
      </c>
      <c r="AE269" s="6">
        <v>0</v>
      </c>
      <c r="AF269" s="6">
        <v>0</v>
      </c>
      <c r="AG269" s="6">
        <v>0</v>
      </c>
      <c r="AH269" s="6">
        <v>0</v>
      </c>
      <c r="AI269" s="6">
        <v>0</v>
      </c>
      <c r="AJ269" s="6">
        <v>0</v>
      </c>
      <c r="AK269" s="6">
        <v>0</v>
      </c>
      <c r="AL269" s="6">
        <v>0</v>
      </c>
      <c r="AM269" s="6">
        <v>0</v>
      </c>
      <c r="AN269" s="6">
        <v>0</v>
      </c>
      <c r="AO269" s="6">
        <v>0</v>
      </c>
      <c r="AP269" s="6">
        <v>0</v>
      </c>
      <c r="AQ269" s="6">
        <v>0</v>
      </c>
      <c r="AR269" s="6">
        <v>0</v>
      </c>
      <c r="AS269" s="6">
        <v>0</v>
      </c>
      <c r="AW269" s="2"/>
    </row>
    <row r="270" spans="1:49" x14ac:dyDescent="0.25">
      <c r="A270" s="6" t="s">
        <v>748</v>
      </c>
      <c r="B270" s="6" t="s">
        <v>551</v>
      </c>
      <c r="C270" s="6"/>
      <c r="D270" s="6" t="s">
        <v>422</v>
      </c>
      <c r="E270" s="6"/>
      <c r="G270" s="6"/>
      <c r="H270" s="6"/>
      <c r="I270" s="9">
        <v>1.2</v>
      </c>
      <c r="J270" s="9">
        <v>0.85</v>
      </c>
      <c r="K270" s="9">
        <v>2.0499999999999998</v>
      </c>
      <c r="L270" s="6">
        <v>2</v>
      </c>
      <c r="M270" s="6">
        <v>1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1</v>
      </c>
      <c r="AD270" s="6">
        <v>1</v>
      </c>
      <c r="AE270" s="6">
        <v>0</v>
      </c>
      <c r="AF270" s="6">
        <v>0</v>
      </c>
      <c r="AG270" s="6">
        <v>0</v>
      </c>
      <c r="AH270" s="6">
        <v>0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0</v>
      </c>
      <c r="AP270" s="6">
        <v>0</v>
      </c>
      <c r="AQ270" s="6">
        <v>0</v>
      </c>
      <c r="AR270" s="6">
        <v>0</v>
      </c>
      <c r="AS270" s="6">
        <v>0</v>
      </c>
      <c r="AW270" s="2"/>
    </row>
    <row r="271" spans="1:49" x14ac:dyDescent="0.25">
      <c r="A271" s="6" t="s">
        <v>748</v>
      </c>
      <c r="B271" s="6" t="s">
        <v>884</v>
      </c>
      <c r="C271" s="6"/>
      <c r="D271" s="6" t="s">
        <v>422</v>
      </c>
      <c r="E271" s="6"/>
      <c r="G271" s="6"/>
      <c r="H271" s="6"/>
      <c r="I271" s="9">
        <v>0.5</v>
      </c>
      <c r="J271" s="9">
        <v>0.7</v>
      </c>
      <c r="K271" s="9">
        <v>1.2</v>
      </c>
      <c r="L271" s="6">
        <v>0</v>
      </c>
      <c r="M271" s="6">
        <v>1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2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0</v>
      </c>
      <c r="AP271" s="6">
        <v>0</v>
      </c>
      <c r="AQ271" s="6">
        <v>0</v>
      </c>
      <c r="AR271" s="6">
        <v>0</v>
      </c>
      <c r="AS271" s="6">
        <v>0</v>
      </c>
      <c r="AW271" s="2"/>
    </row>
    <row r="272" spans="1:49" x14ac:dyDescent="0.25">
      <c r="A272" s="6" t="s">
        <v>748</v>
      </c>
      <c r="B272" s="6" t="s">
        <v>552</v>
      </c>
      <c r="C272" s="6"/>
      <c r="D272" s="6" t="s">
        <v>422</v>
      </c>
      <c r="E272" s="6"/>
      <c r="G272" s="6"/>
      <c r="H272" s="6"/>
      <c r="I272" s="9">
        <v>0.5</v>
      </c>
      <c r="J272" s="9">
        <v>1.0499999999999998</v>
      </c>
      <c r="K272" s="9">
        <v>1.5499999999999998</v>
      </c>
      <c r="L272" s="6">
        <v>0</v>
      </c>
      <c r="M272" s="6">
        <v>1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3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6">
        <v>0</v>
      </c>
      <c r="AP272" s="6">
        <v>0</v>
      </c>
      <c r="AQ272" s="6">
        <v>0</v>
      </c>
      <c r="AR272" s="6">
        <v>0</v>
      </c>
      <c r="AS272" s="6">
        <v>0</v>
      </c>
      <c r="AW272" s="2"/>
    </row>
    <row r="273" spans="1:49" x14ac:dyDescent="0.25">
      <c r="A273" s="6" t="s">
        <v>748</v>
      </c>
      <c r="B273" s="6" t="s">
        <v>553</v>
      </c>
      <c r="C273" s="6"/>
      <c r="D273" s="6" t="s">
        <v>422</v>
      </c>
      <c r="E273" s="6"/>
      <c r="G273" s="6"/>
      <c r="H273" s="6"/>
      <c r="I273" s="9">
        <v>1.5499999999999998</v>
      </c>
      <c r="J273" s="9">
        <v>1.5499999999999998</v>
      </c>
      <c r="K273" s="9">
        <v>3.0999999999999996</v>
      </c>
      <c r="L273" s="6">
        <v>3</v>
      </c>
      <c r="M273" s="6">
        <v>1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3</v>
      </c>
      <c r="AD273" s="6">
        <v>1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0</v>
      </c>
      <c r="AP273" s="6">
        <v>0</v>
      </c>
      <c r="AQ273" s="6">
        <v>0</v>
      </c>
      <c r="AR273" s="6">
        <v>0</v>
      </c>
      <c r="AS273" s="6">
        <v>0</v>
      </c>
      <c r="AW273" s="2"/>
    </row>
    <row r="274" spans="1:49" x14ac:dyDescent="0.25">
      <c r="A274" s="6" t="s">
        <v>748</v>
      </c>
      <c r="B274" s="6" t="s">
        <v>884</v>
      </c>
      <c r="C274" s="6"/>
      <c r="D274" s="6" t="s">
        <v>422</v>
      </c>
      <c r="E274" s="6"/>
      <c r="G274" s="6"/>
      <c r="H274" s="6"/>
      <c r="I274" s="9">
        <v>0.5</v>
      </c>
      <c r="J274" s="9">
        <v>0.85</v>
      </c>
      <c r="K274" s="9">
        <v>1.35</v>
      </c>
      <c r="L274" s="6">
        <v>0</v>
      </c>
      <c r="M274" s="6">
        <v>1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1</v>
      </c>
      <c r="AD274" s="6">
        <v>1</v>
      </c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6">
        <v>0</v>
      </c>
      <c r="AL274" s="6">
        <v>0</v>
      </c>
      <c r="AM274" s="6">
        <v>0</v>
      </c>
      <c r="AN274" s="6">
        <v>0</v>
      </c>
      <c r="AO274" s="6">
        <v>0</v>
      </c>
      <c r="AP274" s="6">
        <v>0</v>
      </c>
      <c r="AQ274" s="6">
        <v>0</v>
      </c>
      <c r="AR274" s="6">
        <v>0</v>
      </c>
      <c r="AS274" s="6">
        <v>0</v>
      </c>
      <c r="AW274" s="2"/>
    </row>
    <row r="275" spans="1:49" x14ac:dyDescent="0.25">
      <c r="A275" s="6" t="s">
        <v>748</v>
      </c>
      <c r="B275" s="6" t="s">
        <v>554</v>
      </c>
      <c r="C275" s="6"/>
      <c r="D275" s="6" t="s">
        <v>422</v>
      </c>
      <c r="E275" s="6"/>
      <c r="G275" s="6"/>
      <c r="H275" s="6"/>
      <c r="I275" s="9">
        <v>1.35</v>
      </c>
      <c r="J275" s="9">
        <v>0</v>
      </c>
      <c r="K275" s="9">
        <v>1.35</v>
      </c>
      <c r="L275" s="6">
        <v>1</v>
      </c>
      <c r="M275" s="6">
        <v>2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  <c r="AC275" s="6">
        <v>0</v>
      </c>
      <c r="AD275" s="6">
        <v>0</v>
      </c>
      <c r="AE275" s="6">
        <v>0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6">
        <v>0</v>
      </c>
      <c r="AM275" s="6">
        <v>0</v>
      </c>
      <c r="AN275" s="6">
        <v>0</v>
      </c>
      <c r="AO275" s="6">
        <v>0</v>
      </c>
      <c r="AP275" s="6">
        <v>0</v>
      </c>
      <c r="AQ275" s="6">
        <v>0</v>
      </c>
      <c r="AR275" s="6">
        <v>0</v>
      </c>
      <c r="AS275" s="6">
        <v>0</v>
      </c>
      <c r="AW275" s="2"/>
    </row>
    <row r="276" spans="1:49" x14ac:dyDescent="0.25">
      <c r="A276" s="6" t="s">
        <v>748</v>
      </c>
      <c r="B276" s="6" t="s">
        <v>555</v>
      </c>
      <c r="C276" s="6"/>
      <c r="D276" s="6" t="s">
        <v>422</v>
      </c>
      <c r="E276" s="6"/>
      <c r="G276" s="6"/>
      <c r="H276" s="6"/>
      <c r="I276" s="9">
        <v>1</v>
      </c>
      <c r="J276" s="9">
        <v>0.35</v>
      </c>
      <c r="K276" s="9">
        <v>1.35</v>
      </c>
      <c r="L276" s="6">
        <v>0</v>
      </c>
      <c r="M276" s="6">
        <v>2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1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6">
        <v>0</v>
      </c>
      <c r="AP276" s="6">
        <v>0</v>
      </c>
      <c r="AQ276" s="6">
        <v>0</v>
      </c>
      <c r="AR276" s="6">
        <v>0</v>
      </c>
      <c r="AS276" s="6">
        <v>0</v>
      </c>
      <c r="AW276" s="2"/>
    </row>
    <row r="277" spans="1:49" x14ac:dyDescent="0.25">
      <c r="A277" s="6" t="s">
        <v>748</v>
      </c>
      <c r="B277" s="6" t="s">
        <v>556</v>
      </c>
      <c r="C277" s="6"/>
      <c r="D277" s="6" t="s">
        <v>422</v>
      </c>
      <c r="E277" s="6"/>
      <c r="G277" s="6"/>
      <c r="H277" s="6"/>
      <c r="I277" s="9">
        <v>1</v>
      </c>
      <c r="J277" s="9">
        <v>1.35</v>
      </c>
      <c r="K277" s="9">
        <v>2.35</v>
      </c>
      <c r="L277" s="6">
        <v>0</v>
      </c>
      <c r="M277" s="6">
        <v>2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1</v>
      </c>
      <c r="AD277" s="6">
        <v>2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0</v>
      </c>
      <c r="AP277" s="6">
        <v>0</v>
      </c>
      <c r="AQ277" s="6">
        <v>0</v>
      </c>
      <c r="AR277" s="6">
        <v>0</v>
      </c>
      <c r="AS277" s="6">
        <v>0</v>
      </c>
      <c r="AW277" s="2"/>
    </row>
    <row r="278" spans="1:49" x14ac:dyDescent="0.25">
      <c r="A278" s="6" t="s">
        <v>748</v>
      </c>
      <c r="B278" s="6" t="s">
        <v>557</v>
      </c>
      <c r="C278" s="14">
        <v>45005</v>
      </c>
      <c r="D278" s="6" t="s">
        <v>422</v>
      </c>
      <c r="E278" s="6"/>
      <c r="G278" s="6"/>
      <c r="H278" s="6"/>
      <c r="I278" s="9">
        <v>1</v>
      </c>
      <c r="J278" s="9">
        <v>4</v>
      </c>
      <c r="K278" s="9">
        <v>5</v>
      </c>
      <c r="L278" s="6">
        <v>0</v>
      </c>
      <c r="M278" s="6">
        <v>0</v>
      </c>
      <c r="N278" s="6">
        <v>0</v>
      </c>
      <c r="O278" s="6">
        <v>1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0</v>
      </c>
      <c r="AE278" s="6">
        <v>0</v>
      </c>
      <c r="AF278" s="6">
        <v>4</v>
      </c>
      <c r="AG278" s="6">
        <v>0</v>
      </c>
      <c r="AH278" s="6">
        <v>0</v>
      </c>
      <c r="AI278" s="6">
        <v>0</v>
      </c>
      <c r="AJ278" s="6">
        <v>0</v>
      </c>
      <c r="AK278" s="6">
        <v>0</v>
      </c>
      <c r="AL278" s="6">
        <v>0</v>
      </c>
      <c r="AM278" s="6">
        <v>0</v>
      </c>
      <c r="AN278" s="6">
        <v>0</v>
      </c>
      <c r="AO278" s="6">
        <v>0</v>
      </c>
      <c r="AP278" s="6">
        <v>0</v>
      </c>
      <c r="AQ278" s="6">
        <v>0</v>
      </c>
      <c r="AR278" s="6">
        <v>0</v>
      </c>
      <c r="AS278" s="6">
        <v>0</v>
      </c>
      <c r="AW278" s="2"/>
    </row>
    <row r="279" spans="1:49" x14ac:dyDescent="0.25">
      <c r="A279" s="6" t="s">
        <v>748</v>
      </c>
      <c r="B279" s="6" t="s">
        <v>558</v>
      </c>
      <c r="C279" s="6"/>
      <c r="D279" s="6" t="s">
        <v>422</v>
      </c>
      <c r="E279" s="6"/>
      <c r="G279" s="6"/>
      <c r="H279" s="6"/>
      <c r="I279" s="9">
        <v>10</v>
      </c>
      <c r="J279" s="9">
        <v>10</v>
      </c>
      <c r="K279" s="9">
        <v>20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4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0</v>
      </c>
      <c r="AM279" s="6">
        <v>0</v>
      </c>
      <c r="AN279" s="6">
        <v>0</v>
      </c>
      <c r="AO279" s="6">
        <v>1</v>
      </c>
      <c r="AP279" s="6">
        <v>0</v>
      </c>
      <c r="AQ279" s="6">
        <v>0</v>
      </c>
      <c r="AR279" s="6">
        <v>0</v>
      </c>
      <c r="AS279" s="6">
        <v>0</v>
      </c>
      <c r="AW279" s="2"/>
    </row>
    <row r="280" spans="1:49" x14ac:dyDescent="0.25">
      <c r="A280" s="6" t="s">
        <v>748</v>
      </c>
      <c r="B280" s="6" t="s">
        <v>559</v>
      </c>
      <c r="C280" s="6"/>
      <c r="D280" s="6" t="s">
        <v>422</v>
      </c>
      <c r="E280" s="6"/>
      <c r="G280" s="6"/>
      <c r="H280" s="6"/>
      <c r="I280" s="9">
        <v>2</v>
      </c>
      <c r="J280" s="9">
        <v>2.85</v>
      </c>
      <c r="K280" s="9">
        <v>4.8499999999999996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1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1</v>
      </c>
      <c r="AD280" s="6">
        <v>2</v>
      </c>
      <c r="AE280" s="6">
        <v>0</v>
      </c>
      <c r="AF280" s="6">
        <v>0</v>
      </c>
      <c r="AG280" s="6">
        <v>1</v>
      </c>
      <c r="AH280" s="6">
        <v>0</v>
      </c>
      <c r="AI280" s="6">
        <v>0</v>
      </c>
      <c r="AJ280" s="6">
        <v>0</v>
      </c>
      <c r="AK280" s="6">
        <v>0</v>
      </c>
      <c r="AL280" s="6">
        <v>0</v>
      </c>
      <c r="AM280" s="6">
        <v>0</v>
      </c>
      <c r="AN280" s="6">
        <v>0</v>
      </c>
      <c r="AO280" s="6">
        <v>0</v>
      </c>
      <c r="AP280" s="6">
        <v>0</v>
      </c>
      <c r="AQ280" s="6">
        <v>0</v>
      </c>
      <c r="AR280" s="6">
        <v>0</v>
      </c>
      <c r="AS280" s="6">
        <v>0</v>
      </c>
      <c r="AW280" s="2"/>
    </row>
    <row r="281" spans="1:49" x14ac:dyDescent="0.25">
      <c r="A281" s="6" t="s">
        <v>748</v>
      </c>
      <c r="B281" s="6" t="s">
        <v>560</v>
      </c>
      <c r="C281" s="6"/>
      <c r="D281" s="6" t="s">
        <v>422</v>
      </c>
      <c r="E281" s="6"/>
      <c r="G281" s="6"/>
      <c r="H281" s="6"/>
      <c r="I281" s="9">
        <v>2</v>
      </c>
      <c r="J281" s="9">
        <v>3.2</v>
      </c>
      <c r="K281" s="9">
        <v>5.2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1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6">
        <v>2</v>
      </c>
      <c r="AD281" s="6">
        <v>2</v>
      </c>
      <c r="AE281" s="6">
        <v>0</v>
      </c>
      <c r="AF281" s="6">
        <v>0</v>
      </c>
      <c r="AG281" s="6">
        <v>1</v>
      </c>
      <c r="AH281" s="6">
        <v>0</v>
      </c>
      <c r="AI281" s="6">
        <v>0</v>
      </c>
      <c r="AJ281" s="6">
        <v>0</v>
      </c>
      <c r="AK281" s="6">
        <v>0</v>
      </c>
      <c r="AL281" s="6">
        <v>0</v>
      </c>
      <c r="AM281" s="6">
        <v>0</v>
      </c>
      <c r="AN281" s="6">
        <v>0</v>
      </c>
      <c r="AO281" s="6">
        <v>0</v>
      </c>
      <c r="AP281" s="6">
        <v>0</v>
      </c>
      <c r="AQ281" s="6">
        <v>0</v>
      </c>
      <c r="AR281" s="6">
        <v>0</v>
      </c>
      <c r="AS281" s="6">
        <v>0</v>
      </c>
      <c r="AW281" s="2"/>
    </row>
    <row r="282" spans="1:49" x14ac:dyDescent="0.25">
      <c r="A282" s="6" t="s">
        <v>748</v>
      </c>
      <c r="B282" s="6" t="s">
        <v>561</v>
      </c>
      <c r="C282" s="6"/>
      <c r="D282" s="6" t="s">
        <v>422</v>
      </c>
      <c r="E282" s="6"/>
      <c r="G282" s="6"/>
      <c r="H282" s="6"/>
      <c r="I282" s="9">
        <v>1.2</v>
      </c>
      <c r="J282" s="9">
        <v>3.5</v>
      </c>
      <c r="K282" s="9">
        <v>4.7</v>
      </c>
      <c r="L282" s="6">
        <v>2</v>
      </c>
      <c r="M282" s="6">
        <v>1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1</v>
      </c>
      <c r="AH282" s="6">
        <v>1</v>
      </c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  <c r="AP282" s="6">
        <v>0</v>
      </c>
      <c r="AQ282" s="6">
        <v>0</v>
      </c>
      <c r="AR282" s="6">
        <v>0</v>
      </c>
      <c r="AS282" s="6">
        <v>0</v>
      </c>
      <c r="AW282" s="2"/>
    </row>
    <row r="283" spans="1:49" x14ac:dyDescent="0.25">
      <c r="A283" s="6" t="s">
        <v>748</v>
      </c>
      <c r="B283" s="6" t="s">
        <v>562</v>
      </c>
      <c r="C283" s="6"/>
      <c r="D283" s="6" t="s">
        <v>422</v>
      </c>
      <c r="E283" s="6"/>
      <c r="G283" s="6"/>
      <c r="H283" s="6"/>
      <c r="I283" s="9">
        <v>2.25</v>
      </c>
      <c r="J283" s="9">
        <v>2.5</v>
      </c>
      <c r="K283" s="9">
        <v>4.75</v>
      </c>
      <c r="L283" s="6">
        <v>0</v>
      </c>
      <c r="M283" s="6">
        <v>0</v>
      </c>
      <c r="N283" s="6">
        <v>1</v>
      </c>
      <c r="O283" s="6">
        <v>0</v>
      </c>
      <c r="P283" s="6">
        <v>1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1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0</v>
      </c>
      <c r="AP283" s="6">
        <v>0</v>
      </c>
      <c r="AQ283" s="6">
        <v>0</v>
      </c>
      <c r="AR283" s="6">
        <v>0</v>
      </c>
      <c r="AS283" s="6">
        <v>0</v>
      </c>
      <c r="AW283" s="2"/>
    </row>
    <row r="284" spans="1:49" x14ac:dyDescent="0.25">
      <c r="A284" s="6" t="s">
        <v>748</v>
      </c>
      <c r="B284" s="6" t="s">
        <v>563</v>
      </c>
      <c r="C284" s="6"/>
      <c r="D284" s="6" t="s">
        <v>422</v>
      </c>
      <c r="E284" s="6"/>
      <c r="G284" s="6"/>
      <c r="H284" s="6"/>
      <c r="I284" s="9">
        <v>4</v>
      </c>
      <c r="J284" s="9">
        <v>5.5</v>
      </c>
      <c r="K284" s="9">
        <v>9.5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1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1</v>
      </c>
      <c r="AH284" s="6">
        <v>0</v>
      </c>
      <c r="AI284" s="6">
        <v>0</v>
      </c>
      <c r="AJ284" s="6">
        <v>0</v>
      </c>
      <c r="AK284" s="6">
        <v>1</v>
      </c>
      <c r="AL284" s="6">
        <v>0</v>
      </c>
      <c r="AM284" s="6">
        <v>0</v>
      </c>
      <c r="AN284" s="6">
        <v>0</v>
      </c>
      <c r="AO284" s="6">
        <v>0</v>
      </c>
      <c r="AP284" s="6">
        <v>0</v>
      </c>
      <c r="AQ284" s="6">
        <v>0</v>
      </c>
      <c r="AR284" s="6">
        <v>0</v>
      </c>
      <c r="AS284" s="6">
        <v>0</v>
      </c>
      <c r="AW284" s="2"/>
    </row>
    <row r="285" spans="1:49" x14ac:dyDescent="0.25">
      <c r="A285" s="6" t="s">
        <v>748</v>
      </c>
      <c r="B285" s="6" t="s">
        <v>884</v>
      </c>
      <c r="C285" s="6"/>
      <c r="D285" s="6" t="s">
        <v>422</v>
      </c>
      <c r="E285" s="6"/>
      <c r="G285" s="6"/>
      <c r="H285" s="6"/>
      <c r="I285" s="9">
        <v>0</v>
      </c>
      <c r="J285" s="9">
        <v>0</v>
      </c>
      <c r="K285" s="9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6">
        <v>0</v>
      </c>
      <c r="AK285" s="6">
        <v>0</v>
      </c>
      <c r="AL285" s="6">
        <v>0</v>
      </c>
      <c r="AM285" s="6">
        <v>0</v>
      </c>
      <c r="AN285" s="6">
        <v>0</v>
      </c>
      <c r="AO285" s="6">
        <v>0</v>
      </c>
      <c r="AP285" s="6">
        <v>0</v>
      </c>
      <c r="AQ285" s="6">
        <v>0</v>
      </c>
      <c r="AR285" s="6">
        <v>0</v>
      </c>
      <c r="AS285" s="6">
        <v>0</v>
      </c>
      <c r="AW285" s="2"/>
    </row>
    <row r="286" spans="1:49" x14ac:dyDescent="0.25">
      <c r="A286" s="6" t="s">
        <v>748</v>
      </c>
      <c r="B286" s="6" t="s">
        <v>564</v>
      </c>
      <c r="C286" s="6"/>
      <c r="D286" s="6" t="s">
        <v>422</v>
      </c>
      <c r="E286" s="6"/>
      <c r="G286" s="6"/>
      <c r="H286" s="6"/>
      <c r="I286" s="9">
        <v>4</v>
      </c>
      <c r="J286" s="9">
        <v>2</v>
      </c>
      <c r="K286" s="9">
        <v>6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2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1</v>
      </c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  <c r="AQ286" s="6">
        <v>0</v>
      </c>
      <c r="AR286" s="6">
        <v>0</v>
      </c>
      <c r="AS286" s="6">
        <v>0</v>
      </c>
      <c r="AW286" s="2"/>
    </row>
    <row r="287" spans="1:49" x14ac:dyDescent="0.25">
      <c r="A287" s="6" t="s">
        <v>748</v>
      </c>
      <c r="B287" s="6" t="s">
        <v>565</v>
      </c>
      <c r="C287" s="14">
        <v>45764</v>
      </c>
      <c r="D287" s="6" t="s">
        <v>422</v>
      </c>
      <c r="E287" s="6"/>
      <c r="G287" s="6"/>
      <c r="H287" s="6"/>
      <c r="I287" s="9">
        <v>0.35</v>
      </c>
      <c r="J287" s="9">
        <v>0.7</v>
      </c>
      <c r="K287" s="9">
        <v>1.0499999999999998</v>
      </c>
      <c r="L287" s="6">
        <v>1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2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6">
        <v>0</v>
      </c>
      <c r="AP287" s="6">
        <v>0</v>
      </c>
      <c r="AQ287" s="6">
        <v>0</v>
      </c>
      <c r="AR287" s="6">
        <v>0</v>
      </c>
      <c r="AS287" s="6">
        <v>0</v>
      </c>
      <c r="AW287" s="2"/>
    </row>
    <row r="288" spans="1:49" x14ac:dyDescent="0.25">
      <c r="A288" s="6" t="s">
        <v>748</v>
      </c>
      <c r="B288" s="6" t="s">
        <v>566</v>
      </c>
      <c r="C288" s="6"/>
      <c r="D288" s="6" t="s">
        <v>422</v>
      </c>
      <c r="E288" s="6"/>
      <c r="G288" s="6"/>
      <c r="H288" s="6"/>
      <c r="I288" s="9">
        <v>0</v>
      </c>
      <c r="J288" s="9">
        <v>1.0499999999999998</v>
      </c>
      <c r="K288" s="9">
        <v>1.0499999999999998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3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  <c r="AP288" s="6">
        <v>0</v>
      </c>
      <c r="AQ288" s="6">
        <v>0</v>
      </c>
      <c r="AR288" s="6">
        <v>0</v>
      </c>
      <c r="AS288" s="6">
        <v>0</v>
      </c>
      <c r="AW288" s="2"/>
    </row>
    <row r="289" spans="1:49" x14ac:dyDescent="0.25">
      <c r="A289" s="6" t="s">
        <v>748</v>
      </c>
      <c r="B289" s="6" t="s">
        <v>567</v>
      </c>
      <c r="C289" s="6"/>
      <c r="D289" s="6" t="s">
        <v>422</v>
      </c>
      <c r="E289" s="6"/>
      <c r="G289" s="6"/>
      <c r="H289" s="6"/>
      <c r="I289" s="9">
        <v>0.7</v>
      </c>
      <c r="J289" s="9">
        <v>0.7</v>
      </c>
      <c r="K289" s="9">
        <v>1.4</v>
      </c>
      <c r="L289" s="6">
        <v>2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  <c r="AC289" s="6">
        <v>2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6">
        <v>0</v>
      </c>
      <c r="AP289" s="6">
        <v>0</v>
      </c>
      <c r="AQ289" s="6">
        <v>0</v>
      </c>
      <c r="AR289" s="6">
        <v>0</v>
      </c>
      <c r="AS289" s="6">
        <v>0</v>
      </c>
      <c r="AW289" s="2"/>
    </row>
    <row r="290" spans="1:49" x14ac:dyDescent="0.25">
      <c r="A290" s="6" t="s">
        <v>748</v>
      </c>
      <c r="B290" s="6" t="s">
        <v>568</v>
      </c>
      <c r="C290" s="6"/>
      <c r="D290" s="6" t="s">
        <v>422</v>
      </c>
      <c r="E290" s="6"/>
      <c r="G290" s="6"/>
      <c r="H290" s="6"/>
      <c r="I290" s="9">
        <v>0.35</v>
      </c>
      <c r="J290" s="9">
        <v>1.0499999999999998</v>
      </c>
      <c r="K290" s="9">
        <v>1.4</v>
      </c>
      <c r="L290" s="6">
        <v>1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  <c r="AC290" s="6">
        <v>3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0</v>
      </c>
      <c r="AJ290" s="6">
        <v>0</v>
      </c>
      <c r="AK290" s="6">
        <v>0</v>
      </c>
      <c r="AL290" s="6">
        <v>0</v>
      </c>
      <c r="AM290" s="6">
        <v>0</v>
      </c>
      <c r="AN290" s="6">
        <v>0</v>
      </c>
      <c r="AO290" s="6">
        <v>0</v>
      </c>
      <c r="AP290" s="6">
        <v>0</v>
      </c>
      <c r="AQ290" s="6">
        <v>0</v>
      </c>
      <c r="AR290" s="6">
        <v>0</v>
      </c>
      <c r="AS290" s="6">
        <v>0</v>
      </c>
      <c r="AW290" s="2"/>
    </row>
    <row r="291" spans="1:49" x14ac:dyDescent="0.25">
      <c r="A291" s="6" t="s">
        <v>748</v>
      </c>
      <c r="B291" s="6" t="s">
        <v>569</v>
      </c>
      <c r="C291" s="6"/>
      <c r="D291" s="6" t="s">
        <v>422</v>
      </c>
      <c r="E291" s="6"/>
      <c r="G291" s="6"/>
      <c r="H291" s="6"/>
      <c r="I291" s="9">
        <v>1.0499999999999998</v>
      </c>
      <c r="J291" s="9">
        <v>0.7</v>
      </c>
      <c r="K291" s="9">
        <v>1.7499999999999998</v>
      </c>
      <c r="L291" s="6">
        <v>3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2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>
        <v>0</v>
      </c>
      <c r="AR291" s="6">
        <v>0</v>
      </c>
      <c r="AS291" s="6">
        <v>0</v>
      </c>
      <c r="AW291" s="2"/>
    </row>
    <row r="292" spans="1:49" x14ac:dyDescent="0.25">
      <c r="A292" s="6" t="s">
        <v>748</v>
      </c>
      <c r="B292" s="6" t="s">
        <v>570</v>
      </c>
      <c r="C292" s="6"/>
      <c r="D292" s="6" t="s">
        <v>422</v>
      </c>
      <c r="E292" s="6" t="s">
        <v>869</v>
      </c>
      <c r="G292" s="6"/>
      <c r="H292" s="6"/>
      <c r="I292" s="9">
        <v>1</v>
      </c>
      <c r="J292" s="9">
        <v>0.5</v>
      </c>
      <c r="K292" s="9">
        <v>1.5</v>
      </c>
      <c r="L292" s="6">
        <v>0</v>
      </c>
      <c r="M292" s="6">
        <v>2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1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s="6">
        <v>0</v>
      </c>
      <c r="AM292" s="6">
        <v>0</v>
      </c>
      <c r="AN292" s="6">
        <v>0</v>
      </c>
      <c r="AO292" s="6">
        <v>0</v>
      </c>
      <c r="AP292" s="6">
        <v>0</v>
      </c>
      <c r="AQ292" s="6">
        <v>0</v>
      </c>
      <c r="AR292" s="6">
        <v>0</v>
      </c>
      <c r="AS292" s="6">
        <v>0</v>
      </c>
      <c r="AW292" s="2"/>
    </row>
    <row r="293" spans="1:49" x14ac:dyDescent="0.25">
      <c r="A293" s="6" t="s">
        <v>748</v>
      </c>
      <c r="B293" s="6" t="s">
        <v>571</v>
      </c>
      <c r="C293" s="6"/>
      <c r="D293" s="6" t="s">
        <v>422</v>
      </c>
      <c r="E293" s="6"/>
      <c r="G293" s="6"/>
      <c r="H293" s="6"/>
      <c r="I293" s="9">
        <v>1</v>
      </c>
      <c r="J293" s="9">
        <v>1</v>
      </c>
      <c r="K293" s="9">
        <v>2</v>
      </c>
      <c r="L293" s="6">
        <v>0</v>
      </c>
      <c r="M293" s="6">
        <v>2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2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6">
        <v>0</v>
      </c>
      <c r="AP293" s="6">
        <v>0</v>
      </c>
      <c r="AQ293" s="6">
        <v>0</v>
      </c>
      <c r="AR293" s="6">
        <v>0</v>
      </c>
      <c r="AS293" s="6">
        <v>0</v>
      </c>
      <c r="AW293" s="2"/>
    </row>
    <row r="294" spans="1:49" x14ac:dyDescent="0.25">
      <c r="A294" s="6" t="s">
        <v>748</v>
      </c>
      <c r="B294" s="6" t="s">
        <v>572</v>
      </c>
      <c r="C294" s="6"/>
      <c r="D294" s="6" t="s">
        <v>422</v>
      </c>
      <c r="E294" s="6"/>
      <c r="G294" s="6"/>
      <c r="H294" s="6"/>
      <c r="I294" s="9">
        <v>1.5</v>
      </c>
      <c r="J294" s="9">
        <v>0.5</v>
      </c>
      <c r="K294" s="9">
        <v>2</v>
      </c>
      <c r="L294" s="6">
        <v>0</v>
      </c>
      <c r="M294" s="6">
        <v>3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1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>
        <v>0</v>
      </c>
      <c r="AO294" s="6">
        <v>0</v>
      </c>
      <c r="AP294" s="6">
        <v>0</v>
      </c>
      <c r="AQ294" s="6">
        <v>0</v>
      </c>
      <c r="AR294" s="6">
        <v>0</v>
      </c>
      <c r="AS294" s="6">
        <v>0</v>
      </c>
      <c r="AW294" s="2"/>
    </row>
    <row r="295" spans="1:49" x14ac:dyDescent="0.25">
      <c r="A295" s="6" t="s">
        <v>748</v>
      </c>
      <c r="B295" s="6" t="s">
        <v>573</v>
      </c>
      <c r="C295" s="6"/>
      <c r="D295" s="6" t="s">
        <v>422</v>
      </c>
      <c r="E295" s="6"/>
      <c r="G295" s="6"/>
      <c r="H295" s="6"/>
      <c r="I295" s="9">
        <v>1</v>
      </c>
      <c r="J295" s="9">
        <v>1.5</v>
      </c>
      <c r="K295" s="9">
        <v>2.5</v>
      </c>
      <c r="L295" s="6">
        <v>0</v>
      </c>
      <c r="M295" s="6">
        <v>2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3</v>
      </c>
      <c r="AE295" s="6">
        <v>0</v>
      </c>
      <c r="AF295" s="6">
        <v>0</v>
      </c>
      <c r="AG295" s="6">
        <v>0</v>
      </c>
      <c r="AH295" s="6">
        <v>0</v>
      </c>
      <c r="AI295" s="6">
        <v>0</v>
      </c>
      <c r="AJ295" s="6">
        <v>0</v>
      </c>
      <c r="AK295" s="6">
        <v>0</v>
      </c>
      <c r="AL295" s="6">
        <v>0</v>
      </c>
      <c r="AM295" s="6">
        <v>0</v>
      </c>
      <c r="AN295" s="6">
        <v>0</v>
      </c>
      <c r="AO295" s="6">
        <v>0</v>
      </c>
      <c r="AP295" s="6">
        <v>0</v>
      </c>
      <c r="AQ295" s="6">
        <v>0</v>
      </c>
      <c r="AR295" s="6">
        <v>0</v>
      </c>
      <c r="AS295" s="6">
        <v>0</v>
      </c>
      <c r="AW295" s="2"/>
    </row>
    <row r="296" spans="1:49" x14ac:dyDescent="0.25">
      <c r="A296" s="6" t="s">
        <v>748</v>
      </c>
      <c r="B296" s="6" t="s">
        <v>574</v>
      </c>
      <c r="C296" s="6"/>
      <c r="D296" s="6" t="s">
        <v>422</v>
      </c>
      <c r="E296" s="6"/>
      <c r="G296" s="6"/>
      <c r="H296" s="6"/>
      <c r="I296" s="9">
        <v>0.5</v>
      </c>
      <c r="J296" s="9">
        <v>2</v>
      </c>
      <c r="K296" s="9">
        <v>2.5</v>
      </c>
      <c r="L296" s="6">
        <v>0</v>
      </c>
      <c r="M296" s="6">
        <v>1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4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>
        <v>0</v>
      </c>
      <c r="AO296" s="6">
        <v>0</v>
      </c>
      <c r="AP296" s="6">
        <v>0</v>
      </c>
      <c r="AQ296" s="6">
        <v>0</v>
      </c>
      <c r="AR296" s="6">
        <v>0</v>
      </c>
      <c r="AS296" s="6">
        <v>0</v>
      </c>
      <c r="AW296" s="2"/>
    </row>
    <row r="297" spans="1:49" x14ac:dyDescent="0.25">
      <c r="A297" s="6" t="s">
        <v>748</v>
      </c>
      <c r="B297" s="6" t="s">
        <v>452</v>
      </c>
      <c r="C297" s="6"/>
      <c r="D297" s="6" t="s">
        <v>422</v>
      </c>
      <c r="E297" s="6"/>
      <c r="G297" s="6"/>
      <c r="H297" s="6"/>
      <c r="I297" s="9">
        <v>1.5</v>
      </c>
      <c r="J297" s="9">
        <v>1</v>
      </c>
      <c r="K297" s="9">
        <v>2.5</v>
      </c>
      <c r="L297" s="6">
        <v>0</v>
      </c>
      <c r="M297" s="6">
        <v>0</v>
      </c>
      <c r="N297" s="6">
        <v>2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v>1</v>
      </c>
      <c r="AG297" s="6">
        <v>0</v>
      </c>
      <c r="AH297" s="6">
        <v>0</v>
      </c>
      <c r="AI297" s="6">
        <v>0</v>
      </c>
      <c r="AJ297" s="6">
        <v>0</v>
      </c>
      <c r="AK297" s="6">
        <v>0</v>
      </c>
      <c r="AL297" s="6">
        <v>0</v>
      </c>
      <c r="AM297" s="6">
        <v>0</v>
      </c>
      <c r="AN297" s="6">
        <v>0</v>
      </c>
      <c r="AO297" s="6">
        <v>0</v>
      </c>
      <c r="AP297" s="6">
        <v>0</v>
      </c>
      <c r="AQ297" s="6">
        <v>0</v>
      </c>
      <c r="AR297" s="6">
        <v>0</v>
      </c>
      <c r="AS297" s="6">
        <v>0</v>
      </c>
      <c r="AW297" s="2"/>
    </row>
    <row r="298" spans="1:49" x14ac:dyDescent="0.25">
      <c r="A298" s="6" t="s">
        <v>748</v>
      </c>
      <c r="B298" s="6" t="s">
        <v>575</v>
      </c>
      <c r="C298" s="6"/>
      <c r="D298" s="6" t="s">
        <v>422</v>
      </c>
      <c r="E298" s="6"/>
      <c r="G298" s="6"/>
      <c r="H298" s="6"/>
      <c r="I298" s="9">
        <v>1.5</v>
      </c>
      <c r="J298" s="9">
        <v>1.5</v>
      </c>
      <c r="K298" s="9">
        <v>3</v>
      </c>
      <c r="L298" s="6">
        <v>0</v>
      </c>
      <c r="M298" s="6">
        <v>3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3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0</v>
      </c>
      <c r="AS298" s="6">
        <v>0</v>
      </c>
      <c r="AW298" s="2"/>
    </row>
    <row r="299" spans="1:49" x14ac:dyDescent="0.25">
      <c r="A299" s="6" t="s">
        <v>748</v>
      </c>
      <c r="B299" s="6" t="s">
        <v>576</v>
      </c>
      <c r="C299" s="6"/>
      <c r="D299" s="6" t="s">
        <v>422</v>
      </c>
      <c r="E299" s="6"/>
      <c r="G299" s="6"/>
      <c r="H299" s="6"/>
      <c r="I299" s="9">
        <v>0.5</v>
      </c>
      <c r="J299" s="9">
        <v>2.5</v>
      </c>
      <c r="K299" s="9">
        <v>3</v>
      </c>
      <c r="L299" s="6">
        <v>0</v>
      </c>
      <c r="M299" s="6">
        <v>1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2</v>
      </c>
      <c r="AE299" s="6">
        <v>0</v>
      </c>
      <c r="AF299" s="6">
        <v>0</v>
      </c>
      <c r="AG299" s="6">
        <v>1</v>
      </c>
      <c r="AH299" s="6">
        <v>0</v>
      </c>
      <c r="AI299" s="6">
        <v>0</v>
      </c>
      <c r="AJ299" s="6">
        <v>0</v>
      </c>
      <c r="AK299" s="6">
        <v>0</v>
      </c>
      <c r="AL299" s="6">
        <v>0</v>
      </c>
      <c r="AM299" s="6">
        <v>0</v>
      </c>
      <c r="AN299" s="6">
        <v>0</v>
      </c>
      <c r="AO299" s="6">
        <v>0</v>
      </c>
      <c r="AP299" s="6">
        <v>0</v>
      </c>
      <c r="AQ299" s="6">
        <v>0</v>
      </c>
      <c r="AR299" s="6">
        <v>0</v>
      </c>
      <c r="AS299" s="6">
        <v>0</v>
      </c>
      <c r="AW299" s="2"/>
    </row>
    <row r="300" spans="1:49" x14ac:dyDescent="0.25">
      <c r="A300" s="6" t="s">
        <v>748</v>
      </c>
      <c r="B300" s="6" t="s">
        <v>577</v>
      </c>
      <c r="C300" s="6"/>
      <c r="D300" s="6" t="s">
        <v>422</v>
      </c>
      <c r="E300" s="6"/>
      <c r="G300" s="6"/>
      <c r="H300" s="6"/>
      <c r="I300" s="9">
        <v>2</v>
      </c>
      <c r="J300" s="9">
        <v>1</v>
      </c>
      <c r="K300" s="9">
        <v>3</v>
      </c>
      <c r="L300" s="6">
        <v>0</v>
      </c>
      <c r="M300" s="6">
        <v>1</v>
      </c>
      <c r="N300" s="6">
        <v>0</v>
      </c>
      <c r="O300" s="6">
        <v>0</v>
      </c>
      <c r="P300" s="6">
        <v>1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1</v>
      </c>
      <c r="AG300" s="6">
        <v>0</v>
      </c>
      <c r="AH300" s="6">
        <v>0</v>
      </c>
      <c r="AI300" s="6">
        <v>0</v>
      </c>
      <c r="AJ300" s="6">
        <v>0</v>
      </c>
      <c r="AK300" s="6">
        <v>0</v>
      </c>
      <c r="AL300" s="6">
        <v>0</v>
      </c>
      <c r="AM300" s="6">
        <v>0</v>
      </c>
      <c r="AN300" s="6">
        <v>0</v>
      </c>
      <c r="AO300" s="6">
        <v>0</v>
      </c>
      <c r="AP300" s="6">
        <v>0</v>
      </c>
      <c r="AQ300" s="6">
        <v>0</v>
      </c>
      <c r="AR300" s="6">
        <v>0</v>
      </c>
      <c r="AS300" s="6">
        <v>0</v>
      </c>
      <c r="AW300" s="2"/>
    </row>
    <row r="301" spans="1:49" x14ac:dyDescent="0.25">
      <c r="A301" s="6" t="s">
        <v>748</v>
      </c>
      <c r="B301" s="6" t="s">
        <v>578</v>
      </c>
      <c r="C301" s="6"/>
      <c r="D301" s="6" t="s">
        <v>422</v>
      </c>
      <c r="E301" s="6"/>
      <c r="G301" s="6"/>
      <c r="H301" s="6"/>
      <c r="I301" s="9">
        <v>0.75</v>
      </c>
      <c r="J301" s="9">
        <v>1.5</v>
      </c>
      <c r="K301" s="9">
        <v>2.25</v>
      </c>
      <c r="L301" s="6">
        <v>0</v>
      </c>
      <c r="M301" s="6">
        <v>0</v>
      </c>
      <c r="N301" s="6">
        <v>1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s="6">
        <v>2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6">
        <v>0</v>
      </c>
      <c r="AL301" s="6">
        <v>0</v>
      </c>
      <c r="AM301" s="6">
        <v>0</v>
      </c>
      <c r="AN301" s="6">
        <v>0</v>
      </c>
      <c r="AO301" s="6">
        <v>0</v>
      </c>
      <c r="AP301" s="6">
        <v>0</v>
      </c>
      <c r="AQ301" s="6">
        <v>0</v>
      </c>
      <c r="AR301" s="6">
        <v>0</v>
      </c>
      <c r="AS301" s="6">
        <v>0</v>
      </c>
      <c r="AW301" s="2"/>
    </row>
    <row r="302" spans="1:49" x14ac:dyDescent="0.25">
      <c r="A302" s="6" t="s">
        <v>748</v>
      </c>
      <c r="B302" s="6" t="s">
        <v>579</v>
      </c>
      <c r="C302" s="6"/>
      <c r="D302" s="6" t="s">
        <v>422</v>
      </c>
      <c r="E302" s="6"/>
      <c r="G302" s="6"/>
      <c r="H302" s="6"/>
      <c r="I302" s="9">
        <v>1.25</v>
      </c>
      <c r="J302" s="9">
        <v>2</v>
      </c>
      <c r="K302" s="9">
        <v>3.25</v>
      </c>
      <c r="L302" s="6">
        <v>0</v>
      </c>
      <c r="M302" s="6">
        <v>1</v>
      </c>
      <c r="N302" s="6">
        <v>1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4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0</v>
      </c>
      <c r="AP302" s="6">
        <v>0</v>
      </c>
      <c r="AQ302" s="6">
        <v>0</v>
      </c>
      <c r="AR302" s="6">
        <v>0</v>
      </c>
      <c r="AS302" s="6">
        <v>0</v>
      </c>
      <c r="AW302" s="2"/>
    </row>
    <row r="303" spans="1:49" x14ac:dyDescent="0.25">
      <c r="A303" s="6" t="s">
        <v>748</v>
      </c>
      <c r="B303" s="6" t="s">
        <v>580</v>
      </c>
      <c r="C303" s="6"/>
      <c r="D303" s="6" t="s">
        <v>422</v>
      </c>
      <c r="E303" s="6"/>
      <c r="G303" s="6"/>
      <c r="H303" s="6"/>
      <c r="I303" s="9">
        <v>2.75</v>
      </c>
      <c r="J303" s="9">
        <v>0.5</v>
      </c>
      <c r="K303" s="9">
        <v>3.25</v>
      </c>
      <c r="L303" s="6">
        <v>0</v>
      </c>
      <c r="M303" s="6">
        <v>4</v>
      </c>
      <c r="N303" s="6">
        <v>1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1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6">
        <v>0</v>
      </c>
      <c r="AM303" s="6">
        <v>0</v>
      </c>
      <c r="AN303" s="6">
        <v>0</v>
      </c>
      <c r="AO303" s="6">
        <v>0</v>
      </c>
      <c r="AP303" s="6">
        <v>0</v>
      </c>
      <c r="AQ303" s="6">
        <v>0</v>
      </c>
      <c r="AR303" s="6">
        <v>0</v>
      </c>
      <c r="AS303" s="6">
        <v>0</v>
      </c>
      <c r="AW303" s="2"/>
    </row>
    <row r="304" spans="1:49" x14ac:dyDescent="0.25">
      <c r="A304" s="6" t="s">
        <v>748</v>
      </c>
      <c r="B304" s="6" t="s">
        <v>581</v>
      </c>
      <c r="C304" s="6"/>
      <c r="D304" s="6" t="s">
        <v>422</v>
      </c>
      <c r="E304" s="6"/>
      <c r="G304" s="6"/>
      <c r="H304" s="6"/>
      <c r="I304" s="9">
        <v>0.75</v>
      </c>
      <c r="J304" s="9">
        <v>2.5</v>
      </c>
      <c r="K304" s="9">
        <v>3.25</v>
      </c>
      <c r="L304" s="6">
        <v>0</v>
      </c>
      <c r="M304" s="6">
        <v>0</v>
      </c>
      <c r="N304" s="6">
        <v>1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2</v>
      </c>
      <c r="AE304" s="6">
        <v>0</v>
      </c>
      <c r="AF304" s="6">
        <v>0</v>
      </c>
      <c r="AG304" s="6">
        <v>1</v>
      </c>
      <c r="AH304" s="6">
        <v>0</v>
      </c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>
        <v>0</v>
      </c>
      <c r="AO304" s="6">
        <v>0</v>
      </c>
      <c r="AP304" s="6">
        <v>0</v>
      </c>
      <c r="AQ304" s="6">
        <v>0</v>
      </c>
      <c r="AR304" s="6">
        <v>0</v>
      </c>
      <c r="AS304" s="6">
        <v>0</v>
      </c>
      <c r="AW304" s="2"/>
    </row>
    <row r="305" spans="1:49" x14ac:dyDescent="0.25">
      <c r="A305" s="6" t="s">
        <v>748</v>
      </c>
      <c r="B305" s="6" t="s">
        <v>582</v>
      </c>
      <c r="C305" s="6"/>
      <c r="D305" s="6" t="s">
        <v>422</v>
      </c>
      <c r="E305" s="6"/>
      <c r="G305" s="6"/>
      <c r="H305" s="6"/>
      <c r="I305" s="9">
        <v>1.25</v>
      </c>
      <c r="J305" s="9">
        <v>1.5</v>
      </c>
      <c r="K305" s="9">
        <v>2.75</v>
      </c>
      <c r="L305" s="6">
        <v>0</v>
      </c>
      <c r="M305" s="6">
        <v>1</v>
      </c>
      <c r="N305" s="6">
        <v>1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>
        <v>2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6">
        <v>0</v>
      </c>
      <c r="AL305" s="6">
        <v>0</v>
      </c>
      <c r="AM305" s="6">
        <v>0</v>
      </c>
      <c r="AN305" s="6">
        <v>0</v>
      </c>
      <c r="AO305" s="6">
        <v>0</v>
      </c>
      <c r="AP305" s="6">
        <v>0</v>
      </c>
      <c r="AQ305" s="6">
        <v>0</v>
      </c>
      <c r="AR305" s="6">
        <v>0</v>
      </c>
      <c r="AS305" s="6">
        <v>0</v>
      </c>
      <c r="AW305" s="2"/>
    </row>
    <row r="306" spans="1:49" x14ac:dyDescent="0.25">
      <c r="A306" s="6" t="s">
        <v>748</v>
      </c>
      <c r="B306" s="6" t="s">
        <v>583</v>
      </c>
      <c r="C306" s="6"/>
      <c r="D306" s="6" t="s">
        <v>422</v>
      </c>
      <c r="E306" s="6"/>
      <c r="G306" s="6"/>
      <c r="H306" s="6"/>
      <c r="I306" s="9">
        <v>1.25</v>
      </c>
      <c r="J306" s="9">
        <v>2.5</v>
      </c>
      <c r="K306" s="9">
        <v>3.75</v>
      </c>
      <c r="L306" s="6">
        <v>0</v>
      </c>
      <c r="M306" s="6">
        <v>1</v>
      </c>
      <c r="N306" s="6">
        <v>1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2</v>
      </c>
      <c r="AE306" s="6">
        <v>2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>
        <v>0</v>
      </c>
      <c r="AO306" s="6">
        <v>0</v>
      </c>
      <c r="AP306" s="6">
        <v>0</v>
      </c>
      <c r="AQ306" s="6">
        <v>0</v>
      </c>
      <c r="AR306" s="6">
        <v>0</v>
      </c>
      <c r="AS306" s="6">
        <v>0</v>
      </c>
      <c r="AW306" s="2"/>
    </row>
    <row r="307" spans="1:49" x14ac:dyDescent="0.25">
      <c r="A307" s="6" t="s">
        <v>748</v>
      </c>
      <c r="B307" s="6" t="s">
        <v>584</v>
      </c>
      <c r="C307" s="6"/>
      <c r="D307" s="6" t="s">
        <v>422</v>
      </c>
      <c r="E307" s="6"/>
      <c r="G307" s="6"/>
      <c r="H307" s="6"/>
      <c r="I307" s="9">
        <v>1.25</v>
      </c>
      <c r="J307" s="9">
        <v>2.5</v>
      </c>
      <c r="K307" s="9">
        <v>3.75</v>
      </c>
      <c r="L307" s="6">
        <v>0</v>
      </c>
      <c r="M307" s="6">
        <v>1</v>
      </c>
      <c r="N307" s="6">
        <v>1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2</v>
      </c>
      <c r="AE307" s="6">
        <v>0</v>
      </c>
      <c r="AF307" s="6">
        <v>0</v>
      </c>
      <c r="AG307" s="6">
        <v>1</v>
      </c>
      <c r="AH307" s="6">
        <v>0</v>
      </c>
      <c r="AI307" s="6">
        <v>0</v>
      </c>
      <c r="AJ307" s="6">
        <v>0</v>
      </c>
      <c r="AK307" s="6">
        <v>0</v>
      </c>
      <c r="AL307" s="6">
        <v>0</v>
      </c>
      <c r="AM307" s="6">
        <v>0</v>
      </c>
      <c r="AN307" s="6">
        <v>0</v>
      </c>
      <c r="AO307" s="6">
        <v>0</v>
      </c>
      <c r="AP307" s="6">
        <v>0</v>
      </c>
      <c r="AQ307" s="6">
        <v>0</v>
      </c>
      <c r="AR307" s="6">
        <v>0</v>
      </c>
      <c r="AS307" s="6">
        <v>0</v>
      </c>
      <c r="AW307" s="2"/>
    </row>
    <row r="308" spans="1:49" x14ac:dyDescent="0.25">
      <c r="A308" s="6" t="s">
        <v>748</v>
      </c>
      <c r="B308" s="6" t="s">
        <v>585</v>
      </c>
      <c r="C308" s="6"/>
      <c r="D308" s="6" t="s">
        <v>422</v>
      </c>
      <c r="E308" s="6"/>
      <c r="G308" s="6"/>
      <c r="H308" s="6"/>
      <c r="I308" s="9">
        <v>1</v>
      </c>
      <c r="J308" s="9">
        <v>2.5</v>
      </c>
      <c r="K308" s="9">
        <v>3.5</v>
      </c>
      <c r="L308" s="6">
        <v>0</v>
      </c>
      <c r="M308" s="6">
        <v>2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2</v>
      </c>
      <c r="AE308" s="6">
        <v>0</v>
      </c>
      <c r="AF308" s="6">
        <v>0</v>
      </c>
      <c r="AG308" s="6">
        <v>1</v>
      </c>
      <c r="AH308" s="6">
        <v>0</v>
      </c>
      <c r="AI308" s="6">
        <v>0</v>
      </c>
      <c r="AJ308" s="6">
        <v>0</v>
      </c>
      <c r="AK308" s="6">
        <v>0</v>
      </c>
      <c r="AL308" s="6">
        <v>0</v>
      </c>
      <c r="AM308" s="6">
        <v>0</v>
      </c>
      <c r="AN308" s="6">
        <v>0</v>
      </c>
      <c r="AO308" s="6">
        <v>0</v>
      </c>
      <c r="AP308" s="6">
        <v>0</v>
      </c>
      <c r="AQ308" s="6">
        <v>0</v>
      </c>
      <c r="AR308" s="6">
        <v>0</v>
      </c>
      <c r="AS308" s="6">
        <v>0</v>
      </c>
      <c r="AW308" s="2"/>
    </row>
    <row r="309" spans="1:49" x14ac:dyDescent="0.25">
      <c r="A309" s="6" t="s">
        <v>748</v>
      </c>
      <c r="B309" s="6" t="s">
        <v>586</v>
      </c>
      <c r="C309" s="6"/>
      <c r="D309" s="6" t="s">
        <v>422</v>
      </c>
      <c r="E309" s="6"/>
      <c r="G309" s="6"/>
      <c r="H309" s="6"/>
      <c r="I309" s="9">
        <v>1.5</v>
      </c>
      <c r="J309" s="9">
        <v>2</v>
      </c>
      <c r="K309" s="9">
        <v>3.5</v>
      </c>
      <c r="L309" s="6">
        <v>0</v>
      </c>
      <c r="M309" s="6">
        <v>0</v>
      </c>
      <c r="N309" s="6">
        <v>0</v>
      </c>
      <c r="O309" s="6">
        <v>0</v>
      </c>
      <c r="P309" s="6">
        <v>1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1</v>
      </c>
      <c r="AE309" s="6">
        <v>0</v>
      </c>
      <c r="AF309" s="6">
        <v>0</v>
      </c>
      <c r="AG309" s="6">
        <v>1</v>
      </c>
      <c r="AH309" s="6">
        <v>0</v>
      </c>
      <c r="AI309" s="6">
        <v>0</v>
      </c>
      <c r="AJ309" s="6">
        <v>0</v>
      </c>
      <c r="AK309" s="6">
        <v>0</v>
      </c>
      <c r="AL309" s="6">
        <v>0</v>
      </c>
      <c r="AM309" s="6">
        <v>0</v>
      </c>
      <c r="AN309" s="6">
        <v>0</v>
      </c>
      <c r="AO309" s="6">
        <v>0</v>
      </c>
      <c r="AP309" s="6">
        <v>0</v>
      </c>
      <c r="AQ309" s="6">
        <v>0</v>
      </c>
      <c r="AR309" s="6">
        <v>0</v>
      </c>
      <c r="AS309" s="6">
        <v>0</v>
      </c>
      <c r="AW309" s="2"/>
    </row>
    <row r="310" spans="1:49" x14ac:dyDescent="0.25">
      <c r="A310" s="6" t="s">
        <v>748</v>
      </c>
      <c r="B310" s="6" t="s">
        <v>587</v>
      </c>
      <c r="C310" s="6"/>
      <c r="D310" s="6" t="s">
        <v>422</v>
      </c>
      <c r="E310" s="6"/>
      <c r="G310" s="6"/>
      <c r="H310" s="6"/>
      <c r="I310" s="9">
        <v>1</v>
      </c>
      <c r="J310" s="9">
        <v>0.85</v>
      </c>
      <c r="K310" s="9">
        <v>1.85</v>
      </c>
      <c r="L310" s="6">
        <v>0</v>
      </c>
      <c r="M310" s="6">
        <v>2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1</v>
      </c>
      <c r="AD310" s="6">
        <v>1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0</v>
      </c>
      <c r="AP310" s="6">
        <v>0</v>
      </c>
      <c r="AQ310" s="6">
        <v>0</v>
      </c>
      <c r="AR310" s="6">
        <v>0</v>
      </c>
      <c r="AS310" s="6">
        <v>0</v>
      </c>
      <c r="AW310" s="2"/>
    </row>
    <row r="311" spans="1:49" x14ac:dyDescent="0.25">
      <c r="A311" s="6" t="s">
        <v>748</v>
      </c>
      <c r="B311" s="6" t="s">
        <v>588</v>
      </c>
      <c r="C311" s="6"/>
      <c r="D311" s="6" t="s">
        <v>422</v>
      </c>
      <c r="E311" s="6"/>
      <c r="G311" s="6"/>
      <c r="H311" s="6"/>
      <c r="I311" s="9">
        <v>0.75</v>
      </c>
      <c r="J311" s="9">
        <v>1.1000000000000001</v>
      </c>
      <c r="K311" s="9">
        <v>1.85</v>
      </c>
      <c r="L311" s="6">
        <v>0</v>
      </c>
      <c r="M311" s="6">
        <v>0</v>
      </c>
      <c r="N311" s="6">
        <v>1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  <c r="AC311" s="6">
        <v>1</v>
      </c>
      <c r="AD311" s="6">
        <v>0</v>
      </c>
      <c r="AE311" s="6">
        <v>1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  <c r="AK311" s="6">
        <v>0</v>
      </c>
      <c r="AL311" s="6">
        <v>0</v>
      </c>
      <c r="AM311" s="6">
        <v>0</v>
      </c>
      <c r="AN311" s="6">
        <v>0</v>
      </c>
      <c r="AO311" s="6">
        <v>0</v>
      </c>
      <c r="AP311" s="6">
        <v>0</v>
      </c>
      <c r="AQ311" s="6">
        <v>0</v>
      </c>
      <c r="AR311" s="6">
        <v>0</v>
      </c>
      <c r="AS311" s="6">
        <v>0</v>
      </c>
      <c r="AW311" s="2"/>
    </row>
    <row r="312" spans="1:49" x14ac:dyDescent="0.25">
      <c r="A312" s="6" t="s">
        <v>748</v>
      </c>
      <c r="B312" s="6" t="s">
        <v>589</v>
      </c>
      <c r="C312" s="6"/>
      <c r="D312" s="6" t="s">
        <v>422</v>
      </c>
      <c r="E312" s="6"/>
      <c r="G312" s="6"/>
      <c r="H312" s="6"/>
      <c r="I312" s="9">
        <v>8</v>
      </c>
      <c r="J312" s="9">
        <v>0</v>
      </c>
      <c r="K312" s="9">
        <v>8</v>
      </c>
      <c r="L312" s="6">
        <v>0</v>
      </c>
      <c r="M312" s="6">
        <v>0</v>
      </c>
      <c r="N312" s="6">
        <v>4</v>
      </c>
      <c r="O312" s="6">
        <v>5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6">
        <v>0</v>
      </c>
      <c r="AL312" s="6">
        <v>0</v>
      </c>
      <c r="AM312" s="6">
        <v>0</v>
      </c>
      <c r="AN312" s="6">
        <v>0</v>
      </c>
      <c r="AO312" s="6">
        <v>0</v>
      </c>
      <c r="AP312" s="6">
        <v>0</v>
      </c>
      <c r="AQ312" s="6">
        <v>0</v>
      </c>
      <c r="AR312" s="6">
        <v>0</v>
      </c>
      <c r="AS312" s="6">
        <v>0</v>
      </c>
      <c r="AW312" s="2"/>
    </row>
    <row r="313" spans="1:49" x14ac:dyDescent="0.25">
      <c r="A313" s="6" t="s">
        <v>748</v>
      </c>
      <c r="B313" s="6" t="s">
        <v>590</v>
      </c>
      <c r="C313" s="6"/>
      <c r="D313" s="6" t="s">
        <v>422</v>
      </c>
      <c r="E313" s="6"/>
      <c r="G313" s="6"/>
      <c r="H313" s="6"/>
      <c r="I313" s="9">
        <v>2</v>
      </c>
      <c r="J313" s="9">
        <v>2.35</v>
      </c>
      <c r="K313" s="9">
        <v>4.3499999999999996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1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  <c r="AC313" s="6">
        <v>1</v>
      </c>
      <c r="AD313" s="6">
        <v>1</v>
      </c>
      <c r="AE313" s="6">
        <v>0</v>
      </c>
      <c r="AF313" s="6">
        <v>0</v>
      </c>
      <c r="AG313" s="6">
        <v>1</v>
      </c>
      <c r="AH313" s="6">
        <v>0</v>
      </c>
      <c r="AI313" s="6">
        <v>0</v>
      </c>
      <c r="AJ313" s="6">
        <v>0</v>
      </c>
      <c r="AK313" s="6">
        <v>0</v>
      </c>
      <c r="AL313" s="6">
        <v>0</v>
      </c>
      <c r="AM313" s="6">
        <v>0</v>
      </c>
      <c r="AN313" s="6">
        <v>0</v>
      </c>
      <c r="AO313" s="6">
        <v>0</v>
      </c>
      <c r="AP313" s="6">
        <v>0</v>
      </c>
      <c r="AQ313" s="6">
        <v>0</v>
      </c>
      <c r="AR313" s="6">
        <v>0</v>
      </c>
      <c r="AS313" s="6">
        <v>0</v>
      </c>
      <c r="AW313" s="2"/>
    </row>
    <row r="314" spans="1:49" x14ac:dyDescent="0.25">
      <c r="A314" s="6" t="s">
        <v>748</v>
      </c>
      <c r="B314" s="6" t="s">
        <v>591</v>
      </c>
      <c r="C314" s="6"/>
      <c r="D314" s="6" t="s">
        <v>422</v>
      </c>
      <c r="E314" s="6"/>
      <c r="G314" s="6"/>
      <c r="H314" s="6"/>
      <c r="I314" s="9">
        <v>0.85</v>
      </c>
      <c r="J314" s="9">
        <v>3.5</v>
      </c>
      <c r="K314" s="9">
        <v>4.3499999999999996</v>
      </c>
      <c r="L314" s="6">
        <v>1</v>
      </c>
      <c r="M314" s="6">
        <v>1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0</v>
      </c>
      <c r="AE314" s="6">
        <v>0</v>
      </c>
      <c r="AF314" s="6">
        <v>0</v>
      </c>
      <c r="AG314" s="6">
        <v>1</v>
      </c>
      <c r="AH314" s="6">
        <v>1</v>
      </c>
      <c r="AI314" s="6">
        <v>0</v>
      </c>
      <c r="AJ314" s="6">
        <v>0</v>
      </c>
      <c r="AK314" s="6">
        <v>0</v>
      </c>
      <c r="AL314" s="6">
        <v>0</v>
      </c>
      <c r="AM314" s="6">
        <v>0</v>
      </c>
      <c r="AN314" s="6">
        <v>0</v>
      </c>
      <c r="AO314" s="6">
        <v>0</v>
      </c>
      <c r="AP314" s="6">
        <v>0</v>
      </c>
      <c r="AQ314" s="6">
        <v>0</v>
      </c>
      <c r="AR314" s="6">
        <v>0</v>
      </c>
      <c r="AS314" s="6">
        <v>0</v>
      </c>
      <c r="AW314" s="2"/>
    </row>
    <row r="315" spans="1:49" x14ac:dyDescent="0.25">
      <c r="A315" s="6" t="s">
        <v>748</v>
      </c>
      <c r="B315" s="6" t="s">
        <v>592</v>
      </c>
      <c r="C315" s="14">
        <v>45764</v>
      </c>
      <c r="D315" s="6" t="s">
        <v>422</v>
      </c>
      <c r="E315" s="6"/>
      <c r="G315" s="6"/>
      <c r="H315" s="6"/>
      <c r="I315" s="9">
        <v>1.0499999999999998</v>
      </c>
      <c r="J315" s="9">
        <v>1.0499999999999998</v>
      </c>
      <c r="K315" s="9">
        <v>2.0999999999999996</v>
      </c>
      <c r="L315" s="6">
        <v>3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3</v>
      </c>
      <c r="AD315" s="6">
        <v>0</v>
      </c>
      <c r="AE315" s="6">
        <v>0</v>
      </c>
      <c r="AF315" s="6">
        <v>0</v>
      </c>
      <c r="AG315" s="6">
        <v>0</v>
      </c>
      <c r="AH315" s="6">
        <v>0</v>
      </c>
      <c r="AI315" s="6">
        <v>0</v>
      </c>
      <c r="AJ315" s="6">
        <v>0</v>
      </c>
      <c r="AK315" s="6">
        <v>0</v>
      </c>
      <c r="AL315" s="6">
        <v>0</v>
      </c>
      <c r="AM315" s="6">
        <v>0</v>
      </c>
      <c r="AN315" s="6">
        <v>0</v>
      </c>
      <c r="AO315" s="6">
        <v>0</v>
      </c>
      <c r="AP315" s="6">
        <v>0</v>
      </c>
      <c r="AQ315" s="6">
        <v>0</v>
      </c>
      <c r="AR315" s="6">
        <v>0</v>
      </c>
      <c r="AS315" s="6">
        <v>0</v>
      </c>
      <c r="AW315" s="2"/>
    </row>
    <row r="316" spans="1:49" x14ac:dyDescent="0.25">
      <c r="A316" s="6" t="s">
        <v>748</v>
      </c>
      <c r="B316" s="6" t="s">
        <v>593</v>
      </c>
      <c r="C316" s="6"/>
      <c r="D316" s="6" t="s">
        <v>422</v>
      </c>
      <c r="E316" s="6"/>
      <c r="G316" s="6"/>
      <c r="H316" s="6"/>
      <c r="I316" s="9">
        <v>0.35</v>
      </c>
      <c r="J316" s="9">
        <v>1</v>
      </c>
      <c r="K316" s="9">
        <v>1.35</v>
      </c>
      <c r="L316" s="6">
        <v>1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2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  <c r="AQ316" s="6">
        <v>0</v>
      </c>
      <c r="AR316" s="6">
        <v>0</v>
      </c>
      <c r="AS316" s="6">
        <v>0</v>
      </c>
      <c r="AW316" s="2"/>
    </row>
    <row r="317" spans="1:49" x14ac:dyDescent="0.25">
      <c r="A317" s="6" t="s">
        <v>748</v>
      </c>
      <c r="B317" s="6" t="s">
        <v>594</v>
      </c>
      <c r="C317" s="6"/>
      <c r="D317" s="6" t="s">
        <v>422</v>
      </c>
      <c r="E317" s="6"/>
      <c r="G317" s="6"/>
      <c r="H317" s="6"/>
      <c r="I317" s="9">
        <v>0.7</v>
      </c>
      <c r="J317" s="9">
        <v>1</v>
      </c>
      <c r="K317" s="9">
        <v>1.7</v>
      </c>
      <c r="L317" s="6">
        <v>2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6">
        <v>0</v>
      </c>
      <c r="AD317" s="6">
        <v>2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  <c r="AK317" s="6">
        <v>0</v>
      </c>
      <c r="AL317" s="6">
        <v>0</v>
      </c>
      <c r="AM317" s="6">
        <v>0</v>
      </c>
      <c r="AN317" s="6">
        <v>0</v>
      </c>
      <c r="AO317" s="6">
        <v>0</v>
      </c>
      <c r="AP317" s="6">
        <v>0</v>
      </c>
      <c r="AQ317" s="6">
        <v>0</v>
      </c>
      <c r="AR317" s="6">
        <v>0</v>
      </c>
      <c r="AS317" s="6">
        <v>0</v>
      </c>
      <c r="AW317" s="2"/>
    </row>
    <row r="318" spans="1:49" x14ac:dyDescent="0.25">
      <c r="A318" s="6" t="s">
        <v>748</v>
      </c>
      <c r="B318" s="6" t="s">
        <v>595</v>
      </c>
      <c r="C318" s="6"/>
      <c r="D318" s="6" t="s">
        <v>422</v>
      </c>
      <c r="E318" s="6"/>
      <c r="G318" s="6"/>
      <c r="H318" s="6"/>
      <c r="I318" s="9">
        <v>1</v>
      </c>
      <c r="J318" s="9">
        <v>1.35</v>
      </c>
      <c r="K318" s="9">
        <v>2.35</v>
      </c>
      <c r="L318" s="6">
        <v>0</v>
      </c>
      <c r="M318" s="6">
        <v>2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1</v>
      </c>
      <c r="AD318" s="6">
        <v>0</v>
      </c>
      <c r="AE318" s="6">
        <v>0</v>
      </c>
      <c r="AF318" s="6">
        <v>1</v>
      </c>
      <c r="AG318" s="6">
        <v>0</v>
      </c>
      <c r="AH318" s="6">
        <v>0</v>
      </c>
      <c r="AI318" s="6">
        <v>0</v>
      </c>
      <c r="AJ318" s="6">
        <v>0</v>
      </c>
      <c r="AK318" s="6">
        <v>0</v>
      </c>
      <c r="AL318" s="6">
        <v>0</v>
      </c>
      <c r="AM318" s="6">
        <v>0</v>
      </c>
      <c r="AN318" s="6">
        <v>0</v>
      </c>
      <c r="AO318" s="6">
        <v>0</v>
      </c>
      <c r="AP318" s="6">
        <v>0</v>
      </c>
      <c r="AQ318" s="6">
        <v>0</v>
      </c>
      <c r="AR318" s="6">
        <v>0</v>
      </c>
      <c r="AS318" s="6">
        <v>0</v>
      </c>
      <c r="AW318" s="2"/>
    </row>
    <row r="319" spans="1:49" x14ac:dyDescent="0.25">
      <c r="A319" s="6" t="s">
        <v>748</v>
      </c>
      <c r="B319" s="6" t="s">
        <v>596</v>
      </c>
      <c r="C319" s="6"/>
      <c r="D319" s="6" t="s">
        <v>422</v>
      </c>
      <c r="E319" s="6"/>
      <c r="G319" s="6"/>
      <c r="H319" s="6"/>
      <c r="I319" s="9">
        <v>1.0499999999999998</v>
      </c>
      <c r="J319" s="9">
        <v>2.35</v>
      </c>
      <c r="K319" s="9">
        <v>3.4</v>
      </c>
      <c r="L319" s="6">
        <v>3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1</v>
      </c>
      <c r="AD319" s="6">
        <v>2</v>
      </c>
      <c r="AE319" s="6">
        <v>0</v>
      </c>
      <c r="AF319" s="6">
        <v>1</v>
      </c>
      <c r="AG319" s="6">
        <v>0</v>
      </c>
      <c r="AH319" s="6">
        <v>0</v>
      </c>
      <c r="AI319" s="6">
        <v>0</v>
      </c>
      <c r="AJ319" s="6">
        <v>0</v>
      </c>
      <c r="AK319" s="6">
        <v>0</v>
      </c>
      <c r="AL319" s="6">
        <v>0</v>
      </c>
      <c r="AM319" s="6">
        <v>0</v>
      </c>
      <c r="AN319" s="6">
        <v>0</v>
      </c>
      <c r="AO319" s="6">
        <v>0</v>
      </c>
      <c r="AP319" s="6">
        <v>0</v>
      </c>
      <c r="AQ319" s="6">
        <v>0</v>
      </c>
      <c r="AR319" s="6">
        <v>0</v>
      </c>
      <c r="AS319" s="6">
        <v>0</v>
      </c>
      <c r="AW319" s="2"/>
    </row>
    <row r="320" spans="1:49" x14ac:dyDescent="0.25">
      <c r="A320" s="6" t="s">
        <v>748</v>
      </c>
      <c r="B320" s="6" t="s">
        <v>884</v>
      </c>
      <c r="C320" s="6"/>
      <c r="D320" s="6" t="s">
        <v>422</v>
      </c>
      <c r="E320" s="6"/>
      <c r="G320" s="6"/>
      <c r="H320" s="6"/>
      <c r="I320" s="9">
        <v>0.5</v>
      </c>
      <c r="J320" s="9">
        <v>1.1000000000000001</v>
      </c>
      <c r="K320" s="9">
        <v>1.6</v>
      </c>
      <c r="L320" s="6">
        <v>0</v>
      </c>
      <c r="M320" s="6">
        <v>1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1</v>
      </c>
      <c r="AD320" s="6">
        <v>0</v>
      </c>
      <c r="AE320" s="6">
        <v>1</v>
      </c>
      <c r="AF320" s="6">
        <v>0</v>
      </c>
      <c r="AG320" s="6">
        <v>0</v>
      </c>
      <c r="AH320" s="6">
        <v>0</v>
      </c>
      <c r="AI320" s="6">
        <v>0</v>
      </c>
      <c r="AJ320" s="6">
        <v>0</v>
      </c>
      <c r="AK320" s="6">
        <v>0</v>
      </c>
      <c r="AL320" s="6">
        <v>0</v>
      </c>
      <c r="AM320" s="6">
        <v>0</v>
      </c>
      <c r="AN320" s="6">
        <v>0</v>
      </c>
      <c r="AO320" s="6">
        <v>0</v>
      </c>
      <c r="AP320" s="6">
        <v>0</v>
      </c>
      <c r="AQ320" s="6">
        <v>0</v>
      </c>
      <c r="AR320" s="6">
        <v>0</v>
      </c>
      <c r="AS320" s="6">
        <v>0</v>
      </c>
      <c r="AW320" s="2"/>
    </row>
    <row r="321" spans="1:49" x14ac:dyDescent="0.25">
      <c r="A321" s="6" t="s">
        <v>748</v>
      </c>
      <c r="B321" s="6" t="s">
        <v>597</v>
      </c>
      <c r="C321" s="6"/>
      <c r="D321" s="6" t="s">
        <v>422</v>
      </c>
      <c r="E321" s="6"/>
      <c r="G321" s="6"/>
      <c r="H321" s="6"/>
      <c r="I321" s="9">
        <v>0.7</v>
      </c>
      <c r="J321" s="9">
        <v>1</v>
      </c>
      <c r="K321" s="9">
        <v>1.7</v>
      </c>
      <c r="L321" s="6">
        <v>2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0</v>
      </c>
      <c r="AD321" s="6">
        <v>0</v>
      </c>
      <c r="AE321" s="6">
        <v>0</v>
      </c>
      <c r="AF321" s="6">
        <v>1</v>
      </c>
      <c r="AG321" s="6">
        <v>0</v>
      </c>
      <c r="AH321" s="6">
        <v>0</v>
      </c>
      <c r="AI321" s="6">
        <v>0</v>
      </c>
      <c r="AJ321" s="6">
        <v>0</v>
      </c>
      <c r="AK321" s="6">
        <v>0</v>
      </c>
      <c r="AL321" s="6">
        <v>0</v>
      </c>
      <c r="AM321" s="6">
        <v>0</v>
      </c>
      <c r="AN321" s="6">
        <v>0</v>
      </c>
      <c r="AO321" s="6">
        <v>0</v>
      </c>
      <c r="AP321" s="6">
        <v>0</v>
      </c>
      <c r="AQ321" s="6">
        <v>0</v>
      </c>
      <c r="AR321" s="6">
        <v>0</v>
      </c>
      <c r="AS321" s="6">
        <v>0</v>
      </c>
      <c r="AW321" s="2"/>
    </row>
    <row r="322" spans="1:49" x14ac:dyDescent="0.25">
      <c r="A322" s="6" t="s">
        <v>748</v>
      </c>
      <c r="B322" s="6" t="s">
        <v>598</v>
      </c>
      <c r="C322" s="6"/>
      <c r="D322" s="6" t="s">
        <v>422</v>
      </c>
      <c r="E322" s="6"/>
      <c r="G322" s="6"/>
      <c r="H322" s="6"/>
      <c r="I322" s="9">
        <v>1</v>
      </c>
      <c r="J322" s="9">
        <v>1.2</v>
      </c>
      <c r="K322" s="9">
        <v>2.2000000000000002</v>
      </c>
      <c r="L322" s="6">
        <v>0</v>
      </c>
      <c r="M322" s="6">
        <v>0</v>
      </c>
      <c r="N322" s="6">
        <v>0</v>
      </c>
      <c r="O322" s="6">
        <v>1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2</v>
      </c>
      <c r="AD322" s="6">
        <v>1</v>
      </c>
      <c r="AE322" s="6">
        <v>0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  <c r="AK322" s="6">
        <v>0</v>
      </c>
      <c r="AL322" s="6">
        <v>0</v>
      </c>
      <c r="AM322" s="6">
        <v>0</v>
      </c>
      <c r="AN322" s="6">
        <v>0</v>
      </c>
      <c r="AO322" s="6">
        <v>0</v>
      </c>
      <c r="AP322" s="6">
        <v>0</v>
      </c>
      <c r="AQ322" s="6">
        <v>0</v>
      </c>
      <c r="AR322" s="6">
        <v>0</v>
      </c>
      <c r="AS322" s="6">
        <v>0</v>
      </c>
      <c r="AW322" s="2"/>
    </row>
    <row r="323" spans="1:49" x14ac:dyDescent="0.25">
      <c r="A323" s="6" t="s">
        <v>748</v>
      </c>
      <c r="B323" s="6" t="s">
        <v>599</v>
      </c>
      <c r="C323" s="6"/>
      <c r="D323" s="6" t="s">
        <v>422</v>
      </c>
      <c r="E323" s="6"/>
      <c r="G323" s="6"/>
      <c r="H323" s="6"/>
      <c r="I323" s="9">
        <v>1</v>
      </c>
      <c r="J323" s="9">
        <v>1.7</v>
      </c>
      <c r="K323" s="9">
        <v>2.7</v>
      </c>
      <c r="L323" s="6">
        <v>0</v>
      </c>
      <c r="M323" s="6">
        <v>0</v>
      </c>
      <c r="N323" s="6">
        <v>0</v>
      </c>
      <c r="O323" s="6">
        <v>1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  <c r="AC323" s="6">
        <v>2</v>
      </c>
      <c r="AD323" s="6">
        <v>2</v>
      </c>
      <c r="AE323" s="6">
        <v>0</v>
      </c>
      <c r="AF323" s="6">
        <v>0</v>
      </c>
      <c r="AG323" s="6">
        <v>0</v>
      </c>
      <c r="AH323" s="6">
        <v>0</v>
      </c>
      <c r="AI323" s="6">
        <v>0</v>
      </c>
      <c r="AJ323" s="6">
        <v>0</v>
      </c>
      <c r="AK323" s="6">
        <v>0</v>
      </c>
      <c r="AL323" s="6">
        <v>0</v>
      </c>
      <c r="AM323" s="6">
        <v>0</v>
      </c>
      <c r="AN323" s="6">
        <v>0</v>
      </c>
      <c r="AO323" s="6">
        <v>0</v>
      </c>
      <c r="AP323" s="6">
        <v>0</v>
      </c>
      <c r="AQ323" s="6">
        <v>0</v>
      </c>
      <c r="AR323" s="6">
        <v>0</v>
      </c>
      <c r="AS323" s="6">
        <v>0</v>
      </c>
      <c r="AW323" s="2"/>
    </row>
    <row r="324" spans="1:49" x14ac:dyDescent="0.25">
      <c r="A324" s="6" t="s">
        <v>748</v>
      </c>
      <c r="B324" s="6" t="s">
        <v>600</v>
      </c>
      <c r="C324" s="6"/>
      <c r="D324" s="6" t="s">
        <v>422</v>
      </c>
      <c r="E324" s="6"/>
      <c r="G324" s="6"/>
      <c r="H324" s="6"/>
      <c r="I324" s="9">
        <v>1</v>
      </c>
      <c r="J324" s="9">
        <v>2.2000000000000002</v>
      </c>
      <c r="K324" s="9">
        <v>3.2</v>
      </c>
      <c r="L324" s="6">
        <v>0</v>
      </c>
      <c r="M324" s="6">
        <v>0</v>
      </c>
      <c r="N324" s="6">
        <v>0</v>
      </c>
      <c r="O324" s="6">
        <v>1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2</v>
      </c>
      <c r="AD324" s="6">
        <v>3</v>
      </c>
      <c r="AE324" s="6">
        <v>0</v>
      </c>
      <c r="AF324" s="6">
        <v>0</v>
      </c>
      <c r="AG324" s="6">
        <v>0</v>
      </c>
      <c r="AH324" s="6">
        <v>0</v>
      </c>
      <c r="AI324" s="6">
        <v>0</v>
      </c>
      <c r="AJ324" s="6">
        <v>0</v>
      </c>
      <c r="AK324" s="6">
        <v>0</v>
      </c>
      <c r="AL324" s="6">
        <v>0</v>
      </c>
      <c r="AM324" s="6">
        <v>0</v>
      </c>
      <c r="AN324" s="6">
        <v>0</v>
      </c>
      <c r="AO324" s="6">
        <v>0</v>
      </c>
      <c r="AP324" s="6">
        <v>0</v>
      </c>
      <c r="AQ324" s="6">
        <v>0</v>
      </c>
      <c r="AR324" s="6">
        <v>0</v>
      </c>
      <c r="AS324" s="6">
        <v>0</v>
      </c>
      <c r="AW324" s="2"/>
    </row>
    <row r="325" spans="1:49" x14ac:dyDescent="0.25">
      <c r="A325" s="6" t="s">
        <v>748</v>
      </c>
      <c r="B325" s="6" t="s">
        <v>601</v>
      </c>
      <c r="C325" s="6"/>
      <c r="D325" s="6" t="s">
        <v>422</v>
      </c>
      <c r="E325" s="6"/>
      <c r="G325" s="6"/>
      <c r="H325" s="6"/>
      <c r="I325" s="9">
        <v>1</v>
      </c>
      <c r="J325" s="9">
        <v>2.7</v>
      </c>
      <c r="K325" s="9">
        <v>3.7</v>
      </c>
      <c r="L325" s="6">
        <v>0</v>
      </c>
      <c r="M325" s="6">
        <v>0</v>
      </c>
      <c r="N325" s="6">
        <v>0</v>
      </c>
      <c r="O325" s="6">
        <v>1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2</v>
      </c>
      <c r="AD325" s="6">
        <v>4</v>
      </c>
      <c r="AE325" s="6">
        <v>0</v>
      </c>
      <c r="AF325" s="6">
        <v>0</v>
      </c>
      <c r="AG325" s="6">
        <v>0</v>
      </c>
      <c r="AH325" s="6">
        <v>0</v>
      </c>
      <c r="AI325" s="6">
        <v>0</v>
      </c>
      <c r="AJ325" s="6">
        <v>0</v>
      </c>
      <c r="AK325" s="6">
        <v>0</v>
      </c>
      <c r="AL325" s="6">
        <v>0</v>
      </c>
      <c r="AM325" s="6">
        <v>0</v>
      </c>
      <c r="AN325" s="6">
        <v>0</v>
      </c>
      <c r="AO325" s="6">
        <v>0</v>
      </c>
      <c r="AP325" s="6">
        <v>0</v>
      </c>
      <c r="AQ325" s="6">
        <v>0</v>
      </c>
      <c r="AR325" s="6">
        <v>0</v>
      </c>
      <c r="AS325" s="6">
        <v>0</v>
      </c>
      <c r="AW325" s="2"/>
    </row>
    <row r="326" spans="1:49" x14ac:dyDescent="0.25">
      <c r="A326" s="6" t="s">
        <v>748</v>
      </c>
      <c r="B326" s="6" t="s">
        <v>602</v>
      </c>
      <c r="C326" s="6"/>
      <c r="D326" s="6" t="s">
        <v>422</v>
      </c>
      <c r="E326" s="6"/>
      <c r="G326" s="6"/>
      <c r="H326" s="6"/>
      <c r="I326" s="9">
        <v>1.5</v>
      </c>
      <c r="J326" s="9">
        <v>2</v>
      </c>
      <c r="K326" s="9">
        <v>3.5</v>
      </c>
      <c r="L326" s="6">
        <v>0</v>
      </c>
      <c r="M326" s="6">
        <v>0</v>
      </c>
      <c r="N326" s="6">
        <v>0</v>
      </c>
      <c r="O326" s="6">
        <v>0</v>
      </c>
      <c r="P326" s="6">
        <v>1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2</v>
      </c>
      <c r="AE326" s="6">
        <v>0</v>
      </c>
      <c r="AF326" s="6">
        <v>1</v>
      </c>
      <c r="AG326" s="6">
        <v>0</v>
      </c>
      <c r="AH326" s="6">
        <v>0</v>
      </c>
      <c r="AI326" s="6">
        <v>0</v>
      </c>
      <c r="AJ326" s="6">
        <v>0</v>
      </c>
      <c r="AK326" s="6">
        <v>0</v>
      </c>
      <c r="AL326" s="6">
        <v>0</v>
      </c>
      <c r="AM326" s="6">
        <v>0</v>
      </c>
      <c r="AN326" s="6">
        <v>0</v>
      </c>
      <c r="AO326" s="6">
        <v>0</v>
      </c>
      <c r="AP326" s="6">
        <v>0</v>
      </c>
      <c r="AQ326" s="6">
        <v>0</v>
      </c>
      <c r="AR326" s="6">
        <v>0</v>
      </c>
      <c r="AS326" s="6">
        <v>0</v>
      </c>
      <c r="AW326" s="2"/>
    </row>
    <row r="327" spans="1:49" x14ac:dyDescent="0.25">
      <c r="A327" s="6" t="s">
        <v>748</v>
      </c>
      <c r="B327" s="6" t="s">
        <v>603</v>
      </c>
      <c r="C327" s="6"/>
      <c r="D327" s="6" t="s">
        <v>422</v>
      </c>
      <c r="E327" s="6"/>
      <c r="G327" s="6"/>
      <c r="H327" s="6"/>
      <c r="I327" s="9">
        <v>1</v>
      </c>
      <c r="J327" s="9">
        <v>2</v>
      </c>
      <c r="K327" s="9">
        <v>3</v>
      </c>
      <c r="L327" s="6">
        <v>0</v>
      </c>
      <c r="M327" s="6">
        <v>0</v>
      </c>
      <c r="N327" s="6">
        <v>0</v>
      </c>
      <c r="O327" s="6">
        <v>1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2</v>
      </c>
      <c r="AG327" s="6">
        <v>0</v>
      </c>
      <c r="AH327" s="6">
        <v>0</v>
      </c>
      <c r="AI327" s="6">
        <v>0</v>
      </c>
      <c r="AJ327" s="6">
        <v>0</v>
      </c>
      <c r="AK327" s="6">
        <v>0</v>
      </c>
      <c r="AL327" s="6">
        <v>0</v>
      </c>
      <c r="AM327" s="6">
        <v>0</v>
      </c>
      <c r="AN327" s="6">
        <v>0</v>
      </c>
      <c r="AO327" s="6">
        <v>0</v>
      </c>
      <c r="AP327" s="6">
        <v>0</v>
      </c>
      <c r="AQ327" s="6">
        <v>0</v>
      </c>
      <c r="AR327" s="6">
        <v>0</v>
      </c>
      <c r="AS327" s="6">
        <v>0</v>
      </c>
      <c r="AW327" s="2"/>
    </row>
    <row r="328" spans="1:49" x14ac:dyDescent="0.25">
      <c r="A328" s="6" t="s">
        <v>748</v>
      </c>
      <c r="B328" s="6" t="s">
        <v>604</v>
      </c>
      <c r="C328" s="6"/>
      <c r="D328" s="6" t="s">
        <v>422</v>
      </c>
      <c r="E328" s="6"/>
      <c r="G328" s="6"/>
      <c r="H328" s="6"/>
      <c r="I328" s="9">
        <v>0.5</v>
      </c>
      <c r="J328" s="9">
        <v>0.85</v>
      </c>
      <c r="K328" s="9">
        <v>1.35</v>
      </c>
      <c r="L328" s="6">
        <v>0</v>
      </c>
      <c r="M328" s="6">
        <v>1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1</v>
      </c>
      <c r="AD328" s="6">
        <v>1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  <c r="AM328" s="6">
        <v>0</v>
      </c>
      <c r="AN328" s="6">
        <v>0</v>
      </c>
      <c r="AO328" s="6">
        <v>0</v>
      </c>
      <c r="AP328" s="6">
        <v>0</v>
      </c>
      <c r="AQ328" s="6">
        <v>0</v>
      </c>
      <c r="AR328" s="6">
        <v>0</v>
      </c>
      <c r="AS328" s="6">
        <v>0</v>
      </c>
      <c r="AW328" s="2"/>
    </row>
    <row r="329" spans="1:49" x14ac:dyDescent="0.25">
      <c r="A329" s="6" t="s">
        <v>748</v>
      </c>
      <c r="B329" s="6" t="s">
        <v>605</v>
      </c>
      <c r="C329" s="6"/>
      <c r="D329" s="6" t="s">
        <v>422</v>
      </c>
      <c r="E329" s="6"/>
      <c r="G329" s="6"/>
      <c r="H329" s="6"/>
      <c r="I329" s="9">
        <v>1.0499999999999998</v>
      </c>
      <c r="J329" s="9">
        <v>0.35</v>
      </c>
      <c r="K329" s="9">
        <v>1.4</v>
      </c>
      <c r="L329" s="6">
        <v>3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1</v>
      </c>
      <c r="AD329" s="6">
        <v>0</v>
      </c>
      <c r="AE329" s="6">
        <v>0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s="6">
        <v>0</v>
      </c>
      <c r="AM329" s="6">
        <v>0</v>
      </c>
      <c r="AN329" s="6">
        <v>0</v>
      </c>
      <c r="AO329" s="6">
        <v>0</v>
      </c>
      <c r="AP329" s="6">
        <v>0</v>
      </c>
      <c r="AQ329" s="6">
        <v>0</v>
      </c>
      <c r="AR329" s="6">
        <v>0</v>
      </c>
      <c r="AS329" s="6">
        <v>0</v>
      </c>
      <c r="AW329" s="2"/>
    </row>
    <row r="330" spans="1:49" x14ac:dyDescent="0.25">
      <c r="A330" s="6" t="s">
        <v>748</v>
      </c>
      <c r="B330" s="6" t="s">
        <v>884</v>
      </c>
      <c r="C330" s="6"/>
      <c r="D330" s="6" t="s">
        <v>422</v>
      </c>
      <c r="E330" s="6"/>
      <c r="G330" s="6"/>
      <c r="H330" s="6"/>
      <c r="I330" s="9">
        <v>1.0499999999999998</v>
      </c>
      <c r="J330" s="9">
        <v>0.7</v>
      </c>
      <c r="K330" s="9">
        <v>1.7499999999999998</v>
      </c>
      <c r="L330" s="6">
        <v>3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2</v>
      </c>
      <c r="AD330" s="6">
        <v>0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s="6">
        <v>0</v>
      </c>
      <c r="AM330" s="6">
        <v>0</v>
      </c>
      <c r="AN330" s="6">
        <v>0</v>
      </c>
      <c r="AO330" s="6">
        <v>0</v>
      </c>
      <c r="AP330" s="6">
        <v>0</v>
      </c>
      <c r="AQ330" s="6">
        <v>0</v>
      </c>
      <c r="AR330" s="6">
        <v>0</v>
      </c>
      <c r="AS330" s="6">
        <v>0</v>
      </c>
      <c r="AW330" s="2"/>
    </row>
    <row r="331" spans="1:49" x14ac:dyDescent="0.25">
      <c r="A331" s="6" t="s">
        <v>748</v>
      </c>
      <c r="B331" s="6" t="s">
        <v>884</v>
      </c>
      <c r="C331" s="6"/>
      <c r="D331" s="6" t="s">
        <v>422</v>
      </c>
      <c r="E331" s="6"/>
      <c r="G331" s="6"/>
      <c r="H331" s="6"/>
      <c r="I331" s="9">
        <v>0.5</v>
      </c>
      <c r="J331" s="9">
        <v>1.35</v>
      </c>
      <c r="K331" s="9">
        <v>1.85</v>
      </c>
      <c r="L331" s="6">
        <v>0</v>
      </c>
      <c r="M331" s="6">
        <v>1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1</v>
      </c>
      <c r="AD331" s="6">
        <v>2</v>
      </c>
      <c r="AE331" s="6">
        <v>0</v>
      </c>
      <c r="AF331" s="6">
        <v>0</v>
      </c>
      <c r="AG331" s="6">
        <v>0</v>
      </c>
      <c r="AH331" s="6">
        <v>0</v>
      </c>
      <c r="AI331" s="6">
        <v>0</v>
      </c>
      <c r="AJ331" s="6">
        <v>0</v>
      </c>
      <c r="AK331" s="6">
        <v>0</v>
      </c>
      <c r="AL331" s="6">
        <v>0</v>
      </c>
      <c r="AM331" s="6">
        <v>0</v>
      </c>
      <c r="AN331" s="6">
        <v>0</v>
      </c>
      <c r="AO331" s="6">
        <v>0</v>
      </c>
      <c r="AP331" s="6">
        <v>0</v>
      </c>
      <c r="AQ331" s="6">
        <v>0</v>
      </c>
      <c r="AR331" s="6">
        <v>0</v>
      </c>
      <c r="AS331" s="6">
        <v>0</v>
      </c>
      <c r="AW331" s="2"/>
    </row>
    <row r="332" spans="1:49" x14ac:dyDescent="0.25">
      <c r="A332" s="6" t="s">
        <v>748</v>
      </c>
      <c r="B332" s="6" t="s">
        <v>606</v>
      </c>
      <c r="C332" s="6"/>
      <c r="D332" s="6" t="s">
        <v>422</v>
      </c>
      <c r="E332" s="6"/>
      <c r="G332" s="6"/>
      <c r="H332" s="6"/>
      <c r="I332" s="9">
        <v>1.25</v>
      </c>
      <c r="J332" s="9">
        <v>1</v>
      </c>
      <c r="K332" s="9">
        <v>2.25</v>
      </c>
      <c r="L332" s="6">
        <v>0</v>
      </c>
      <c r="M332" s="6">
        <v>1</v>
      </c>
      <c r="N332" s="6">
        <v>1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0</v>
      </c>
      <c r="AE332" s="6">
        <v>0</v>
      </c>
      <c r="AF332" s="6">
        <v>1</v>
      </c>
      <c r="AG332" s="6">
        <v>0</v>
      </c>
      <c r="AH332" s="6">
        <v>0</v>
      </c>
      <c r="AI332" s="6">
        <v>0</v>
      </c>
      <c r="AJ332" s="6">
        <v>0</v>
      </c>
      <c r="AK332" s="6">
        <v>0</v>
      </c>
      <c r="AL332" s="6">
        <v>0</v>
      </c>
      <c r="AM332" s="6">
        <v>0</v>
      </c>
      <c r="AN332" s="6">
        <v>0</v>
      </c>
      <c r="AO332" s="6">
        <v>0</v>
      </c>
      <c r="AP332" s="6">
        <v>0</v>
      </c>
      <c r="AQ332" s="6">
        <v>0</v>
      </c>
      <c r="AR332" s="6">
        <v>0</v>
      </c>
      <c r="AS332" s="6">
        <v>0</v>
      </c>
      <c r="AW332" s="2"/>
    </row>
    <row r="333" spans="1:49" x14ac:dyDescent="0.25">
      <c r="A333" s="7" t="s">
        <v>748</v>
      </c>
      <c r="B333" s="7" t="s">
        <v>607</v>
      </c>
      <c r="C333" s="7"/>
      <c r="D333" s="7" t="s">
        <v>422</v>
      </c>
      <c r="E333" s="7"/>
      <c r="G333" s="7"/>
      <c r="H333" s="7"/>
      <c r="I333" s="10">
        <v>1.25</v>
      </c>
      <c r="J333" s="10">
        <v>1.35</v>
      </c>
      <c r="K333" s="10">
        <v>2.6</v>
      </c>
      <c r="L333" s="7">
        <v>0</v>
      </c>
      <c r="M333" s="7">
        <v>1</v>
      </c>
      <c r="N333" s="7">
        <v>1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1</v>
      </c>
      <c r="AD333" s="7">
        <v>0</v>
      </c>
      <c r="AE333" s="7">
        <v>0</v>
      </c>
      <c r="AF333" s="7">
        <v>1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W333" s="2"/>
    </row>
    <row r="334" spans="1:49" x14ac:dyDescent="0.25">
      <c r="A334" s="6" t="s">
        <v>748</v>
      </c>
      <c r="B334" s="6" t="s">
        <v>608</v>
      </c>
      <c r="C334" s="6"/>
      <c r="D334" s="6" t="s">
        <v>422</v>
      </c>
      <c r="E334" s="6"/>
      <c r="G334" s="6"/>
      <c r="H334" s="6"/>
      <c r="I334" s="9">
        <v>1.25</v>
      </c>
      <c r="J334" s="9">
        <v>2</v>
      </c>
      <c r="K334" s="9">
        <v>3.25</v>
      </c>
      <c r="L334" s="6">
        <v>0</v>
      </c>
      <c r="M334" s="6">
        <v>1</v>
      </c>
      <c r="N334" s="6">
        <v>1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2</v>
      </c>
      <c r="AE334" s="6">
        <v>0</v>
      </c>
      <c r="AF334" s="6">
        <v>1</v>
      </c>
      <c r="AG334" s="6">
        <v>0</v>
      </c>
      <c r="AH334" s="6">
        <v>0</v>
      </c>
      <c r="AI334" s="6">
        <v>0</v>
      </c>
      <c r="AJ334" s="6">
        <v>0</v>
      </c>
      <c r="AK334" s="6">
        <v>0</v>
      </c>
      <c r="AL334" s="6">
        <v>0</v>
      </c>
      <c r="AM334" s="6">
        <v>0</v>
      </c>
      <c r="AN334" s="6">
        <v>0</v>
      </c>
      <c r="AO334" s="6">
        <v>0</v>
      </c>
      <c r="AP334" s="6">
        <v>0</v>
      </c>
      <c r="AQ334" s="6">
        <v>0</v>
      </c>
      <c r="AR334" s="6">
        <v>0</v>
      </c>
      <c r="AS334" s="6">
        <v>0</v>
      </c>
      <c r="AW334" s="2"/>
    </row>
    <row r="335" spans="1:49" x14ac:dyDescent="0.25">
      <c r="A335" s="6" t="s">
        <v>748</v>
      </c>
      <c r="B335" s="6" t="s">
        <v>609</v>
      </c>
      <c r="C335" s="6"/>
      <c r="D335" s="6" t="s">
        <v>422</v>
      </c>
      <c r="E335" s="6"/>
      <c r="G335" s="6"/>
      <c r="H335" s="6"/>
      <c r="I335" s="9">
        <v>1.25</v>
      </c>
      <c r="J335" s="9">
        <v>2.35</v>
      </c>
      <c r="K335" s="9">
        <v>3.6</v>
      </c>
      <c r="L335" s="6">
        <v>0</v>
      </c>
      <c r="M335" s="6">
        <v>1</v>
      </c>
      <c r="N335" s="6">
        <v>1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  <c r="AC335" s="6">
        <v>1</v>
      </c>
      <c r="AD335" s="6">
        <v>2</v>
      </c>
      <c r="AE335" s="6">
        <v>0</v>
      </c>
      <c r="AF335" s="6">
        <v>1</v>
      </c>
      <c r="AG335" s="6">
        <v>0</v>
      </c>
      <c r="AH335" s="6">
        <v>0</v>
      </c>
      <c r="AI335" s="6">
        <v>0</v>
      </c>
      <c r="AJ335" s="6">
        <v>0</v>
      </c>
      <c r="AK335" s="6">
        <v>0</v>
      </c>
      <c r="AL335" s="6">
        <v>0</v>
      </c>
      <c r="AM335" s="6">
        <v>0</v>
      </c>
      <c r="AN335" s="6">
        <v>0</v>
      </c>
      <c r="AO335" s="6">
        <v>0</v>
      </c>
      <c r="AP335" s="6">
        <v>0</v>
      </c>
      <c r="AQ335" s="6">
        <v>0</v>
      </c>
      <c r="AR335" s="6">
        <v>0</v>
      </c>
      <c r="AS335" s="6">
        <v>0</v>
      </c>
      <c r="AW335" s="2"/>
    </row>
    <row r="336" spans="1:49" x14ac:dyDescent="0.25">
      <c r="A336" s="6" t="s">
        <v>748</v>
      </c>
      <c r="B336" s="6" t="s">
        <v>610</v>
      </c>
      <c r="C336" s="6"/>
      <c r="D336" s="6" t="s">
        <v>422</v>
      </c>
      <c r="E336" s="6"/>
      <c r="G336" s="6"/>
      <c r="H336" s="6"/>
      <c r="I336" s="9">
        <v>1.5</v>
      </c>
      <c r="J336" s="9">
        <v>2.35</v>
      </c>
      <c r="K336" s="9">
        <v>3.85</v>
      </c>
      <c r="L336" s="6">
        <v>0</v>
      </c>
      <c r="M336" s="6">
        <v>0</v>
      </c>
      <c r="N336" s="6">
        <v>2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1</v>
      </c>
      <c r="AD336" s="6">
        <v>2</v>
      </c>
      <c r="AE336" s="6">
        <v>0</v>
      </c>
      <c r="AF336" s="6">
        <v>1</v>
      </c>
      <c r="AG336" s="6">
        <v>0</v>
      </c>
      <c r="AH336" s="6">
        <v>0</v>
      </c>
      <c r="AI336" s="6">
        <v>0</v>
      </c>
      <c r="AJ336" s="6">
        <v>0</v>
      </c>
      <c r="AK336" s="6">
        <v>0</v>
      </c>
      <c r="AL336" s="6">
        <v>0</v>
      </c>
      <c r="AM336" s="6">
        <v>0</v>
      </c>
      <c r="AN336" s="6">
        <v>0</v>
      </c>
      <c r="AO336" s="6">
        <v>0</v>
      </c>
      <c r="AP336" s="6">
        <v>0</v>
      </c>
      <c r="AQ336" s="6">
        <v>0</v>
      </c>
      <c r="AR336" s="6">
        <v>0</v>
      </c>
      <c r="AS336" s="6">
        <v>0</v>
      </c>
      <c r="AW336" s="2"/>
    </row>
    <row r="337" spans="1:49" x14ac:dyDescent="0.25">
      <c r="A337" s="6" t="s">
        <v>748</v>
      </c>
      <c r="B337" s="6" t="s">
        <v>611</v>
      </c>
      <c r="C337" s="6"/>
      <c r="D337" s="6" t="s">
        <v>422</v>
      </c>
      <c r="E337" s="6"/>
      <c r="G337" s="6"/>
      <c r="H337" s="6"/>
      <c r="I337" s="9">
        <v>0.5</v>
      </c>
      <c r="J337" s="9">
        <v>1</v>
      </c>
      <c r="K337" s="9">
        <v>1.5</v>
      </c>
      <c r="L337" s="6">
        <v>0</v>
      </c>
      <c r="M337" s="6">
        <v>1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2</v>
      </c>
      <c r="AE337" s="6">
        <v>0</v>
      </c>
      <c r="AF337" s="6">
        <v>0</v>
      </c>
      <c r="AG337" s="6">
        <v>0</v>
      </c>
      <c r="AH337" s="6">
        <v>0</v>
      </c>
      <c r="AI337" s="6">
        <v>0</v>
      </c>
      <c r="AJ337" s="6">
        <v>0</v>
      </c>
      <c r="AK337" s="6">
        <v>0</v>
      </c>
      <c r="AL337" s="6">
        <v>0</v>
      </c>
      <c r="AM337" s="6">
        <v>0</v>
      </c>
      <c r="AN337" s="6">
        <v>0</v>
      </c>
      <c r="AO337" s="6">
        <v>0</v>
      </c>
      <c r="AP337" s="6">
        <v>0</v>
      </c>
      <c r="AQ337" s="6">
        <v>0</v>
      </c>
      <c r="AR337" s="6">
        <v>0</v>
      </c>
      <c r="AS337" s="6">
        <v>0</v>
      </c>
      <c r="AW337" s="2"/>
    </row>
    <row r="338" spans="1:49" x14ac:dyDescent="0.25">
      <c r="A338" s="6" t="s">
        <v>748</v>
      </c>
      <c r="B338" s="11" t="s">
        <v>612</v>
      </c>
      <c r="C338" s="14">
        <v>45205</v>
      </c>
      <c r="D338" s="6" t="s">
        <v>755</v>
      </c>
      <c r="E338" s="6" t="s">
        <v>414</v>
      </c>
      <c r="G338" s="6" t="s">
        <v>422</v>
      </c>
      <c r="H338" s="6"/>
      <c r="I338" s="9">
        <v>5</v>
      </c>
      <c r="J338" s="9">
        <v>3</v>
      </c>
      <c r="K338" s="9">
        <v>8</v>
      </c>
      <c r="L338" s="6">
        <v>0</v>
      </c>
      <c r="M338" s="6">
        <v>0</v>
      </c>
      <c r="N338" s="6">
        <v>4</v>
      </c>
      <c r="O338" s="6">
        <v>2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</v>
      </c>
      <c r="AF338" s="6">
        <v>3</v>
      </c>
      <c r="AG338" s="6">
        <v>0</v>
      </c>
      <c r="AH338" s="6">
        <v>0</v>
      </c>
      <c r="AI338" s="6">
        <v>0</v>
      </c>
      <c r="AJ338" s="6">
        <v>0</v>
      </c>
      <c r="AK338" s="6">
        <v>0</v>
      </c>
      <c r="AL338" s="6">
        <v>0</v>
      </c>
      <c r="AM338" s="6">
        <v>0</v>
      </c>
      <c r="AN338" s="6">
        <v>0</v>
      </c>
      <c r="AO338" s="6">
        <v>0</v>
      </c>
      <c r="AP338" s="6">
        <v>0</v>
      </c>
      <c r="AQ338" s="6">
        <v>0</v>
      </c>
      <c r="AR338" s="6">
        <v>0</v>
      </c>
      <c r="AS338" s="6">
        <v>0</v>
      </c>
      <c r="AW338" s="2"/>
    </row>
    <row r="339" spans="1:49" x14ac:dyDescent="0.25">
      <c r="A339" s="6" t="s">
        <v>748</v>
      </c>
      <c r="B339" s="6" t="s">
        <v>613</v>
      </c>
      <c r="C339" s="6"/>
      <c r="D339" s="6" t="s">
        <v>422</v>
      </c>
      <c r="E339" s="6" t="s">
        <v>408</v>
      </c>
      <c r="G339" s="6"/>
      <c r="H339" s="6"/>
      <c r="I339" s="9">
        <v>0.35</v>
      </c>
      <c r="J339" s="9">
        <v>0.35</v>
      </c>
      <c r="K339" s="9">
        <v>0.7</v>
      </c>
      <c r="L339" s="6">
        <v>1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6">
        <v>1</v>
      </c>
      <c r="AD339" s="6">
        <v>0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  <c r="AJ339" s="6">
        <v>0</v>
      </c>
      <c r="AK339" s="6">
        <v>0</v>
      </c>
      <c r="AL339" s="6">
        <v>0</v>
      </c>
      <c r="AM339" s="6">
        <v>0</v>
      </c>
      <c r="AN339" s="6">
        <v>0</v>
      </c>
      <c r="AO339" s="6">
        <v>0</v>
      </c>
      <c r="AP339" s="6">
        <v>0</v>
      </c>
      <c r="AQ339" s="6">
        <v>0</v>
      </c>
      <c r="AR339" s="6">
        <v>0</v>
      </c>
      <c r="AS339" s="6">
        <v>0</v>
      </c>
      <c r="AW339" s="2"/>
    </row>
    <row r="340" spans="1:49" x14ac:dyDescent="0.25">
      <c r="A340" s="6" t="s">
        <v>748</v>
      </c>
      <c r="B340" s="6" t="s">
        <v>614</v>
      </c>
      <c r="C340" s="14">
        <v>45061</v>
      </c>
      <c r="D340" s="6" t="s">
        <v>422</v>
      </c>
      <c r="E340" s="6" t="s">
        <v>355</v>
      </c>
      <c r="G340" s="6"/>
      <c r="H340" s="6" t="s">
        <v>29</v>
      </c>
      <c r="I340" s="9">
        <v>1.4</v>
      </c>
      <c r="J340" s="9">
        <v>0.7</v>
      </c>
      <c r="K340" s="9">
        <v>2.0999999999999996</v>
      </c>
      <c r="L340" s="6">
        <v>4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2</v>
      </c>
      <c r="AD340" s="6">
        <v>0</v>
      </c>
      <c r="AE340" s="6">
        <v>0</v>
      </c>
      <c r="AF340" s="6">
        <v>0</v>
      </c>
      <c r="AG340" s="6">
        <v>0</v>
      </c>
      <c r="AH340" s="6">
        <v>0</v>
      </c>
      <c r="AI340" s="6">
        <v>0</v>
      </c>
      <c r="AJ340" s="6">
        <v>0</v>
      </c>
      <c r="AK340" s="6">
        <v>0</v>
      </c>
      <c r="AL340" s="6">
        <v>0</v>
      </c>
      <c r="AM340" s="6">
        <v>0</v>
      </c>
      <c r="AN340" s="6">
        <v>0</v>
      </c>
      <c r="AO340" s="6">
        <v>0</v>
      </c>
      <c r="AP340" s="6">
        <v>0</v>
      </c>
      <c r="AQ340" s="6">
        <v>0</v>
      </c>
      <c r="AR340" s="6">
        <v>0</v>
      </c>
      <c r="AS340" s="6">
        <v>0</v>
      </c>
      <c r="AW340" s="2"/>
    </row>
    <row r="341" spans="1:49" x14ac:dyDescent="0.25">
      <c r="A341" s="6" t="s">
        <v>748</v>
      </c>
      <c r="B341" s="6" t="s">
        <v>615</v>
      </c>
      <c r="C341" s="6"/>
      <c r="D341" s="6" t="s">
        <v>422</v>
      </c>
      <c r="E341" s="6" t="s">
        <v>870</v>
      </c>
      <c r="G341" s="6"/>
      <c r="H341" s="6"/>
      <c r="I341" s="9">
        <v>1</v>
      </c>
      <c r="J341" s="9">
        <v>4</v>
      </c>
      <c r="K341" s="9">
        <v>5</v>
      </c>
      <c r="L341" s="6">
        <v>0</v>
      </c>
      <c r="M341" s="6">
        <v>0</v>
      </c>
      <c r="N341" s="6">
        <v>0</v>
      </c>
      <c r="O341" s="6">
        <v>1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0</v>
      </c>
      <c r="AE341" s="6">
        <v>0</v>
      </c>
      <c r="AF341" s="6">
        <v>4</v>
      </c>
      <c r="AG341" s="6">
        <v>0</v>
      </c>
      <c r="AH341" s="6">
        <v>0</v>
      </c>
      <c r="AI341" s="6">
        <v>0</v>
      </c>
      <c r="AJ341" s="6">
        <v>0</v>
      </c>
      <c r="AK341" s="6">
        <v>0</v>
      </c>
      <c r="AL341" s="6">
        <v>0</v>
      </c>
      <c r="AM341" s="6">
        <v>0</v>
      </c>
      <c r="AN341" s="6">
        <v>0</v>
      </c>
      <c r="AO341" s="6">
        <v>0</v>
      </c>
      <c r="AP341" s="6">
        <v>0</v>
      </c>
      <c r="AQ341" s="6">
        <v>0</v>
      </c>
      <c r="AR341" s="6">
        <v>0</v>
      </c>
      <c r="AS341" s="6">
        <v>0</v>
      </c>
      <c r="AW341" s="2"/>
    </row>
    <row r="342" spans="1:49" x14ac:dyDescent="0.25">
      <c r="A342" s="6" t="s">
        <v>748</v>
      </c>
      <c r="B342" s="6" t="s">
        <v>616</v>
      </c>
      <c r="C342" s="6"/>
      <c r="D342" s="6" t="s">
        <v>422</v>
      </c>
      <c r="E342" s="6" t="s">
        <v>417</v>
      </c>
      <c r="G342" s="6"/>
      <c r="H342" s="6" t="s">
        <v>29</v>
      </c>
      <c r="I342" s="9">
        <v>4</v>
      </c>
      <c r="J342" s="9">
        <v>2</v>
      </c>
      <c r="K342" s="9">
        <v>6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2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0</v>
      </c>
      <c r="AG342" s="6">
        <v>0</v>
      </c>
      <c r="AH342" s="6">
        <v>1</v>
      </c>
      <c r="AI342" s="6">
        <v>0</v>
      </c>
      <c r="AJ342" s="6">
        <v>0</v>
      </c>
      <c r="AK342" s="6">
        <v>0</v>
      </c>
      <c r="AL342" s="6">
        <v>0</v>
      </c>
      <c r="AM342" s="6">
        <v>0</v>
      </c>
      <c r="AN342" s="6">
        <v>0</v>
      </c>
      <c r="AO342" s="6">
        <v>0</v>
      </c>
      <c r="AP342" s="6">
        <v>0</v>
      </c>
      <c r="AQ342" s="6">
        <v>0</v>
      </c>
      <c r="AR342" s="6">
        <v>0</v>
      </c>
      <c r="AS342" s="6">
        <v>0</v>
      </c>
      <c r="AW342" s="2"/>
    </row>
    <row r="343" spans="1:49" x14ac:dyDescent="0.25">
      <c r="A343" s="6" t="s">
        <v>748</v>
      </c>
      <c r="B343" s="6" t="s">
        <v>617</v>
      </c>
      <c r="C343" s="14">
        <v>45691</v>
      </c>
      <c r="D343" s="6" t="s">
        <v>422</v>
      </c>
      <c r="E343" s="6" t="s">
        <v>871</v>
      </c>
      <c r="G343" s="6"/>
      <c r="H343" s="6" t="s">
        <v>29</v>
      </c>
      <c r="I343" s="9">
        <v>0.35</v>
      </c>
      <c r="J343" s="9">
        <v>0.7</v>
      </c>
      <c r="K343" s="9">
        <v>1.0499999999999998</v>
      </c>
      <c r="L343" s="6">
        <v>1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2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6">
        <v>0</v>
      </c>
      <c r="AL343" s="6">
        <v>0</v>
      </c>
      <c r="AM343" s="6">
        <v>0</v>
      </c>
      <c r="AN343" s="6">
        <v>0</v>
      </c>
      <c r="AO343" s="6">
        <v>0</v>
      </c>
      <c r="AP343" s="6">
        <v>0</v>
      </c>
      <c r="AQ343" s="6">
        <v>0</v>
      </c>
      <c r="AR343" s="6">
        <v>0</v>
      </c>
      <c r="AS343" s="6">
        <v>0</v>
      </c>
      <c r="AW343" s="2"/>
    </row>
    <row r="344" spans="1:49" x14ac:dyDescent="0.25">
      <c r="A344" s="6" t="s">
        <v>748</v>
      </c>
      <c r="B344" s="6" t="s">
        <v>618</v>
      </c>
      <c r="C344" s="6"/>
      <c r="D344" s="6" t="s">
        <v>422</v>
      </c>
      <c r="E344" s="6" t="s">
        <v>872</v>
      </c>
      <c r="G344" s="6"/>
      <c r="H344" s="6" t="s">
        <v>29</v>
      </c>
      <c r="I344" s="9">
        <v>0.35</v>
      </c>
      <c r="J344" s="9">
        <v>1.0499999999999998</v>
      </c>
      <c r="K344" s="9">
        <v>1.4</v>
      </c>
      <c r="L344" s="6">
        <v>1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3</v>
      </c>
      <c r="AD344" s="6">
        <v>0</v>
      </c>
      <c r="AE344" s="6">
        <v>0</v>
      </c>
      <c r="AF344" s="6">
        <v>0</v>
      </c>
      <c r="AG344" s="6">
        <v>0</v>
      </c>
      <c r="AH344" s="6">
        <v>0</v>
      </c>
      <c r="AI344" s="6">
        <v>0</v>
      </c>
      <c r="AJ344" s="6">
        <v>0</v>
      </c>
      <c r="AK344" s="6">
        <v>0</v>
      </c>
      <c r="AL344" s="6">
        <v>0</v>
      </c>
      <c r="AM344" s="6">
        <v>0</v>
      </c>
      <c r="AN344" s="6">
        <v>0</v>
      </c>
      <c r="AO344" s="6">
        <v>0</v>
      </c>
      <c r="AP344" s="6">
        <v>0</v>
      </c>
      <c r="AQ344" s="6">
        <v>0</v>
      </c>
      <c r="AR344" s="6">
        <v>0</v>
      </c>
      <c r="AS344" s="6">
        <v>0</v>
      </c>
      <c r="AW344" s="2"/>
    </row>
    <row r="345" spans="1:49" x14ac:dyDescent="0.25">
      <c r="A345" s="6" t="s">
        <v>748</v>
      </c>
      <c r="B345" s="6" t="s">
        <v>619</v>
      </c>
      <c r="C345" s="6"/>
      <c r="D345" s="6" t="s">
        <v>422</v>
      </c>
      <c r="E345" s="6" t="s">
        <v>873</v>
      </c>
      <c r="G345" s="6"/>
      <c r="H345" s="6" t="s">
        <v>29</v>
      </c>
      <c r="I345" s="9">
        <v>1.0499999999999998</v>
      </c>
      <c r="J345" s="9">
        <v>0.7</v>
      </c>
      <c r="K345" s="9">
        <v>1.7499999999999998</v>
      </c>
      <c r="L345" s="6">
        <v>3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2</v>
      </c>
      <c r="AD345" s="6">
        <v>0</v>
      </c>
      <c r="AE345" s="6">
        <v>0</v>
      </c>
      <c r="AF345" s="6">
        <v>0</v>
      </c>
      <c r="AG345" s="6">
        <v>0</v>
      </c>
      <c r="AH345" s="6">
        <v>0</v>
      </c>
      <c r="AI345" s="6">
        <v>0</v>
      </c>
      <c r="AJ345" s="6">
        <v>0</v>
      </c>
      <c r="AK345" s="6">
        <v>0</v>
      </c>
      <c r="AL345" s="6">
        <v>0</v>
      </c>
      <c r="AM345" s="6">
        <v>0</v>
      </c>
      <c r="AN345" s="6">
        <v>0</v>
      </c>
      <c r="AO345" s="6">
        <v>0</v>
      </c>
      <c r="AP345" s="6">
        <v>0</v>
      </c>
      <c r="AQ345" s="6">
        <v>0</v>
      </c>
      <c r="AR345" s="6">
        <v>0</v>
      </c>
      <c r="AS345" s="6">
        <v>0</v>
      </c>
      <c r="AW345" s="2"/>
    </row>
    <row r="346" spans="1:49" x14ac:dyDescent="0.25">
      <c r="A346" s="6" t="s">
        <v>748</v>
      </c>
      <c r="B346" s="6" t="s">
        <v>620</v>
      </c>
      <c r="C346" s="6"/>
      <c r="D346" s="6" t="s">
        <v>422</v>
      </c>
      <c r="E346" s="6" t="s">
        <v>869</v>
      </c>
      <c r="G346" s="6"/>
      <c r="H346" s="6" t="s">
        <v>29</v>
      </c>
      <c r="I346" s="9">
        <v>1</v>
      </c>
      <c r="J346" s="9">
        <v>0.5</v>
      </c>
      <c r="K346" s="9">
        <v>1.5</v>
      </c>
      <c r="L346" s="6">
        <v>0</v>
      </c>
      <c r="M346" s="6">
        <v>2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1</v>
      </c>
      <c r="AE346" s="6">
        <v>0</v>
      </c>
      <c r="AF346" s="6">
        <v>0</v>
      </c>
      <c r="AG346" s="6">
        <v>0</v>
      </c>
      <c r="AH346" s="6">
        <v>0</v>
      </c>
      <c r="AI346" s="6">
        <v>0</v>
      </c>
      <c r="AJ346" s="6">
        <v>0</v>
      </c>
      <c r="AK346" s="6">
        <v>0</v>
      </c>
      <c r="AL346" s="6">
        <v>0</v>
      </c>
      <c r="AM346" s="6">
        <v>0</v>
      </c>
      <c r="AN346" s="6">
        <v>0</v>
      </c>
      <c r="AO346" s="6">
        <v>0</v>
      </c>
      <c r="AP346" s="6">
        <v>0</v>
      </c>
      <c r="AQ346" s="6">
        <v>0</v>
      </c>
      <c r="AR346" s="6">
        <v>0</v>
      </c>
      <c r="AS346" s="6">
        <v>0</v>
      </c>
      <c r="AW346" s="2"/>
    </row>
    <row r="347" spans="1:49" x14ac:dyDescent="0.25">
      <c r="A347" s="6" t="s">
        <v>748</v>
      </c>
      <c r="B347" s="6" t="s">
        <v>621</v>
      </c>
      <c r="C347" s="6"/>
      <c r="D347" s="6" t="s">
        <v>422</v>
      </c>
      <c r="E347" s="6" t="s">
        <v>874</v>
      </c>
      <c r="G347" s="6"/>
      <c r="H347" s="6" t="s">
        <v>29</v>
      </c>
      <c r="I347" s="9">
        <v>1.5</v>
      </c>
      <c r="J347" s="9">
        <v>0.5</v>
      </c>
      <c r="K347" s="9">
        <v>2</v>
      </c>
      <c r="L347" s="6">
        <v>0</v>
      </c>
      <c r="M347" s="6">
        <v>3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  <c r="AC347" s="6">
        <v>0</v>
      </c>
      <c r="AD347" s="6">
        <v>1</v>
      </c>
      <c r="AE347" s="6">
        <v>0</v>
      </c>
      <c r="AF347" s="6">
        <v>0</v>
      </c>
      <c r="AG347" s="6">
        <v>0</v>
      </c>
      <c r="AH347" s="6">
        <v>0</v>
      </c>
      <c r="AI347" s="6">
        <v>0</v>
      </c>
      <c r="AJ347" s="6">
        <v>0</v>
      </c>
      <c r="AK347" s="6">
        <v>0</v>
      </c>
      <c r="AL347" s="6">
        <v>0</v>
      </c>
      <c r="AM347" s="6">
        <v>0</v>
      </c>
      <c r="AN347" s="6">
        <v>0</v>
      </c>
      <c r="AO347" s="6">
        <v>0</v>
      </c>
      <c r="AP347" s="6">
        <v>0</v>
      </c>
      <c r="AQ347" s="6">
        <v>0</v>
      </c>
      <c r="AR347" s="6">
        <v>0</v>
      </c>
      <c r="AS347" s="6">
        <v>0</v>
      </c>
      <c r="AW347" s="2"/>
    </row>
    <row r="348" spans="1:49" x14ac:dyDescent="0.25">
      <c r="A348" s="6" t="s">
        <v>748</v>
      </c>
      <c r="B348" s="6" t="s">
        <v>622</v>
      </c>
      <c r="C348" s="14">
        <v>45034</v>
      </c>
      <c r="D348" s="6" t="s">
        <v>755</v>
      </c>
      <c r="E348" s="6" t="s">
        <v>875</v>
      </c>
      <c r="G348" s="6"/>
      <c r="H348" s="6" t="s">
        <v>29</v>
      </c>
      <c r="I348" s="9">
        <v>0.5</v>
      </c>
      <c r="J348" s="9">
        <v>2</v>
      </c>
      <c r="K348" s="9">
        <v>2.5</v>
      </c>
      <c r="L348" s="6">
        <v>0</v>
      </c>
      <c r="M348" s="6">
        <v>1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4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6">
        <v>0</v>
      </c>
      <c r="AL348" s="6">
        <v>0</v>
      </c>
      <c r="AM348" s="6">
        <v>0</v>
      </c>
      <c r="AN348" s="6">
        <v>0</v>
      </c>
      <c r="AO348" s="6">
        <v>0</v>
      </c>
      <c r="AP348" s="6">
        <v>0</v>
      </c>
      <c r="AQ348" s="6">
        <v>0</v>
      </c>
      <c r="AR348" s="6">
        <v>0</v>
      </c>
      <c r="AS348" s="6">
        <v>0</v>
      </c>
      <c r="AW348" s="2"/>
    </row>
    <row r="349" spans="1:49" x14ac:dyDescent="0.25">
      <c r="A349" s="6" t="s">
        <v>748</v>
      </c>
      <c r="B349" s="6" t="s">
        <v>623</v>
      </c>
      <c r="C349" s="6"/>
      <c r="D349" s="6" t="s">
        <v>422</v>
      </c>
      <c r="E349" s="6" t="s">
        <v>876</v>
      </c>
      <c r="G349" s="6"/>
      <c r="H349" s="6"/>
      <c r="I349" s="9">
        <v>1.25</v>
      </c>
      <c r="J349" s="9">
        <v>2</v>
      </c>
      <c r="K349" s="9">
        <v>3.25</v>
      </c>
      <c r="L349" s="6">
        <v>0</v>
      </c>
      <c r="M349" s="6">
        <v>1</v>
      </c>
      <c r="N349" s="6">
        <v>1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6">
        <v>0</v>
      </c>
      <c r="AC349" s="6">
        <v>0</v>
      </c>
      <c r="AD349" s="6">
        <v>4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6">
        <v>0</v>
      </c>
      <c r="AK349" s="6">
        <v>0</v>
      </c>
      <c r="AL349" s="6">
        <v>0</v>
      </c>
      <c r="AM349" s="6">
        <v>0</v>
      </c>
      <c r="AN349" s="6">
        <v>0</v>
      </c>
      <c r="AO349" s="6">
        <v>0</v>
      </c>
      <c r="AP349" s="6">
        <v>0</v>
      </c>
      <c r="AQ349" s="6">
        <v>0</v>
      </c>
      <c r="AR349" s="6">
        <v>0</v>
      </c>
      <c r="AS349" s="6">
        <v>0</v>
      </c>
      <c r="AW349" s="2"/>
    </row>
    <row r="350" spans="1:49" x14ac:dyDescent="0.25">
      <c r="A350" s="6" t="s">
        <v>748</v>
      </c>
      <c r="B350" s="6" t="s">
        <v>624</v>
      </c>
      <c r="C350" s="14">
        <v>45057</v>
      </c>
      <c r="D350" s="6" t="s">
        <v>755</v>
      </c>
      <c r="E350" s="6" t="s">
        <v>390</v>
      </c>
      <c r="G350" s="6"/>
      <c r="H350" s="6" t="s">
        <v>29</v>
      </c>
      <c r="I350" s="9">
        <v>1.25</v>
      </c>
      <c r="J350" s="9">
        <v>2.5</v>
      </c>
      <c r="K350" s="9">
        <v>3.75</v>
      </c>
      <c r="L350" s="6">
        <v>0</v>
      </c>
      <c r="M350" s="6">
        <v>1</v>
      </c>
      <c r="N350" s="6">
        <v>1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2</v>
      </c>
      <c r="AE350" s="6">
        <v>0</v>
      </c>
      <c r="AF350" s="6">
        <v>0</v>
      </c>
      <c r="AG350" s="6">
        <v>1</v>
      </c>
      <c r="AH350" s="6">
        <v>0</v>
      </c>
      <c r="AI350" s="6">
        <v>0</v>
      </c>
      <c r="AJ350" s="6">
        <v>0</v>
      </c>
      <c r="AK350" s="6">
        <v>0</v>
      </c>
      <c r="AL350" s="6">
        <v>0</v>
      </c>
      <c r="AM350" s="6">
        <v>0</v>
      </c>
      <c r="AN350" s="6">
        <v>0</v>
      </c>
      <c r="AO350" s="6">
        <v>0</v>
      </c>
      <c r="AP350" s="6">
        <v>0</v>
      </c>
      <c r="AQ350" s="6">
        <v>0</v>
      </c>
      <c r="AR350" s="6">
        <v>0</v>
      </c>
      <c r="AS350" s="6">
        <v>0</v>
      </c>
      <c r="AW350" s="2"/>
    </row>
    <row r="351" spans="1:49" x14ac:dyDescent="0.25">
      <c r="A351" s="6" t="s">
        <v>748</v>
      </c>
      <c r="B351" s="6" t="s">
        <v>625</v>
      </c>
      <c r="C351" s="6"/>
      <c r="D351" s="6" t="s">
        <v>422</v>
      </c>
      <c r="E351" s="6" t="s">
        <v>416</v>
      </c>
      <c r="G351" s="6"/>
      <c r="H351" s="6"/>
      <c r="I351" s="9">
        <v>1.5</v>
      </c>
      <c r="J351" s="9">
        <v>2</v>
      </c>
      <c r="K351" s="9">
        <v>3.5</v>
      </c>
      <c r="L351" s="6">
        <v>0</v>
      </c>
      <c r="M351" s="6">
        <v>0</v>
      </c>
      <c r="N351" s="6">
        <v>0</v>
      </c>
      <c r="O351" s="6">
        <v>0</v>
      </c>
      <c r="P351" s="6">
        <v>1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1</v>
      </c>
      <c r="AE351" s="6">
        <v>0</v>
      </c>
      <c r="AF351" s="6">
        <v>0</v>
      </c>
      <c r="AG351" s="6">
        <v>1</v>
      </c>
      <c r="AH351" s="6">
        <v>0</v>
      </c>
      <c r="AI351" s="6">
        <v>0</v>
      </c>
      <c r="AJ351" s="6">
        <v>0</v>
      </c>
      <c r="AK351" s="6">
        <v>0</v>
      </c>
      <c r="AL351" s="6">
        <v>0</v>
      </c>
      <c r="AM351" s="6">
        <v>0</v>
      </c>
      <c r="AN351" s="6">
        <v>0</v>
      </c>
      <c r="AO351" s="6">
        <v>0</v>
      </c>
      <c r="AP351" s="6">
        <v>0</v>
      </c>
      <c r="AQ351" s="6">
        <v>0</v>
      </c>
      <c r="AR351" s="6">
        <v>0</v>
      </c>
      <c r="AS351" s="6">
        <v>0</v>
      </c>
      <c r="AW351" s="2"/>
    </row>
    <row r="352" spans="1:49" x14ac:dyDescent="0.25">
      <c r="A352" s="6" t="s">
        <v>748</v>
      </c>
      <c r="B352" s="6" t="s">
        <v>626</v>
      </c>
      <c r="C352" s="6"/>
      <c r="D352" s="6" t="s">
        <v>422</v>
      </c>
      <c r="E352" s="6" t="s">
        <v>877</v>
      </c>
      <c r="G352" s="6"/>
      <c r="H352" s="6"/>
      <c r="I352" s="9">
        <v>2</v>
      </c>
      <c r="J352" s="9">
        <v>2.35</v>
      </c>
      <c r="K352" s="9">
        <v>4.3499999999999996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1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1</v>
      </c>
      <c r="AD352" s="6">
        <v>1</v>
      </c>
      <c r="AE352" s="6">
        <v>0</v>
      </c>
      <c r="AF352" s="6">
        <v>0</v>
      </c>
      <c r="AG352" s="6">
        <v>1</v>
      </c>
      <c r="AH352" s="6">
        <v>0</v>
      </c>
      <c r="AI352" s="6">
        <v>0</v>
      </c>
      <c r="AJ352" s="6">
        <v>0</v>
      </c>
      <c r="AK352" s="6">
        <v>0</v>
      </c>
      <c r="AL352" s="6">
        <v>0</v>
      </c>
      <c r="AM352" s="6">
        <v>0</v>
      </c>
      <c r="AN352" s="6">
        <v>0</v>
      </c>
      <c r="AO352" s="6">
        <v>0</v>
      </c>
      <c r="AP352" s="6">
        <v>0</v>
      </c>
      <c r="AQ352" s="6">
        <v>0</v>
      </c>
      <c r="AR352" s="6">
        <v>0</v>
      </c>
      <c r="AS352" s="6">
        <v>0</v>
      </c>
      <c r="AW352" s="2"/>
    </row>
    <row r="353" spans="1:49" x14ac:dyDescent="0.2">
      <c r="A353" s="6" t="s">
        <v>749</v>
      </c>
      <c r="B353" s="12" t="s">
        <v>627</v>
      </c>
      <c r="C353" s="14">
        <v>45854</v>
      </c>
      <c r="D353" s="6" t="s">
        <v>422</v>
      </c>
      <c r="E353" s="6" t="s">
        <v>409</v>
      </c>
      <c r="G353" s="6"/>
      <c r="H353" s="6" t="s">
        <v>29</v>
      </c>
      <c r="I353" s="9">
        <v>0.7</v>
      </c>
      <c r="J353" s="9">
        <v>0.7</v>
      </c>
      <c r="K353" s="9">
        <v>1.4</v>
      </c>
      <c r="L353" s="6">
        <v>2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2</v>
      </c>
      <c r="AD353" s="6">
        <v>0</v>
      </c>
      <c r="AE353" s="6">
        <v>0</v>
      </c>
      <c r="AF353" s="6">
        <v>0</v>
      </c>
      <c r="AG353" s="6">
        <v>0</v>
      </c>
      <c r="AH353" s="6">
        <v>0</v>
      </c>
      <c r="AI353" s="6">
        <v>0</v>
      </c>
      <c r="AJ353" s="6">
        <v>0</v>
      </c>
      <c r="AK353" s="6">
        <v>0</v>
      </c>
      <c r="AL353" s="6">
        <v>0</v>
      </c>
      <c r="AM353" s="6">
        <v>0</v>
      </c>
      <c r="AN353" s="6">
        <v>0</v>
      </c>
      <c r="AO353" s="6">
        <v>0</v>
      </c>
      <c r="AP353" s="6">
        <v>0</v>
      </c>
      <c r="AQ353" s="6">
        <v>0</v>
      </c>
      <c r="AR353" s="6">
        <v>0</v>
      </c>
      <c r="AS353" s="6">
        <v>0</v>
      </c>
      <c r="AW353" s="2"/>
    </row>
    <row r="354" spans="1:49" x14ac:dyDescent="0.25">
      <c r="A354" s="6" t="s">
        <v>748</v>
      </c>
      <c r="B354" s="6" t="s">
        <v>628</v>
      </c>
      <c r="C354" s="6"/>
      <c r="D354" s="6" t="s">
        <v>422</v>
      </c>
      <c r="E354" s="6" t="s">
        <v>410</v>
      </c>
      <c r="G354" s="6"/>
      <c r="H354" s="6" t="s">
        <v>29</v>
      </c>
      <c r="I354" s="9">
        <v>1.2</v>
      </c>
      <c r="J354" s="9">
        <v>1</v>
      </c>
      <c r="K354" s="9">
        <v>2.2000000000000002</v>
      </c>
      <c r="L354" s="6">
        <v>2</v>
      </c>
      <c r="M354" s="6">
        <v>1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1</v>
      </c>
      <c r="AG354" s="6">
        <v>0</v>
      </c>
      <c r="AH354" s="6">
        <v>0</v>
      </c>
      <c r="AI354" s="6">
        <v>0</v>
      </c>
      <c r="AJ354" s="6">
        <v>0</v>
      </c>
      <c r="AK354" s="6">
        <v>0</v>
      </c>
      <c r="AL354" s="6">
        <v>0</v>
      </c>
      <c r="AM354" s="6">
        <v>0</v>
      </c>
      <c r="AN354" s="6">
        <v>0</v>
      </c>
      <c r="AO354" s="6">
        <v>0</v>
      </c>
      <c r="AP354" s="6">
        <v>0</v>
      </c>
      <c r="AQ354" s="6">
        <v>0</v>
      </c>
      <c r="AR354" s="6">
        <v>0</v>
      </c>
      <c r="AS354" s="6">
        <v>0</v>
      </c>
      <c r="AW354" s="2"/>
    </row>
    <row r="355" spans="1:49" x14ac:dyDescent="0.25">
      <c r="A355" s="6" t="s">
        <v>750</v>
      </c>
      <c r="B355" s="6" t="s">
        <v>629</v>
      </c>
      <c r="C355" s="6"/>
      <c r="D355" s="6"/>
      <c r="E355" s="6"/>
      <c r="G355" s="6" t="s">
        <v>423</v>
      </c>
      <c r="H355" s="6"/>
      <c r="I355" s="9"/>
      <c r="J355" s="9"/>
      <c r="K355" s="9">
        <v>4.75</v>
      </c>
      <c r="L355" s="6">
        <v>0</v>
      </c>
      <c r="M355" s="6">
        <v>5</v>
      </c>
      <c r="N355" s="6">
        <v>3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W355" s="2"/>
    </row>
    <row r="356" spans="1:49" x14ac:dyDescent="0.25">
      <c r="A356" s="6" t="s">
        <v>750</v>
      </c>
      <c r="B356" s="6" t="s">
        <v>630</v>
      </c>
      <c r="C356" s="6"/>
      <c r="D356" s="6"/>
      <c r="E356" s="6"/>
      <c r="G356" s="6" t="s">
        <v>423</v>
      </c>
      <c r="H356" s="6"/>
      <c r="I356" s="9"/>
      <c r="J356" s="9"/>
      <c r="K356" s="9">
        <v>4</v>
      </c>
      <c r="L356" s="6">
        <v>0</v>
      </c>
      <c r="M356" s="6">
        <v>5</v>
      </c>
      <c r="N356" s="6">
        <v>2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W356" s="2"/>
    </row>
    <row r="357" spans="1:49" x14ac:dyDescent="0.25">
      <c r="A357" s="6" t="s">
        <v>750</v>
      </c>
      <c r="B357" s="6" t="s">
        <v>631</v>
      </c>
      <c r="C357" s="6"/>
      <c r="D357" s="6"/>
      <c r="E357" s="6"/>
      <c r="G357" s="6" t="s">
        <v>424</v>
      </c>
      <c r="H357" s="6"/>
      <c r="I357" s="9"/>
      <c r="J357" s="9"/>
      <c r="K357" s="9">
        <v>4.95</v>
      </c>
      <c r="L357" s="6">
        <v>2</v>
      </c>
      <c r="M357" s="6">
        <v>2</v>
      </c>
      <c r="N357" s="6">
        <v>1</v>
      </c>
      <c r="O357" s="6">
        <v>0</v>
      </c>
      <c r="P357" s="6">
        <v>0</v>
      </c>
      <c r="Q357" s="6">
        <v>0</v>
      </c>
      <c r="R357" s="6">
        <v>1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W357" s="2"/>
    </row>
    <row r="358" spans="1:49" x14ac:dyDescent="0.25">
      <c r="A358" s="6" t="s">
        <v>750</v>
      </c>
      <c r="B358" s="6" t="s">
        <v>632</v>
      </c>
      <c r="C358" s="6"/>
      <c r="D358" s="6"/>
      <c r="E358" s="6"/>
      <c r="G358" s="6" t="s">
        <v>425</v>
      </c>
      <c r="H358" s="6"/>
      <c r="I358" s="9"/>
      <c r="J358" s="9"/>
      <c r="K358" s="9">
        <v>3.35</v>
      </c>
      <c r="L358" s="6">
        <v>1</v>
      </c>
      <c r="M358" s="6">
        <v>2</v>
      </c>
      <c r="N358" s="6">
        <v>0</v>
      </c>
      <c r="O358" s="6">
        <v>2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W358" s="2"/>
    </row>
    <row r="359" spans="1:49" x14ac:dyDescent="0.25">
      <c r="A359" s="6" t="s">
        <v>750</v>
      </c>
      <c r="B359" s="6" t="s">
        <v>633</v>
      </c>
      <c r="C359" s="6"/>
      <c r="D359" s="6"/>
      <c r="E359" s="6"/>
      <c r="G359" s="6" t="s">
        <v>425</v>
      </c>
      <c r="H359" s="6"/>
      <c r="I359" s="9"/>
      <c r="J359" s="9"/>
      <c r="K359" s="9">
        <v>2.75</v>
      </c>
      <c r="L359" s="6">
        <v>0</v>
      </c>
      <c r="M359" s="6">
        <v>4</v>
      </c>
      <c r="N359" s="6">
        <v>1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W359" s="2"/>
    </row>
    <row r="360" spans="1:49" x14ac:dyDescent="0.25">
      <c r="A360" s="6" t="s">
        <v>750</v>
      </c>
      <c r="B360" s="6" t="s">
        <v>634</v>
      </c>
      <c r="C360" s="6"/>
      <c r="D360" s="6"/>
      <c r="E360" s="6"/>
      <c r="G360" s="6" t="s">
        <v>425</v>
      </c>
      <c r="H360" s="6"/>
      <c r="I360" s="9"/>
      <c r="J360" s="9"/>
      <c r="K360" s="9">
        <v>2</v>
      </c>
      <c r="L360" s="6">
        <v>0</v>
      </c>
      <c r="M360" s="6">
        <v>4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W360" s="2"/>
    </row>
    <row r="361" spans="1:49" x14ac:dyDescent="0.25">
      <c r="A361" s="6" t="s">
        <v>750</v>
      </c>
      <c r="B361" s="6" t="s">
        <v>635</v>
      </c>
      <c r="C361" s="6"/>
      <c r="D361" s="6"/>
      <c r="E361" s="6"/>
      <c r="G361" s="6" t="s">
        <v>424</v>
      </c>
      <c r="H361" s="6"/>
      <c r="I361" s="9"/>
      <c r="J361" s="9"/>
      <c r="K361" s="9">
        <v>4</v>
      </c>
      <c r="L361" s="6">
        <v>0</v>
      </c>
      <c r="M361" s="6">
        <v>3</v>
      </c>
      <c r="N361" s="6">
        <v>0</v>
      </c>
      <c r="O361" s="6">
        <v>0</v>
      </c>
      <c r="P361" s="6">
        <v>0</v>
      </c>
      <c r="Q361" s="6">
        <v>0</v>
      </c>
      <c r="R361" s="6">
        <v>1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W361" s="2"/>
    </row>
    <row r="362" spans="1:49" x14ac:dyDescent="0.25">
      <c r="A362" s="6" t="s">
        <v>750</v>
      </c>
      <c r="B362" s="6" t="s">
        <v>636</v>
      </c>
      <c r="C362" s="6"/>
      <c r="D362" s="6"/>
      <c r="E362" s="6"/>
      <c r="G362" s="6" t="s">
        <v>426</v>
      </c>
      <c r="H362" s="6"/>
      <c r="I362" s="9"/>
      <c r="J362" s="9"/>
      <c r="K362" s="9">
        <v>1.75</v>
      </c>
      <c r="L362" s="6">
        <v>0</v>
      </c>
      <c r="M362" s="6">
        <v>2</v>
      </c>
      <c r="N362" s="6">
        <v>1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W362" s="2"/>
    </row>
    <row r="363" spans="1:49" x14ac:dyDescent="0.25">
      <c r="A363" s="6" t="s">
        <v>750</v>
      </c>
      <c r="B363" s="6" t="s">
        <v>637</v>
      </c>
      <c r="C363" s="6"/>
      <c r="D363" s="6"/>
      <c r="E363" s="6"/>
      <c r="G363" s="6" t="s">
        <v>427</v>
      </c>
      <c r="H363" s="6"/>
      <c r="I363" s="9"/>
      <c r="J363" s="9"/>
      <c r="K363" s="9">
        <v>2</v>
      </c>
      <c r="L363" s="6">
        <v>0</v>
      </c>
      <c r="M363" s="6">
        <v>2</v>
      </c>
      <c r="N363" s="6">
        <v>0</v>
      </c>
      <c r="O363" s="6">
        <v>1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W363" s="2"/>
    </row>
    <row r="364" spans="1:49" x14ac:dyDescent="0.25">
      <c r="A364" s="6" t="s">
        <v>750</v>
      </c>
      <c r="B364" s="6" t="s">
        <v>638</v>
      </c>
      <c r="C364" s="6"/>
      <c r="D364" s="6"/>
      <c r="E364" s="6"/>
      <c r="G364" s="6" t="s">
        <v>427</v>
      </c>
      <c r="H364" s="6"/>
      <c r="I364" s="9"/>
      <c r="J364" s="9"/>
      <c r="K364" s="9">
        <v>2.25</v>
      </c>
      <c r="L364" s="6">
        <v>0</v>
      </c>
      <c r="M364" s="6">
        <v>0</v>
      </c>
      <c r="N364" s="6">
        <v>3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W364" s="2"/>
    </row>
    <row r="365" spans="1:49" x14ac:dyDescent="0.25">
      <c r="A365" s="6" t="s">
        <v>750</v>
      </c>
      <c r="B365" s="6" t="s">
        <v>639</v>
      </c>
      <c r="C365" s="6"/>
      <c r="D365" s="6"/>
      <c r="E365" s="6"/>
      <c r="G365" s="6" t="s">
        <v>428</v>
      </c>
      <c r="H365" s="6"/>
      <c r="I365" s="9"/>
      <c r="J365" s="9"/>
      <c r="K365" s="9">
        <v>1.5</v>
      </c>
      <c r="L365" s="6">
        <v>0</v>
      </c>
      <c r="M365" s="6">
        <v>3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W365" s="2"/>
    </row>
    <row r="366" spans="1:49" x14ac:dyDescent="0.25">
      <c r="A366" s="6" t="s">
        <v>750</v>
      </c>
      <c r="B366" s="6" t="s">
        <v>640</v>
      </c>
      <c r="C366" s="6"/>
      <c r="D366" s="6"/>
      <c r="E366" s="6"/>
      <c r="G366" s="6" t="s">
        <v>424</v>
      </c>
      <c r="H366" s="6"/>
      <c r="I366" s="9"/>
      <c r="J366" s="9"/>
      <c r="K366" s="9">
        <v>4.25</v>
      </c>
      <c r="L366" s="6">
        <v>0</v>
      </c>
      <c r="M366" s="6">
        <v>0</v>
      </c>
      <c r="N366" s="6">
        <v>1</v>
      </c>
      <c r="O366" s="6">
        <v>1</v>
      </c>
      <c r="P366" s="6">
        <v>0</v>
      </c>
      <c r="Q366" s="6">
        <v>0</v>
      </c>
      <c r="R366" s="6">
        <v>1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W366" s="2"/>
    </row>
    <row r="367" spans="1:49" x14ac:dyDescent="0.25">
      <c r="A367" s="6" t="s">
        <v>750</v>
      </c>
      <c r="B367" s="6" t="s">
        <v>641</v>
      </c>
      <c r="C367" s="6"/>
      <c r="D367" s="6"/>
      <c r="E367" s="6"/>
      <c r="G367" s="6" t="s">
        <v>426</v>
      </c>
      <c r="H367" s="6"/>
      <c r="I367" s="9"/>
      <c r="J367" s="9"/>
      <c r="K367" s="9">
        <v>1.0499999999999998</v>
      </c>
      <c r="L367" s="6">
        <v>3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W367" s="2"/>
    </row>
    <row r="368" spans="1:49" x14ac:dyDescent="0.25">
      <c r="A368" s="6" t="s">
        <v>750</v>
      </c>
      <c r="B368" s="6" t="s">
        <v>642</v>
      </c>
      <c r="C368" s="6"/>
      <c r="D368" s="6"/>
      <c r="E368" s="6"/>
      <c r="G368" s="6" t="s">
        <v>425</v>
      </c>
      <c r="H368" s="6"/>
      <c r="I368" s="9"/>
      <c r="J368" s="9"/>
      <c r="K368" s="9">
        <v>3.5</v>
      </c>
      <c r="L368" s="6">
        <v>0</v>
      </c>
      <c r="M368" s="6">
        <v>1</v>
      </c>
      <c r="N368" s="6">
        <v>0</v>
      </c>
      <c r="O368" s="6">
        <v>0</v>
      </c>
      <c r="P368" s="6">
        <v>2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W368" s="2"/>
    </row>
    <row r="369" spans="1:49" x14ac:dyDescent="0.25">
      <c r="A369" s="6" t="s">
        <v>750</v>
      </c>
      <c r="B369" s="6" t="s">
        <v>643</v>
      </c>
      <c r="C369" s="6"/>
      <c r="D369" s="6"/>
      <c r="E369" s="6"/>
      <c r="G369" s="6" t="s">
        <v>427</v>
      </c>
      <c r="H369" s="6"/>
      <c r="I369" s="9"/>
      <c r="J369" s="9"/>
      <c r="K369" s="9">
        <v>2</v>
      </c>
      <c r="L369" s="6">
        <v>0</v>
      </c>
      <c r="M369" s="6">
        <v>1</v>
      </c>
      <c r="N369" s="6">
        <v>0</v>
      </c>
      <c r="O369" s="6">
        <v>0</v>
      </c>
      <c r="P369" s="6">
        <v>1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W369" s="2"/>
    </row>
    <row r="370" spans="1:49" x14ac:dyDescent="0.25">
      <c r="A370" s="6" t="s">
        <v>750</v>
      </c>
      <c r="B370" s="6" t="s">
        <v>644</v>
      </c>
      <c r="C370" s="6"/>
      <c r="D370" s="6"/>
      <c r="E370" s="6"/>
      <c r="G370" s="6" t="s">
        <v>424</v>
      </c>
      <c r="H370" s="6"/>
      <c r="I370" s="9"/>
      <c r="J370" s="9"/>
      <c r="K370" s="9">
        <v>4</v>
      </c>
      <c r="L370" s="6">
        <v>0</v>
      </c>
      <c r="M370" s="6">
        <v>0</v>
      </c>
      <c r="N370" s="6">
        <v>0</v>
      </c>
      <c r="O370" s="6">
        <v>0</v>
      </c>
      <c r="P370" s="6">
        <v>1</v>
      </c>
      <c r="Q370" s="6">
        <v>0</v>
      </c>
      <c r="R370" s="6">
        <v>1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W370" s="2"/>
    </row>
    <row r="371" spans="1:49" x14ac:dyDescent="0.25">
      <c r="A371" s="6" t="s">
        <v>750</v>
      </c>
      <c r="B371" s="6" t="s">
        <v>645</v>
      </c>
      <c r="C371" s="6"/>
      <c r="D371" s="6"/>
      <c r="E371" s="6"/>
      <c r="G371" s="6" t="s">
        <v>426</v>
      </c>
      <c r="H371" s="6"/>
      <c r="I371" s="9"/>
      <c r="J371" s="9"/>
      <c r="K371" s="9">
        <v>1.5</v>
      </c>
      <c r="L371" s="6">
        <v>0</v>
      </c>
      <c r="M371" s="6">
        <v>1</v>
      </c>
      <c r="N371" s="6">
        <v>0</v>
      </c>
      <c r="O371" s="6">
        <v>1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W371" s="2"/>
    </row>
    <row r="372" spans="1:49" x14ac:dyDescent="0.25">
      <c r="A372" s="6" t="s">
        <v>750</v>
      </c>
      <c r="B372" s="6" t="s">
        <v>646</v>
      </c>
      <c r="C372" s="6"/>
      <c r="D372" s="6"/>
      <c r="E372" s="6"/>
      <c r="G372" s="6" t="s">
        <v>429</v>
      </c>
      <c r="H372" s="6"/>
      <c r="I372" s="9"/>
      <c r="J372" s="9"/>
      <c r="K372" s="9">
        <v>0.7</v>
      </c>
      <c r="L372" s="6">
        <v>2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W372" s="2"/>
    </row>
    <row r="373" spans="1:49" x14ac:dyDescent="0.25">
      <c r="A373" s="6" t="s">
        <v>750</v>
      </c>
      <c r="B373" s="6" t="s">
        <v>647</v>
      </c>
      <c r="C373" s="6"/>
      <c r="D373" s="6"/>
      <c r="E373" s="6"/>
      <c r="G373" s="6" t="s">
        <v>426</v>
      </c>
      <c r="H373" s="6"/>
      <c r="I373" s="9"/>
      <c r="J373" s="9"/>
      <c r="K373" s="9">
        <v>1</v>
      </c>
      <c r="L373" s="6">
        <v>0</v>
      </c>
      <c r="M373" s="6">
        <v>2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0</v>
      </c>
      <c r="AB373" s="6">
        <v>0</v>
      </c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W373" s="2"/>
    </row>
    <row r="374" spans="1:49" x14ac:dyDescent="0.25">
      <c r="A374" s="6" t="s">
        <v>750</v>
      </c>
      <c r="B374" s="6" t="s">
        <v>648</v>
      </c>
      <c r="C374" s="6"/>
      <c r="D374" s="6"/>
      <c r="E374" s="6"/>
      <c r="G374" s="6" t="s">
        <v>425</v>
      </c>
      <c r="H374" s="6"/>
      <c r="I374" s="9"/>
      <c r="J374" s="9"/>
      <c r="K374" s="9">
        <v>3</v>
      </c>
      <c r="L374" s="6">
        <v>0</v>
      </c>
      <c r="M374" s="6">
        <v>0</v>
      </c>
      <c r="N374" s="6">
        <v>0</v>
      </c>
      <c r="O374" s="6">
        <v>0</v>
      </c>
      <c r="P374" s="6">
        <v>2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W374" s="2"/>
    </row>
    <row r="375" spans="1:49" x14ac:dyDescent="0.25">
      <c r="A375" s="6" t="s">
        <v>750</v>
      </c>
      <c r="B375" s="6" t="s">
        <v>649</v>
      </c>
      <c r="C375" s="6"/>
      <c r="D375" s="6"/>
      <c r="E375" s="6"/>
      <c r="G375" s="6" t="s">
        <v>426</v>
      </c>
      <c r="H375" s="6"/>
      <c r="I375" s="9"/>
      <c r="J375" s="9"/>
      <c r="K375" s="9">
        <v>1.25</v>
      </c>
      <c r="L375" s="6">
        <v>0</v>
      </c>
      <c r="M375" s="6">
        <v>1</v>
      </c>
      <c r="N375" s="6">
        <v>1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W375" s="2"/>
    </row>
    <row r="376" spans="1:49" x14ac:dyDescent="0.25">
      <c r="A376" s="6" t="s">
        <v>750</v>
      </c>
      <c r="B376" s="6" t="s">
        <v>650</v>
      </c>
      <c r="C376" s="6"/>
      <c r="D376" s="6"/>
      <c r="E376" s="6"/>
      <c r="G376" s="6" t="s">
        <v>427</v>
      </c>
      <c r="H376" s="6"/>
      <c r="I376" s="9"/>
      <c r="J376" s="9"/>
      <c r="K376" s="9">
        <v>2.5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1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W376" s="2"/>
    </row>
    <row r="377" spans="1:49" x14ac:dyDescent="0.25">
      <c r="A377" s="6" t="s">
        <v>750</v>
      </c>
      <c r="B377" s="6" t="s">
        <v>651</v>
      </c>
      <c r="C377" s="6"/>
      <c r="D377" s="6"/>
      <c r="E377" s="6"/>
      <c r="G377" s="6" t="s">
        <v>429</v>
      </c>
      <c r="H377" s="6"/>
      <c r="I377" s="9"/>
      <c r="J377" s="9"/>
      <c r="K377" s="9">
        <v>0.75</v>
      </c>
      <c r="L377" s="6">
        <v>0</v>
      </c>
      <c r="M377" s="6">
        <v>0</v>
      </c>
      <c r="N377" s="6">
        <v>1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W377" s="2"/>
    </row>
    <row r="378" spans="1:49" x14ac:dyDescent="0.25">
      <c r="A378" s="6" t="s">
        <v>750</v>
      </c>
      <c r="B378" s="6" t="s">
        <v>652</v>
      </c>
      <c r="C378" s="6"/>
      <c r="D378" s="6"/>
      <c r="E378" s="6"/>
      <c r="G378" s="6" t="s">
        <v>429</v>
      </c>
      <c r="H378" s="6"/>
      <c r="I378" s="9"/>
      <c r="J378" s="9"/>
      <c r="K378" s="9">
        <v>0.5</v>
      </c>
      <c r="L378" s="6">
        <v>0</v>
      </c>
      <c r="M378" s="6">
        <v>1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W378" s="2"/>
    </row>
    <row r="379" spans="1:49" x14ac:dyDescent="0.25">
      <c r="A379" s="6" t="s">
        <v>750</v>
      </c>
      <c r="B379" s="6" t="s">
        <v>653</v>
      </c>
      <c r="C379" s="6"/>
      <c r="D379" s="6"/>
      <c r="E379" s="6"/>
      <c r="G379" s="6" t="s">
        <v>426</v>
      </c>
      <c r="H379" s="6"/>
      <c r="I379" s="9"/>
      <c r="J379" s="9"/>
      <c r="K379" s="9">
        <v>1</v>
      </c>
      <c r="L379" s="6">
        <v>0</v>
      </c>
      <c r="M379" s="6">
        <v>0</v>
      </c>
      <c r="N379" s="6">
        <v>0</v>
      </c>
      <c r="O379" s="6">
        <v>1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W379" s="2"/>
    </row>
    <row r="380" spans="1:49" x14ac:dyDescent="0.25">
      <c r="A380" s="6" t="s">
        <v>750</v>
      </c>
      <c r="B380" s="6" t="s">
        <v>654</v>
      </c>
      <c r="C380" s="6"/>
      <c r="D380" s="6"/>
      <c r="E380" s="6"/>
      <c r="G380" s="6" t="s">
        <v>426</v>
      </c>
      <c r="H380" s="6"/>
      <c r="I380" s="9"/>
      <c r="J380" s="9"/>
      <c r="K380" s="9">
        <v>1.5</v>
      </c>
      <c r="L380" s="6">
        <v>0</v>
      </c>
      <c r="M380" s="6">
        <v>0</v>
      </c>
      <c r="N380" s="6">
        <v>0</v>
      </c>
      <c r="O380" s="6">
        <v>0</v>
      </c>
      <c r="P380" s="6">
        <v>1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W380" s="2"/>
    </row>
    <row r="381" spans="1:49" x14ac:dyDescent="0.25">
      <c r="A381" s="6" t="s">
        <v>750</v>
      </c>
      <c r="B381" s="6" t="s">
        <v>655</v>
      </c>
      <c r="C381" s="6"/>
      <c r="D381" s="6"/>
      <c r="E381" s="6"/>
      <c r="G381" s="6" t="s">
        <v>430</v>
      </c>
      <c r="H381" s="6"/>
      <c r="I381" s="9"/>
      <c r="J381" s="9"/>
      <c r="K381" s="9">
        <v>6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1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W381" s="2"/>
    </row>
    <row r="382" spans="1:49" x14ac:dyDescent="0.25">
      <c r="A382" s="6" t="s">
        <v>750</v>
      </c>
      <c r="B382" s="6" t="s">
        <v>656</v>
      </c>
      <c r="C382" s="6"/>
      <c r="D382" s="6"/>
      <c r="E382" s="6"/>
      <c r="G382" s="6" t="s">
        <v>429</v>
      </c>
      <c r="H382" s="6"/>
      <c r="I382" s="9"/>
      <c r="J382" s="9"/>
      <c r="K382" s="9">
        <v>0.35</v>
      </c>
      <c r="L382" s="6">
        <v>1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W382" s="2"/>
    </row>
    <row r="383" spans="1:49" x14ac:dyDescent="0.25">
      <c r="A383" s="6" t="s">
        <v>750</v>
      </c>
      <c r="B383" s="6" t="s">
        <v>657</v>
      </c>
      <c r="C383" s="6"/>
      <c r="D383" s="6"/>
      <c r="E383" s="6"/>
      <c r="G383" s="6" t="s">
        <v>430</v>
      </c>
      <c r="H383" s="6"/>
      <c r="I383" s="9"/>
      <c r="J383" s="9"/>
      <c r="K383" s="9">
        <v>10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6">
        <v>1</v>
      </c>
      <c r="Y383" s="6">
        <v>0</v>
      </c>
      <c r="Z383" s="6">
        <v>0</v>
      </c>
      <c r="AA383" s="6">
        <v>0</v>
      </c>
      <c r="AB383" s="6">
        <v>0</v>
      </c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W383" s="2"/>
    </row>
    <row r="384" spans="1:49" x14ac:dyDescent="0.25">
      <c r="A384" s="6" t="s">
        <v>750</v>
      </c>
      <c r="B384" s="6" t="s">
        <v>658</v>
      </c>
      <c r="C384" s="6"/>
      <c r="D384" s="6"/>
      <c r="E384" s="6"/>
      <c r="G384" s="6" t="s">
        <v>431</v>
      </c>
      <c r="H384" s="6"/>
      <c r="I384" s="9"/>
      <c r="J384" s="9"/>
      <c r="K384" s="9">
        <v>6.5</v>
      </c>
      <c r="L384" s="6">
        <v>0</v>
      </c>
      <c r="M384" s="6">
        <v>7</v>
      </c>
      <c r="N384" s="6">
        <v>4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W384" s="2"/>
    </row>
    <row r="385" spans="1:49" x14ac:dyDescent="0.25">
      <c r="A385" s="6" t="s">
        <v>750</v>
      </c>
      <c r="B385" s="6" t="s">
        <v>884</v>
      </c>
      <c r="C385" s="6"/>
      <c r="D385" s="6"/>
      <c r="E385" s="6"/>
      <c r="G385" s="6" t="s">
        <v>431</v>
      </c>
      <c r="H385" s="6"/>
      <c r="I385" s="9"/>
      <c r="J385" s="9"/>
      <c r="K385" s="9">
        <v>9</v>
      </c>
      <c r="L385" s="6">
        <v>0</v>
      </c>
      <c r="M385" s="6">
        <v>6</v>
      </c>
      <c r="N385" s="6">
        <v>0</v>
      </c>
      <c r="O385" s="6">
        <v>0</v>
      </c>
      <c r="P385" s="6">
        <v>4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W385" s="2"/>
    </row>
    <row r="386" spans="1:49" x14ac:dyDescent="0.25">
      <c r="A386" s="6" t="s">
        <v>750</v>
      </c>
      <c r="B386" s="6" t="s">
        <v>884</v>
      </c>
      <c r="C386" s="6"/>
      <c r="D386" s="6"/>
      <c r="E386" s="6"/>
      <c r="G386" s="6" t="s">
        <v>431</v>
      </c>
      <c r="H386" s="6"/>
      <c r="I386" s="9"/>
      <c r="J386" s="9"/>
      <c r="K386" s="9">
        <v>6</v>
      </c>
      <c r="L386" s="6">
        <v>0</v>
      </c>
      <c r="M386" s="6">
        <v>6</v>
      </c>
      <c r="N386" s="6">
        <v>4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W386" s="2"/>
    </row>
    <row r="387" spans="1:49" x14ac:dyDescent="0.25">
      <c r="A387" s="6" t="s">
        <v>750</v>
      </c>
      <c r="B387" s="6" t="s">
        <v>659</v>
      </c>
      <c r="C387" s="6"/>
      <c r="D387" s="6"/>
      <c r="E387" s="6"/>
      <c r="G387" s="6" t="s">
        <v>431</v>
      </c>
      <c r="H387" s="6"/>
      <c r="I387" s="9"/>
      <c r="J387" s="9"/>
      <c r="K387" s="9">
        <v>5.75</v>
      </c>
      <c r="L387" s="6">
        <v>0</v>
      </c>
      <c r="M387" s="6">
        <v>7</v>
      </c>
      <c r="N387" s="6">
        <v>3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W387" s="2"/>
    </row>
    <row r="388" spans="1:49" x14ac:dyDescent="0.25">
      <c r="A388" s="6" t="s">
        <v>750</v>
      </c>
      <c r="B388" s="6" t="s">
        <v>660</v>
      </c>
      <c r="C388" s="6"/>
      <c r="D388" s="6"/>
      <c r="E388" s="6"/>
      <c r="G388" s="6" t="s">
        <v>431</v>
      </c>
      <c r="H388" s="6"/>
      <c r="I388" s="9"/>
      <c r="J388" s="9"/>
      <c r="K388" s="9">
        <v>6.25</v>
      </c>
      <c r="L388" s="6">
        <v>0</v>
      </c>
      <c r="M388" s="6">
        <v>5</v>
      </c>
      <c r="N388" s="6">
        <v>1</v>
      </c>
      <c r="O388" s="6">
        <v>0</v>
      </c>
      <c r="P388" s="6">
        <v>2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W388" s="2"/>
    </row>
    <row r="389" spans="1:49" x14ac:dyDescent="0.25">
      <c r="A389" s="6" t="s">
        <v>750</v>
      </c>
      <c r="B389" s="6" t="s">
        <v>884</v>
      </c>
      <c r="C389" s="6"/>
      <c r="D389" s="6"/>
      <c r="E389" s="6"/>
      <c r="G389" s="6" t="s">
        <v>423</v>
      </c>
      <c r="H389" s="6"/>
      <c r="I389" s="9"/>
      <c r="J389" s="9"/>
      <c r="K389" s="9">
        <v>5.5</v>
      </c>
      <c r="L389" s="6">
        <v>0</v>
      </c>
      <c r="M389" s="6">
        <v>5</v>
      </c>
      <c r="N389" s="6">
        <v>4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W389" s="2"/>
    </row>
    <row r="390" spans="1:49" x14ac:dyDescent="0.25">
      <c r="A390" s="6" t="s">
        <v>750</v>
      </c>
      <c r="B390" s="6" t="s">
        <v>884</v>
      </c>
      <c r="C390" s="6"/>
      <c r="D390" s="6"/>
      <c r="E390" s="6"/>
      <c r="G390" s="6" t="s">
        <v>423</v>
      </c>
      <c r="H390" s="6"/>
      <c r="I390" s="9"/>
      <c r="J390" s="9"/>
      <c r="K390" s="9">
        <v>5.25</v>
      </c>
      <c r="L390" s="6">
        <v>0</v>
      </c>
      <c r="M390" s="6">
        <v>6</v>
      </c>
      <c r="N390" s="6">
        <v>3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W390" s="2"/>
    </row>
    <row r="391" spans="1:49" x14ac:dyDescent="0.25">
      <c r="A391" s="6" t="s">
        <v>750</v>
      </c>
      <c r="B391" s="6" t="s">
        <v>884</v>
      </c>
      <c r="C391" s="6"/>
      <c r="D391" s="6"/>
      <c r="E391" s="6"/>
      <c r="G391" s="6" t="s">
        <v>423</v>
      </c>
      <c r="H391" s="6"/>
      <c r="I391" s="9"/>
      <c r="J391" s="9"/>
      <c r="K391" s="9">
        <v>5</v>
      </c>
      <c r="L391" s="6">
        <v>0</v>
      </c>
      <c r="M391" s="6">
        <v>7</v>
      </c>
      <c r="N391" s="6">
        <v>2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</v>
      </c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W391" s="2"/>
    </row>
    <row r="392" spans="1:49" x14ac:dyDescent="0.25">
      <c r="A392" s="6" t="s">
        <v>750</v>
      </c>
      <c r="B392" s="6" t="s">
        <v>884</v>
      </c>
      <c r="C392" s="6"/>
      <c r="D392" s="6"/>
      <c r="E392" s="6"/>
      <c r="G392" s="6" t="s">
        <v>431</v>
      </c>
      <c r="H392" s="6"/>
      <c r="I392" s="9"/>
      <c r="J392" s="9"/>
      <c r="K392" s="9">
        <v>8</v>
      </c>
      <c r="L392" s="6">
        <v>0</v>
      </c>
      <c r="M392" s="6">
        <v>4</v>
      </c>
      <c r="N392" s="6">
        <v>0</v>
      </c>
      <c r="O392" s="6">
        <v>0</v>
      </c>
      <c r="P392" s="6">
        <v>4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W392" s="2"/>
    </row>
    <row r="393" spans="1:49" x14ac:dyDescent="0.25">
      <c r="A393" s="6" t="s">
        <v>750</v>
      </c>
      <c r="B393" s="6" t="s">
        <v>884</v>
      </c>
      <c r="C393" s="6"/>
      <c r="D393" s="6"/>
      <c r="E393" s="6"/>
      <c r="G393" s="6" t="s">
        <v>423</v>
      </c>
      <c r="H393" s="6"/>
      <c r="I393" s="9"/>
      <c r="J393" s="9"/>
      <c r="K393" s="9">
        <v>5</v>
      </c>
      <c r="L393" s="6">
        <v>0</v>
      </c>
      <c r="M393" s="6">
        <v>4</v>
      </c>
      <c r="N393" s="6">
        <v>4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W393" s="2"/>
    </row>
    <row r="394" spans="1:49" x14ac:dyDescent="0.25">
      <c r="A394" s="6" t="s">
        <v>750</v>
      </c>
      <c r="B394" s="6" t="s">
        <v>884</v>
      </c>
      <c r="C394" s="6"/>
      <c r="D394" s="6"/>
      <c r="E394" s="6"/>
      <c r="G394" s="6" t="s">
        <v>423</v>
      </c>
      <c r="H394" s="6"/>
      <c r="I394" s="9"/>
      <c r="J394" s="9"/>
      <c r="K394" s="9">
        <v>4.5</v>
      </c>
      <c r="L394" s="6">
        <v>0</v>
      </c>
      <c r="M394" s="6">
        <v>6</v>
      </c>
      <c r="N394" s="6">
        <v>2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W394" s="2"/>
    </row>
    <row r="395" spans="1:49" x14ac:dyDescent="0.25">
      <c r="A395" s="6" t="s">
        <v>750</v>
      </c>
      <c r="B395" s="6" t="s">
        <v>661</v>
      </c>
      <c r="C395" s="6"/>
      <c r="D395" s="6"/>
      <c r="E395" s="6"/>
      <c r="G395" s="6" t="s">
        <v>423</v>
      </c>
      <c r="H395" s="6"/>
      <c r="I395" s="9"/>
      <c r="J395" s="9"/>
      <c r="K395" s="9">
        <v>4.05</v>
      </c>
      <c r="L395" s="6">
        <v>3</v>
      </c>
      <c r="M395" s="6">
        <v>2</v>
      </c>
      <c r="N395" s="6">
        <v>0</v>
      </c>
      <c r="O395" s="6">
        <v>2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W395" s="2"/>
    </row>
    <row r="396" spans="1:49" x14ac:dyDescent="0.25">
      <c r="A396" s="6" t="s">
        <v>750</v>
      </c>
      <c r="B396" s="6" t="s">
        <v>884</v>
      </c>
      <c r="C396" s="6"/>
      <c r="D396" s="6"/>
      <c r="E396" s="6"/>
      <c r="G396" s="6" t="s">
        <v>431</v>
      </c>
      <c r="H396" s="6"/>
      <c r="I396" s="9"/>
      <c r="J396" s="9"/>
      <c r="K396" s="9">
        <v>7.5</v>
      </c>
      <c r="L396" s="6">
        <v>0</v>
      </c>
      <c r="M396" s="6">
        <v>3</v>
      </c>
      <c r="N396" s="6">
        <v>0</v>
      </c>
      <c r="O396" s="6">
        <v>0</v>
      </c>
      <c r="P396" s="6">
        <v>4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W396" s="2"/>
    </row>
    <row r="397" spans="1:49" x14ac:dyDescent="0.25">
      <c r="A397" s="6" t="s">
        <v>750</v>
      </c>
      <c r="B397" s="6" t="s">
        <v>884</v>
      </c>
      <c r="C397" s="6"/>
      <c r="D397" s="6"/>
      <c r="E397" s="6"/>
      <c r="G397" s="6" t="s">
        <v>423</v>
      </c>
      <c r="H397" s="6"/>
      <c r="I397" s="9"/>
      <c r="J397" s="9"/>
      <c r="K397" s="9">
        <v>4.5</v>
      </c>
      <c r="L397" s="6">
        <v>0</v>
      </c>
      <c r="M397" s="6">
        <v>3</v>
      </c>
      <c r="N397" s="6">
        <v>4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W397" s="2"/>
    </row>
    <row r="398" spans="1:49" x14ac:dyDescent="0.25">
      <c r="A398" s="6" t="s">
        <v>750</v>
      </c>
      <c r="B398" s="6" t="s">
        <v>884</v>
      </c>
      <c r="C398" s="6"/>
      <c r="D398" s="6"/>
      <c r="E398" s="6"/>
      <c r="G398" s="6" t="s">
        <v>423</v>
      </c>
      <c r="H398" s="6"/>
      <c r="I398" s="9"/>
      <c r="J398" s="9"/>
      <c r="K398" s="9">
        <v>4.25</v>
      </c>
      <c r="L398" s="6">
        <v>0</v>
      </c>
      <c r="M398" s="6">
        <v>4</v>
      </c>
      <c r="N398" s="6">
        <v>3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W398" s="2"/>
    </row>
    <row r="399" spans="1:49" x14ac:dyDescent="0.25">
      <c r="A399" s="6" t="s">
        <v>750</v>
      </c>
      <c r="B399" s="6" t="s">
        <v>662</v>
      </c>
      <c r="C399" s="6"/>
      <c r="D399" s="6"/>
      <c r="E399" s="6"/>
      <c r="G399" s="6" t="s">
        <v>423</v>
      </c>
      <c r="H399" s="6"/>
      <c r="I399" s="9"/>
      <c r="J399" s="9"/>
      <c r="K399" s="9">
        <v>5.5</v>
      </c>
      <c r="L399" s="6">
        <v>0</v>
      </c>
      <c r="M399" s="6">
        <v>5</v>
      </c>
      <c r="N399" s="6">
        <v>0</v>
      </c>
      <c r="O399" s="6">
        <v>0</v>
      </c>
      <c r="P399" s="6">
        <v>2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W399" s="2"/>
    </row>
    <row r="400" spans="1:49" x14ac:dyDescent="0.25">
      <c r="A400" s="6" t="s">
        <v>750</v>
      </c>
      <c r="B400" s="6" t="s">
        <v>884</v>
      </c>
      <c r="C400" s="6"/>
      <c r="D400" s="6"/>
      <c r="E400" s="6"/>
      <c r="G400" s="6" t="s">
        <v>425</v>
      </c>
      <c r="H400" s="6"/>
      <c r="I400" s="9"/>
      <c r="J400" s="9"/>
      <c r="K400" s="9">
        <v>3.75</v>
      </c>
      <c r="L400" s="6">
        <v>0</v>
      </c>
      <c r="M400" s="6">
        <v>6</v>
      </c>
      <c r="N400" s="6">
        <v>1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W400" s="2"/>
    </row>
    <row r="401" spans="1:49" x14ac:dyDescent="0.25">
      <c r="A401" s="6" t="s">
        <v>750</v>
      </c>
      <c r="B401" s="6" t="s">
        <v>884</v>
      </c>
      <c r="C401" s="6"/>
      <c r="D401" s="6"/>
      <c r="E401" s="6"/>
      <c r="G401" s="6" t="s">
        <v>431</v>
      </c>
      <c r="H401" s="6"/>
      <c r="I401" s="9"/>
      <c r="J401" s="9"/>
      <c r="K401" s="9">
        <v>4.05</v>
      </c>
      <c r="L401" s="6">
        <v>3</v>
      </c>
      <c r="M401" s="6">
        <v>2</v>
      </c>
      <c r="N401" s="6">
        <v>0</v>
      </c>
      <c r="O401" s="6">
        <v>2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W401" s="2"/>
    </row>
    <row r="402" spans="1:49" x14ac:dyDescent="0.25">
      <c r="A402" s="6" t="s">
        <v>750</v>
      </c>
      <c r="B402" s="6" t="s">
        <v>884</v>
      </c>
      <c r="C402" s="6"/>
      <c r="D402" s="6"/>
      <c r="E402" s="6"/>
      <c r="G402" s="6" t="s">
        <v>431</v>
      </c>
      <c r="H402" s="6"/>
      <c r="I402" s="9"/>
      <c r="J402" s="9"/>
      <c r="K402" s="9">
        <v>7</v>
      </c>
      <c r="L402" s="6">
        <v>0</v>
      </c>
      <c r="M402" s="6">
        <v>2</v>
      </c>
      <c r="N402" s="6">
        <v>0</v>
      </c>
      <c r="O402" s="6">
        <v>0</v>
      </c>
      <c r="P402" s="6">
        <v>4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W402" s="2"/>
    </row>
    <row r="403" spans="1:49" x14ac:dyDescent="0.25">
      <c r="A403" s="6" t="s">
        <v>750</v>
      </c>
      <c r="B403" s="6" t="s">
        <v>663</v>
      </c>
      <c r="C403" s="6"/>
      <c r="D403" s="6"/>
      <c r="E403" s="6"/>
      <c r="G403" s="6" t="s">
        <v>424</v>
      </c>
      <c r="H403" s="6"/>
      <c r="I403" s="9"/>
      <c r="J403" s="9"/>
      <c r="K403" s="9">
        <v>4</v>
      </c>
      <c r="L403" s="6">
        <v>0</v>
      </c>
      <c r="M403" s="6">
        <v>2</v>
      </c>
      <c r="N403" s="6">
        <v>4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W403" s="2"/>
    </row>
    <row r="404" spans="1:49" x14ac:dyDescent="0.25">
      <c r="A404" s="6" t="s">
        <v>750</v>
      </c>
      <c r="B404" s="6" t="s">
        <v>884</v>
      </c>
      <c r="C404" s="6"/>
      <c r="D404" s="6"/>
      <c r="E404" s="6"/>
      <c r="G404" s="6" t="s">
        <v>424</v>
      </c>
      <c r="H404" s="6"/>
      <c r="I404" s="9"/>
      <c r="J404" s="9"/>
      <c r="K404" s="9">
        <v>4.5</v>
      </c>
      <c r="L404" s="6">
        <v>0</v>
      </c>
      <c r="M404" s="6">
        <v>3</v>
      </c>
      <c r="N404" s="6">
        <v>2</v>
      </c>
      <c r="O404" s="6">
        <v>0</v>
      </c>
      <c r="P404" s="6">
        <v>1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W404" s="2"/>
    </row>
    <row r="405" spans="1:49" x14ac:dyDescent="0.25">
      <c r="A405" s="6" t="s">
        <v>750</v>
      </c>
      <c r="B405" s="6" t="s">
        <v>884</v>
      </c>
      <c r="C405" s="6"/>
      <c r="D405" s="6"/>
      <c r="E405" s="6"/>
      <c r="G405" s="6" t="s">
        <v>425</v>
      </c>
      <c r="H405" s="6"/>
      <c r="I405" s="9"/>
      <c r="J405" s="9"/>
      <c r="K405" s="9">
        <v>3.75</v>
      </c>
      <c r="L405" s="6">
        <v>0</v>
      </c>
      <c r="M405" s="6">
        <v>3</v>
      </c>
      <c r="N405" s="6">
        <v>3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W405" s="2"/>
    </row>
    <row r="406" spans="1:49" x14ac:dyDescent="0.25">
      <c r="A406" s="6" t="s">
        <v>750</v>
      </c>
      <c r="B406" s="6" t="s">
        <v>884</v>
      </c>
      <c r="C406" s="6"/>
      <c r="D406" s="6"/>
      <c r="E406" s="6"/>
      <c r="G406" s="6" t="s">
        <v>423</v>
      </c>
      <c r="H406" s="6"/>
      <c r="I406" s="9"/>
      <c r="J406" s="9"/>
      <c r="K406" s="9">
        <v>5</v>
      </c>
      <c r="L406" s="6">
        <v>0</v>
      </c>
      <c r="M406" s="6">
        <v>4</v>
      </c>
      <c r="N406" s="6">
        <v>0</v>
      </c>
      <c r="O406" s="6">
        <v>0</v>
      </c>
      <c r="P406" s="6">
        <v>2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W406" s="2"/>
    </row>
    <row r="407" spans="1:49" x14ac:dyDescent="0.25">
      <c r="A407" s="6" t="s">
        <v>750</v>
      </c>
      <c r="B407" s="6" t="s">
        <v>664</v>
      </c>
      <c r="C407" s="6"/>
      <c r="D407" s="6"/>
      <c r="E407" s="6"/>
      <c r="G407" s="6" t="s">
        <v>425</v>
      </c>
      <c r="H407" s="6"/>
      <c r="I407" s="9"/>
      <c r="J407" s="9"/>
      <c r="K407" s="9">
        <v>3.5</v>
      </c>
      <c r="L407" s="6">
        <v>0</v>
      </c>
      <c r="M407" s="6">
        <v>4</v>
      </c>
      <c r="N407" s="6">
        <v>2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W407" s="2"/>
    </row>
    <row r="408" spans="1:49" x14ac:dyDescent="0.25">
      <c r="A408" s="6" t="s">
        <v>750</v>
      </c>
      <c r="B408" s="6" t="s">
        <v>884</v>
      </c>
      <c r="C408" s="6"/>
      <c r="D408" s="6"/>
      <c r="E408" s="6"/>
      <c r="G408" s="6" t="s">
        <v>425</v>
      </c>
      <c r="H408" s="6"/>
      <c r="I408" s="9"/>
      <c r="J408" s="9"/>
      <c r="K408" s="9">
        <v>3.25</v>
      </c>
      <c r="L408" s="6">
        <v>0</v>
      </c>
      <c r="M408" s="6">
        <v>5</v>
      </c>
      <c r="N408" s="6">
        <v>1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W408" s="2"/>
    </row>
    <row r="409" spans="1:49" x14ac:dyDescent="0.25">
      <c r="A409" s="6" t="s">
        <v>750</v>
      </c>
      <c r="B409" s="6" t="s">
        <v>884</v>
      </c>
      <c r="C409" s="6"/>
      <c r="D409" s="6"/>
      <c r="E409" s="6"/>
      <c r="G409" s="6" t="s">
        <v>423</v>
      </c>
      <c r="H409" s="6"/>
      <c r="I409" s="9"/>
      <c r="J409" s="9"/>
      <c r="K409" s="9">
        <v>3</v>
      </c>
      <c r="L409" s="6">
        <v>0</v>
      </c>
      <c r="M409" s="6">
        <v>6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W409" s="2"/>
    </row>
    <row r="410" spans="1:49" x14ac:dyDescent="0.25">
      <c r="A410" s="6" t="s">
        <v>750</v>
      </c>
      <c r="B410" s="6" t="s">
        <v>884</v>
      </c>
      <c r="C410" s="6"/>
      <c r="D410" s="6"/>
      <c r="E410" s="6"/>
      <c r="G410" s="6" t="s">
        <v>423</v>
      </c>
      <c r="H410" s="6"/>
      <c r="I410" s="9"/>
      <c r="J410" s="9"/>
      <c r="K410" s="9">
        <v>3.85</v>
      </c>
      <c r="L410" s="6">
        <v>1</v>
      </c>
      <c r="M410" s="6">
        <v>3</v>
      </c>
      <c r="N410" s="6">
        <v>0</v>
      </c>
      <c r="O410" s="6">
        <v>2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W410" s="2"/>
    </row>
    <row r="411" spans="1:49" x14ac:dyDescent="0.25">
      <c r="A411" s="6" t="s">
        <v>750</v>
      </c>
      <c r="B411" s="6" t="s">
        <v>884</v>
      </c>
      <c r="C411" s="6"/>
      <c r="D411" s="6"/>
      <c r="E411" s="6"/>
      <c r="G411" s="6" t="s">
        <v>427</v>
      </c>
      <c r="H411" s="6"/>
      <c r="I411" s="9"/>
      <c r="J411" s="9"/>
      <c r="K411" s="9">
        <v>3.1</v>
      </c>
      <c r="L411" s="6">
        <v>1</v>
      </c>
      <c r="M411" s="6">
        <v>4</v>
      </c>
      <c r="N411" s="6">
        <v>1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>
        <v>0</v>
      </c>
      <c r="AB411" s="6">
        <v>0</v>
      </c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W411" s="2"/>
    </row>
    <row r="412" spans="1:49" x14ac:dyDescent="0.25">
      <c r="A412" s="6" t="s">
        <v>750</v>
      </c>
      <c r="B412" s="6" t="s">
        <v>884</v>
      </c>
      <c r="C412" s="6"/>
      <c r="D412" s="6"/>
      <c r="E412" s="6"/>
      <c r="G412" s="6" t="s">
        <v>425</v>
      </c>
      <c r="H412" s="6"/>
      <c r="I412" s="9"/>
      <c r="J412" s="9"/>
      <c r="K412" s="9">
        <v>3.55</v>
      </c>
      <c r="L412" s="6">
        <v>3</v>
      </c>
      <c r="M412" s="6">
        <v>1</v>
      </c>
      <c r="N412" s="6">
        <v>0</v>
      </c>
      <c r="O412" s="6">
        <v>2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6">
        <v>0</v>
      </c>
      <c r="AB412" s="6">
        <v>0</v>
      </c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W412" s="2"/>
    </row>
    <row r="413" spans="1:49" x14ac:dyDescent="0.25">
      <c r="A413" s="6" t="s">
        <v>750</v>
      </c>
      <c r="B413" s="6" t="s">
        <v>665</v>
      </c>
      <c r="C413" s="6"/>
      <c r="D413" s="6"/>
      <c r="E413" s="6"/>
      <c r="G413" s="6" t="s">
        <v>430</v>
      </c>
      <c r="H413" s="6"/>
      <c r="I413" s="9"/>
      <c r="J413" s="9"/>
      <c r="K413" s="9">
        <v>7.5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3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W413" s="2"/>
    </row>
    <row r="414" spans="1:49" x14ac:dyDescent="0.25">
      <c r="A414" s="6" t="s">
        <v>750</v>
      </c>
      <c r="B414" s="6" t="s">
        <v>884</v>
      </c>
      <c r="C414" s="6"/>
      <c r="D414" s="6"/>
      <c r="E414" s="6"/>
      <c r="G414" s="6" t="s">
        <v>431</v>
      </c>
      <c r="H414" s="6"/>
      <c r="I414" s="9"/>
      <c r="J414" s="9"/>
      <c r="K414" s="9">
        <v>6.5</v>
      </c>
      <c r="L414" s="6">
        <v>0</v>
      </c>
      <c r="M414" s="6">
        <v>1</v>
      </c>
      <c r="N414" s="6">
        <v>0</v>
      </c>
      <c r="O414" s="6">
        <v>0</v>
      </c>
      <c r="P414" s="6">
        <v>4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W414" s="2"/>
    </row>
    <row r="415" spans="1:49" x14ac:dyDescent="0.25">
      <c r="A415" s="6" t="s">
        <v>750</v>
      </c>
      <c r="B415" s="6" t="s">
        <v>666</v>
      </c>
      <c r="C415" s="6"/>
      <c r="D415" s="6"/>
      <c r="E415" s="6"/>
      <c r="G415" s="6" t="s">
        <v>427</v>
      </c>
      <c r="H415" s="6"/>
      <c r="I415" s="9"/>
      <c r="J415" s="9"/>
      <c r="K415" s="9">
        <v>3.5</v>
      </c>
      <c r="L415" s="6">
        <v>0</v>
      </c>
      <c r="M415" s="6">
        <v>1</v>
      </c>
      <c r="N415" s="6">
        <v>4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W415" s="2"/>
    </row>
    <row r="416" spans="1:49" x14ac:dyDescent="0.25">
      <c r="A416" s="6" t="s">
        <v>750</v>
      </c>
      <c r="B416" s="6" t="s">
        <v>667</v>
      </c>
      <c r="C416" s="6"/>
      <c r="D416" s="6"/>
      <c r="E416" s="6"/>
      <c r="G416" s="6" t="s">
        <v>430</v>
      </c>
      <c r="H416" s="6"/>
      <c r="I416" s="9"/>
      <c r="J416" s="9"/>
      <c r="K416" s="9">
        <v>11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2</v>
      </c>
      <c r="S416" s="6">
        <v>0</v>
      </c>
      <c r="T416" s="6">
        <v>0</v>
      </c>
      <c r="U416" s="6">
        <v>0</v>
      </c>
      <c r="V416" s="6">
        <v>1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W416" s="2"/>
    </row>
    <row r="417" spans="1:49" x14ac:dyDescent="0.25">
      <c r="A417" s="6" t="s">
        <v>750</v>
      </c>
      <c r="B417" s="6" t="s">
        <v>884</v>
      </c>
      <c r="C417" s="6"/>
      <c r="D417" s="6"/>
      <c r="E417" s="6"/>
      <c r="G417" s="6" t="s">
        <v>424</v>
      </c>
      <c r="H417" s="6"/>
      <c r="I417" s="9"/>
      <c r="J417" s="9"/>
      <c r="K417" s="9">
        <v>4</v>
      </c>
      <c r="L417" s="6">
        <v>0</v>
      </c>
      <c r="M417" s="6">
        <v>2</v>
      </c>
      <c r="N417" s="6">
        <v>2</v>
      </c>
      <c r="O417" s="6">
        <v>0</v>
      </c>
      <c r="P417" s="6">
        <v>1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W417" s="2"/>
    </row>
    <row r="418" spans="1:49" x14ac:dyDescent="0.25">
      <c r="A418" s="6" t="s">
        <v>750</v>
      </c>
      <c r="B418" s="6" t="s">
        <v>668</v>
      </c>
      <c r="C418" s="6"/>
      <c r="D418" s="6"/>
      <c r="E418" s="6"/>
      <c r="G418" s="6" t="s">
        <v>427</v>
      </c>
      <c r="H418" s="6"/>
      <c r="I418" s="9"/>
      <c r="J418" s="9"/>
      <c r="K418" s="9">
        <v>3.25</v>
      </c>
      <c r="L418" s="6">
        <v>0</v>
      </c>
      <c r="M418" s="6">
        <v>2</v>
      </c>
      <c r="N418" s="6">
        <v>3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6">
        <v>0</v>
      </c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W418" s="2"/>
    </row>
    <row r="419" spans="1:49" x14ac:dyDescent="0.25">
      <c r="A419" s="6" t="s">
        <v>750</v>
      </c>
      <c r="B419" s="6" t="s">
        <v>884</v>
      </c>
      <c r="C419" s="6"/>
      <c r="D419" s="6"/>
      <c r="E419" s="6"/>
      <c r="G419" s="6" t="s">
        <v>423</v>
      </c>
      <c r="H419" s="6"/>
      <c r="I419" s="9"/>
      <c r="J419" s="9"/>
      <c r="K419" s="9">
        <v>4.5</v>
      </c>
      <c r="L419" s="6">
        <v>0</v>
      </c>
      <c r="M419" s="6">
        <v>3</v>
      </c>
      <c r="N419" s="6">
        <v>0</v>
      </c>
      <c r="O419" s="6">
        <v>0</v>
      </c>
      <c r="P419" s="6">
        <v>2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0</v>
      </c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W419" s="2"/>
    </row>
    <row r="420" spans="1:49" x14ac:dyDescent="0.25">
      <c r="A420" s="6" t="s">
        <v>750</v>
      </c>
      <c r="B420" s="6" t="s">
        <v>884</v>
      </c>
      <c r="C420" s="6"/>
      <c r="D420" s="6"/>
      <c r="E420" s="6"/>
      <c r="G420" s="6" t="s">
        <v>427</v>
      </c>
      <c r="H420" s="6"/>
      <c r="I420" s="9"/>
      <c r="J420" s="9"/>
      <c r="K420" s="9">
        <v>3.5</v>
      </c>
      <c r="L420" s="6">
        <v>0</v>
      </c>
      <c r="M420" s="6">
        <v>3</v>
      </c>
      <c r="N420" s="6">
        <v>0</v>
      </c>
      <c r="O420" s="6">
        <v>2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W420" s="2"/>
    </row>
    <row r="421" spans="1:49" x14ac:dyDescent="0.25">
      <c r="A421" s="6" t="s">
        <v>750</v>
      </c>
      <c r="B421" s="6" t="s">
        <v>669</v>
      </c>
      <c r="C421" s="6"/>
      <c r="D421" s="6"/>
      <c r="E421" s="6"/>
      <c r="G421" s="6" t="s">
        <v>424</v>
      </c>
      <c r="H421" s="6"/>
      <c r="I421" s="9"/>
      <c r="J421" s="9"/>
      <c r="K421" s="9">
        <v>3.75</v>
      </c>
      <c r="L421" s="6">
        <v>0</v>
      </c>
      <c r="M421" s="6">
        <v>3</v>
      </c>
      <c r="N421" s="6">
        <v>1</v>
      </c>
      <c r="O421" s="6">
        <v>0</v>
      </c>
      <c r="P421" s="6">
        <v>1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W421" s="2"/>
    </row>
    <row r="422" spans="1:49" x14ac:dyDescent="0.25">
      <c r="A422" s="6" t="s">
        <v>750</v>
      </c>
      <c r="B422" s="6" t="s">
        <v>884</v>
      </c>
      <c r="C422" s="6"/>
      <c r="D422" s="6"/>
      <c r="E422" s="6"/>
      <c r="G422" s="6" t="s">
        <v>427</v>
      </c>
      <c r="H422" s="6"/>
      <c r="I422" s="9"/>
      <c r="J422" s="9"/>
      <c r="K422" s="9">
        <v>3</v>
      </c>
      <c r="L422" s="6">
        <v>0</v>
      </c>
      <c r="M422" s="6">
        <v>3</v>
      </c>
      <c r="N422" s="6">
        <v>2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W422" s="2"/>
    </row>
    <row r="423" spans="1:49" x14ac:dyDescent="0.25">
      <c r="A423" s="6" t="s">
        <v>750</v>
      </c>
      <c r="B423" s="6" t="s">
        <v>884</v>
      </c>
      <c r="C423" s="6"/>
      <c r="D423" s="6"/>
      <c r="E423" s="6"/>
      <c r="G423" s="6" t="s">
        <v>431</v>
      </c>
      <c r="H423" s="6"/>
      <c r="I423" s="9"/>
      <c r="J423" s="9"/>
      <c r="K423" s="9">
        <v>12</v>
      </c>
      <c r="L423" s="6">
        <v>0</v>
      </c>
      <c r="M423" s="6">
        <v>4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1</v>
      </c>
      <c r="Y423" s="6">
        <v>0</v>
      </c>
      <c r="Z423" s="6">
        <v>0</v>
      </c>
      <c r="AA423" s="6">
        <v>0</v>
      </c>
      <c r="AB423" s="6">
        <v>0</v>
      </c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W423" s="2"/>
    </row>
    <row r="424" spans="1:49" x14ac:dyDescent="0.25">
      <c r="A424" s="6" t="s">
        <v>750</v>
      </c>
      <c r="B424" s="6" t="s">
        <v>884</v>
      </c>
      <c r="C424" s="6"/>
      <c r="D424" s="6"/>
      <c r="E424" s="6"/>
      <c r="G424" s="6" t="s">
        <v>431</v>
      </c>
      <c r="H424" s="6"/>
      <c r="I424" s="9"/>
      <c r="J424" s="9"/>
      <c r="K424" s="9">
        <v>8</v>
      </c>
      <c r="L424" s="6">
        <v>0</v>
      </c>
      <c r="M424" s="6">
        <v>4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1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6">
        <v>0</v>
      </c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W424" s="2"/>
    </row>
    <row r="425" spans="1:49" x14ac:dyDescent="0.25">
      <c r="A425" s="6" t="s">
        <v>750</v>
      </c>
      <c r="B425" s="6" t="s">
        <v>884</v>
      </c>
      <c r="C425" s="6"/>
      <c r="D425" s="6"/>
      <c r="E425" s="6"/>
      <c r="G425" s="6" t="s">
        <v>425</v>
      </c>
      <c r="H425" s="6"/>
      <c r="I425" s="9"/>
      <c r="J425" s="9"/>
      <c r="K425" s="9">
        <v>2.5</v>
      </c>
      <c r="L425" s="6">
        <v>0</v>
      </c>
      <c r="M425" s="6">
        <v>5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0</v>
      </c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W425" s="2"/>
    </row>
    <row r="426" spans="1:49" x14ac:dyDescent="0.25">
      <c r="A426" s="6" t="s">
        <v>750</v>
      </c>
      <c r="B426" s="6" t="s">
        <v>670</v>
      </c>
      <c r="C426" s="6"/>
      <c r="D426" s="6"/>
      <c r="E426" s="6"/>
      <c r="G426" s="6" t="s">
        <v>427</v>
      </c>
      <c r="H426" s="6"/>
      <c r="I426" s="9"/>
      <c r="J426" s="9"/>
      <c r="K426" s="9">
        <v>2.35</v>
      </c>
      <c r="L426" s="6">
        <v>1</v>
      </c>
      <c r="M426" s="6">
        <v>4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6">
        <v>0</v>
      </c>
      <c r="Z426" s="6">
        <v>0</v>
      </c>
      <c r="AA426" s="6">
        <v>0</v>
      </c>
      <c r="AB426" s="6">
        <v>0</v>
      </c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W426" s="2"/>
    </row>
    <row r="427" spans="1:49" x14ac:dyDescent="0.25">
      <c r="A427" s="6" t="s">
        <v>750</v>
      </c>
      <c r="B427" s="6" t="s">
        <v>671</v>
      </c>
      <c r="C427" s="6"/>
      <c r="D427" s="6"/>
      <c r="E427" s="6"/>
      <c r="G427" s="6" t="s">
        <v>424</v>
      </c>
      <c r="H427" s="6"/>
      <c r="I427" s="9"/>
      <c r="J427" s="9"/>
      <c r="K427" s="9">
        <v>3.9</v>
      </c>
      <c r="L427" s="6">
        <v>4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1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W427" s="2"/>
    </row>
    <row r="428" spans="1:49" x14ac:dyDescent="0.25">
      <c r="A428" s="6" t="s">
        <v>750</v>
      </c>
      <c r="B428" s="6" t="s">
        <v>672</v>
      </c>
      <c r="C428" s="6"/>
      <c r="D428" s="6"/>
      <c r="E428" s="6"/>
      <c r="G428" s="6" t="s">
        <v>430</v>
      </c>
      <c r="H428" s="6"/>
      <c r="I428" s="9"/>
      <c r="J428" s="9"/>
      <c r="K428" s="9">
        <v>10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4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0</v>
      </c>
      <c r="AB428" s="6">
        <v>0</v>
      </c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W428" s="2"/>
    </row>
    <row r="429" spans="1:49" x14ac:dyDescent="0.25">
      <c r="A429" s="6" t="s">
        <v>750</v>
      </c>
      <c r="B429" s="6" t="s">
        <v>884</v>
      </c>
      <c r="C429" s="6"/>
      <c r="D429" s="6"/>
      <c r="E429" s="6"/>
      <c r="G429" s="6" t="s">
        <v>431</v>
      </c>
      <c r="H429" s="6"/>
      <c r="I429" s="9"/>
      <c r="J429" s="9"/>
      <c r="K429" s="9">
        <v>6</v>
      </c>
      <c r="L429" s="6">
        <v>0</v>
      </c>
      <c r="M429" s="6">
        <v>0</v>
      </c>
      <c r="N429" s="6">
        <v>0</v>
      </c>
      <c r="O429" s="6">
        <v>0</v>
      </c>
      <c r="P429" s="6">
        <v>4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W429" s="2"/>
    </row>
    <row r="430" spans="1:49" x14ac:dyDescent="0.25">
      <c r="A430" s="6" t="s">
        <v>750</v>
      </c>
      <c r="B430" s="6" t="s">
        <v>884</v>
      </c>
      <c r="C430" s="6"/>
      <c r="D430" s="6"/>
      <c r="E430" s="6"/>
      <c r="G430" s="6" t="s">
        <v>427</v>
      </c>
      <c r="H430" s="6"/>
      <c r="I430" s="9"/>
      <c r="J430" s="9"/>
      <c r="K430" s="9">
        <v>3</v>
      </c>
      <c r="L430" s="6">
        <v>0</v>
      </c>
      <c r="M430" s="6">
        <v>0</v>
      </c>
      <c r="N430" s="6">
        <v>4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6">
        <v>0</v>
      </c>
      <c r="Z430" s="6">
        <v>0</v>
      </c>
      <c r="AA430" s="6">
        <v>0</v>
      </c>
      <c r="AB430" s="6">
        <v>0</v>
      </c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W430" s="2"/>
    </row>
    <row r="431" spans="1:49" x14ac:dyDescent="0.25">
      <c r="A431" s="6" t="s">
        <v>750</v>
      </c>
      <c r="B431" s="6" t="s">
        <v>673</v>
      </c>
      <c r="C431" s="6"/>
      <c r="D431" s="6"/>
      <c r="E431" s="6"/>
      <c r="G431" s="6" t="s">
        <v>424</v>
      </c>
      <c r="H431" s="6"/>
      <c r="I431" s="9"/>
      <c r="J431" s="9"/>
      <c r="K431" s="9">
        <v>4</v>
      </c>
      <c r="L431" s="6">
        <v>0</v>
      </c>
      <c r="M431" s="6">
        <v>1</v>
      </c>
      <c r="N431" s="6">
        <v>0</v>
      </c>
      <c r="O431" s="6">
        <v>2</v>
      </c>
      <c r="P431" s="6">
        <v>1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W431" s="2"/>
    </row>
    <row r="432" spans="1:49" x14ac:dyDescent="0.25">
      <c r="A432" s="6" t="s">
        <v>750</v>
      </c>
      <c r="B432" s="6" t="s">
        <v>674</v>
      </c>
      <c r="C432" s="6"/>
      <c r="D432" s="6"/>
      <c r="E432" s="6"/>
      <c r="G432" s="6" t="s">
        <v>427</v>
      </c>
      <c r="H432" s="6"/>
      <c r="I432" s="9"/>
      <c r="J432" s="9"/>
      <c r="K432" s="9">
        <v>2.75</v>
      </c>
      <c r="L432" s="6">
        <v>0</v>
      </c>
      <c r="M432" s="6">
        <v>1</v>
      </c>
      <c r="N432" s="6">
        <v>3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W432" s="2"/>
    </row>
    <row r="433" spans="1:49" x14ac:dyDescent="0.25">
      <c r="A433" s="6" t="s">
        <v>750</v>
      </c>
      <c r="B433" s="6" t="s">
        <v>884</v>
      </c>
      <c r="C433" s="6"/>
      <c r="D433" s="6"/>
      <c r="E433" s="6"/>
      <c r="G433" s="6" t="s">
        <v>430</v>
      </c>
      <c r="H433" s="6"/>
      <c r="I433" s="9"/>
      <c r="J433" s="9"/>
      <c r="K433" s="9">
        <v>7.5</v>
      </c>
      <c r="L433" s="6">
        <v>0</v>
      </c>
      <c r="M433" s="6">
        <v>2</v>
      </c>
      <c r="N433" s="6">
        <v>0</v>
      </c>
      <c r="O433" s="6">
        <v>0</v>
      </c>
      <c r="P433" s="6">
        <v>0</v>
      </c>
      <c r="Q433" s="6">
        <v>0</v>
      </c>
      <c r="R433" s="6">
        <v>1</v>
      </c>
      <c r="S433" s="6">
        <v>0</v>
      </c>
      <c r="T433" s="6">
        <v>1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W433" s="2"/>
    </row>
    <row r="434" spans="1:49" x14ac:dyDescent="0.25">
      <c r="A434" s="6" t="s">
        <v>750</v>
      </c>
      <c r="B434" s="6" t="s">
        <v>884</v>
      </c>
      <c r="C434" s="6"/>
      <c r="D434" s="6"/>
      <c r="E434" s="6"/>
      <c r="G434" s="6" t="s">
        <v>423</v>
      </c>
      <c r="H434" s="6"/>
      <c r="I434" s="9"/>
      <c r="J434" s="9"/>
      <c r="K434" s="9">
        <v>4</v>
      </c>
      <c r="L434" s="6">
        <v>0</v>
      </c>
      <c r="M434" s="6">
        <v>2</v>
      </c>
      <c r="N434" s="6">
        <v>0</v>
      </c>
      <c r="O434" s="6">
        <v>0</v>
      </c>
      <c r="P434" s="6">
        <v>2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0</v>
      </c>
      <c r="Z434" s="6">
        <v>0</v>
      </c>
      <c r="AA434" s="6">
        <v>0</v>
      </c>
      <c r="AB434" s="6">
        <v>0</v>
      </c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W434" s="2"/>
    </row>
    <row r="435" spans="1:49" x14ac:dyDescent="0.25">
      <c r="A435" s="6" t="s">
        <v>750</v>
      </c>
      <c r="B435" s="6" t="s">
        <v>675</v>
      </c>
      <c r="C435" s="6"/>
      <c r="D435" s="6"/>
      <c r="E435" s="6"/>
      <c r="G435" s="6" t="s">
        <v>424</v>
      </c>
      <c r="H435" s="6"/>
      <c r="I435" s="9"/>
      <c r="J435" s="9"/>
      <c r="K435" s="9">
        <v>3.25</v>
      </c>
      <c r="L435" s="6">
        <v>0</v>
      </c>
      <c r="M435" s="6">
        <v>2</v>
      </c>
      <c r="N435" s="6">
        <v>1</v>
      </c>
      <c r="O435" s="6">
        <v>0</v>
      </c>
      <c r="P435" s="6">
        <v>1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  <c r="AA435" s="6">
        <v>0</v>
      </c>
      <c r="AB435" s="6">
        <v>0</v>
      </c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W435" s="2"/>
    </row>
    <row r="436" spans="1:49" x14ac:dyDescent="0.25">
      <c r="A436" s="6" t="s">
        <v>750</v>
      </c>
      <c r="B436" s="6" t="s">
        <v>676</v>
      </c>
      <c r="C436" s="6"/>
      <c r="D436" s="6"/>
      <c r="E436" s="6"/>
      <c r="G436" s="6" t="s">
        <v>427</v>
      </c>
      <c r="H436" s="6"/>
      <c r="I436" s="9"/>
      <c r="J436" s="9"/>
      <c r="K436" s="9">
        <v>2.5</v>
      </c>
      <c r="L436" s="6">
        <v>0</v>
      </c>
      <c r="M436" s="6">
        <v>2</v>
      </c>
      <c r="N436" s="6">
        <v>2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0</v>
      </c>
      <c r="AA436" s="6">
        <v>0</v>
      </c>
      <c r="AB436" s="6">
        <v>0</v>
      </c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W436" s="2"/>
    </row>
    <row r="437" spans="1:49" x14ac:dyDescent="0.25">
      <c r="A437" s="6" t="s">
        <v>750</v>
      </c>
      <c r="B437" s="6" t="s">
        <v>884</v>
      </c>
      <c r="C437" s="6"/>
      <c r="D437" s="6"/>
      <c r="E437" s="6"/>
      <c r="G437" s="6" t="s">
        <v>431</v>
      </c>
      <c r="H437" s="6"/>
      <c r="I437" s="9"/>
      <c r="J437" s="9"/>
      <c r="K437" s="9">
        <v>11.5</v>
      </c>
      <c r="L437" s="6">
        <v>0</v>
      </c>
      <c r="M437" s="6">
        <v>3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1</v>
      </c>
      <c r="Y437" s="6">
        <v>0</v>
      </c>
      <c r="Z437" s="6">
        <v>0</v>
      </c>
      <c r="AA437" s="6">
        <v>0</v>
      </c>
      <c r="AB437" s="6">
        <v>0</v>
      </c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W437" s="2"/>
    </row>
    <row r="438" spans="1:49" x14ac:dyDescent="0.25">
      <c r="A438" s="6" t="s">
        <v>750</v>
      </c>
      <c r="B438" s="6" t="s">
        <v>884</v>
      </c>
      <c r="C438" s="6"/>
      <c r="D438" s="6"/>
      <c r="E438" s="6"/>
      <c r="G438" s="6" t="s">
        <v>431</v>
      </c>
      <c r="H438" s="6"/>
      <c r="I438" s="9"/>
      <c r="J438" s="9"/>
      <c r="K438" s="9">
        <v>7.5</v>
      </c>
      <c r="L438" s="6">
        <v>0</v>
      </c>
      <c r="M438" s="6">
        <v>3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1</v>
      </c>
      <c r="W438" s="6">
        <v>0</v>
      </c>
      <c r="X438" s="6">
        <v>0</v>
      </c>
      <c r="Y438" s="6">
        <v>0</v>
      </c>
      <c r="Z438" s="6">
        <v>0</v>
      </c>
      <c r="AA438" s="6">
        <v>0</v>
      </c>
      <c r="AB438" s="6">
        <v>0</v>
      </c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W438" s="2"/>
    </row>
    <row r="439" spans="1:49" x14ac:dyDescent="0.25">
      <c r="A439" s="6" t="s">
        <v>750</v>
      </c>
      <c r="B439" s="6" t="s">
        <v>884</v>
      </c>
      <c r="C439" s="6"/>
      <c r="D439" s="6"/>
      <c r="E439" s="6"/>
      <c r="G439" s="6" t="s">
        <v>427</v>
      </c>
      <c r="H439" s="6"/>
      <c r="I439" s="9"/>
      <c r="J439" s="9"/>
      <c r="K439" s="9">
        <v>3</v>
      </c>
      <c r="L439" s="6">
        <v>0</v>
      </c>
      <c r="M439" s="6">
        <v>3</v>
      </c>
      <c r="N439" s="6">
        <v>0</v>
      </c>
      <c r="O439" s="6">
        <v>0</v>
      </c>
      <c r="P439" s="6">
        <v>1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W439" s="2"/>
    </row>
    <row r="440" spans="1:49" x14ac:dyDescent="0.25">
      <c r="A440" s="6" t="s">
        <v>750</v>
      </c>
      <c r="B440" s="6" t="s">
        <v>677</v>
      </c>
      <c r="C440" s="6"/>
      <c r="D440" s="6"/>
      <c r="E440" s="6"/>
      <c r="G440" s="6" t="s">
        <v>427</v>
      </c>
      <c r="H440" s="6"/>
      <c r="I440" s="9"/>
      <c r="J440" s="9"/>
      <c r="K440" s="9">
        <v>2.25</v>
      </c>
      <c r="L440" s="6">
        <v>0</v>
      </c>
      <c r="M440" s="6">
        <v>3</v>
      </c>
      <c r="N440" s="6">
        <v>1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0</v>
      </c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W440" s="2"/>
    </row>
    <row r="441" spans="1:49" x14ac:dyDescent="0.25">
      <c r="A441" s="6" t="s">
        <v>750</v>
      </c>
      <c r="B441" s="6" t="s">
        <v>884</v>
      </c>
      <c r="C441" s="6"/>
      <c r="D441" s="6"/>
      <c r="E441" s="6"/>
      <c r="G441" s="6" t="s">
        <v>425</v>
      </c>
      <c r="H441" s="6"/>
      <c r="I441" s="9"/>
      <c r="J441" s="9"/>
      <c r="K441" s="9">
        <v>2.85</v>
      </c>
      <c r="L441" s="6">
        <v>1</v>
      </c>
      <c r="M441" s="6">
        <v>1</v>
      </c>
      <c r="N441" s="6">
        <v>0</v>
      </c>
      <c r="O441" s="6">
        <v>2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W441" s="2"/>
    </row>
    <row r="442" spans="1:49" x14ac:dyDescent="0.25">
      <c r="A442" s="6" t="s">
        <v>750</v>
      </c>
      <c r="B442" s="6" t="s">
        <v>884</v>
      </c>
      <c r="C442" s="6"/>
      <c r="D442" s="6"/>
      <c r="E442" s="6"/>
      <c r="G442" s="6" t="s">
        <v>427</v>
      </c>
      <c r="H442" s="6"/>
      <c r="I442" s="9"/>
      <c r="J442" s="9"/>
      <c r="K442" s="9">
        <v>2.1</v>
      </c>
      <c r="L442" s="6">
        <v>1</v>
      </c>
      <c r="M442" s="6">
        <v>2</v>
      </c>
      <c r="N442" s="6">
        <v>1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0</v>
      </c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W442" s="2"/>
    </row>
    <row r="443" spans="1:49" x14ac:dyDescent="0.25">
      <c r="A443" s="6" t="s">
        <v>750</v>
      </c>
      <c r="B443" s="6" t="s">
        <v>884</v>
      </c>
      <c r="C443" s="6"/>
      <c r="D443" s="6"/>
      <c r="E443" s="6"/>
      <c r="G443" s="6" t="s">
        <v>427</v>
      </c>
      <c r="H443" s="6"/>
      <c r="I443" s="9"/>
      <c r="J443" s="9"/>
      <c r="K443" s="9">
        <v>1.85</v>
      </c>
      <c r="L443" s="6">
        <v>1</v>
      </c>
      <c r="M443" s="6">
        <v>3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>
        <v>0</v>
      </c>
      <c r="AB443" s="6">
        <v>0</v>
      </c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W443" s="2"/>
    </row>
    <row r="444" spans="1:49" x14ac:dyDescent="0.25">
      <c r="A444" s="6" t="s">
        <v>750</v>
      </c>
      <c r="B444" s="6" t="s">
        <v>678</v>
      </c>
      <c r="C444" s="6"/>
      <c r="D444" s="6"/>
      <c r="E444" s="6"/>
      <c r="G444" s="6" t="s">
        <v>427</v>
      </c>
      <c r="H444" s="6"/>
      <c r="I444" s="9"/>
      <c r="J444" s="9"/>
      <c r="K444" s="9">
        <v>2.7</v>
      </c>
      <c r="L444" s="6">
        <v>2</v>
      </c>
      <c r="M444" s="6">
        <v>1</v>
      </c>
      <c r="N444" s="6">
        <v>0</v>
      </c>
      <c r="O444" s="6">
        <v>0</v>
      </c>
      <c r="P444" s="6">
        <v>1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6">
        <v>0</v>
      </c>
      <c r="Z444" s="6">
        <v>0</v>
      </c>
      <c r="AA444" s="6">
        <v>0</v>
      </c>
      <c r="AB444" s="6">
        <v>0</v>
      </c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W444" s="2"/>
    </row>
    <row r="445" spans="1:49" x14ac:dyDescent="0.25">
      <c r="A445" s="6" t="s">
        <v>750</v>
      </c>
      <c r="B445" s="6" t="s">
        <v>679</v>
      </c>
      <c r="C445" s="6"/>
      <c r="D445" s="6"/>
      <c r="E445" s="6"/>
      <c r="G445" s="6" t="s">
        <v>428</v>
      </c>
      <c r="H445" s="6"/>
      <c r="I445" s="9"/>
      <c r="J445" s="9"/>
      <c r="K445" s="9">
        <v>1</v>
      </c>
      <c r="L445" s="6">
        <v>0</v>
      </c>
      <c r="M445" s="6">
        <v>2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0</v>
      </c>
      <c r="AB445" s="6">
        <v>0</v>
      </c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W445" s="2"/>
    </row>
    <row r="446" spans="1:49" x14ac:dyDescent="0.25">
      <c r="A446" s="6" t="s">
        <v>750</v>
      </c>
      <c r="B446" s="6" t="s">
        <v>884</v>
      </c>
      <c r="C446" s="6"/>
      <c r="D446" s="6"/>
      <c r="E446" s="6"/>
      <c r="G446" s="6" t="s">
        <v>427</v>
      </c>
      <c r="H446" s="6"/>
      <c r="I446" s="9"/>
      <c r="J446" s="9"/>
      <c r="K446" s="9">
        <v>3.55</v>
      </c>
      <c r="L446" s="6">
        <v>3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1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6">
        <v>0</v>
      </c>
      <c r="AA446" s="6">
        <v>0</v>
      </c>
      <c r="AB446" s="6">
        <v>0</v>
      </c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W446" s="2"/>
    </row>
    <row r="447" spans="1:49" x14ac:dyDescent="0.25">
      <c r="A447" s="6" t="s">
        <v>750</v>
      </c>
      <c r="B447" s="6" t="s">
        <v>680</v>
      </c>
      <c r="C447" s="6"/>
      <c r="D447" s="6"/>
      <c r="E447" s="6"/>
      <c r="G447" s="6" t="s">
        <v>426</v>
      </c>
      <c r="H447" s="6"/>
      <c r="I447" s="9"/>
      <c r="J447" s="9"/>
      <c r="K447" s="9">
        <v>1.4</v>
      </c>
      <c r="L447" s="6">
        <v>4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>
        <v>0</v>
      </c>
      <c r="AA447" s="6">
        <v>0</v>
      </c>
      <c r="AB447" s="6">
        <v>0</v>
      </c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W447" s="2"/>
    </row>
    <row r="448" spans="1:49" x14ac:dyDescent="0.25">
      <c r="A448" s="6" t="s">
        <v>750</v>
      </c>
      <c r="B448" s="6" t="s">
        <v>681</v>
      </c>
      <c r="C448" s="6"/>
      <c r="D448" s="6"/>
      <c r="E448" s="6"/>
      <c r="G448" s="6" t="s">
        <v>430</v>
      </c>
      <c r="H448" s="6"/>
      <c r="I448" s="9"/>
      <c r="J448" s="9"/>
      <c r="K448" s="9">
        <v>6.5</v>
      </c>
      <c r="L448" s="6">
        <v>0</v>
      </c>
      <c r="M448" s="6">
        <v>1</v>
      </c>
      <c r="N448" s="6">
        <v>0</v>
      </c>
      <c r="O448" s="6">
        <v>2</v>
      </c>
      <c r="P448" s="6">
        <v>1</v>
      </c>
      <c r="Q448" s="6">
        <v>0</v>
      </c>
      <c r="R448" s="6">
        <v>1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W448" s="2"/>
    </row>
    <row r="449" spans="1:49" x14ac:dyDescent="0.25">
      <c r="A449" s="6" t="s">
        <v>750</v>
      </c>
      <c r="B449" s="6" t="s">
        <v>884</v>
      </c>
      <c r="C449" s="6"/>
      <c r="D449" s="6"/>
      <c r="E449" s="6"/>
      <c r="G449" s="6" t="s">
        <v>424</v>
      </c>
      <c r="H449" s="6"/>
      <c r="I449" s="9"/>
      <c r="J449" s="9"/>
      <c r="K449" s="9">
        <v>4.5</v>
      </c>
      <c r="L449" s="6">
        <v>0</v>
      </c>
      <c r="M449" s="6">
        <v>0</v>
      </c>
      <c r="N449" s="6">
        <v>0</v>
      </c>
      <c r="O449" s="6">
        <v>2</v>
      </c>
      <c r="P449" s="6">
        <v>0</v>
      </c>
      <c r="Q449" s="6">
        <v>0</v>
      </c>
      <c r="R449" s="6">
        <v>1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W449" s="2"/>
    </row>
    <row r="450" spans="1:49" x14ac:dyDescent="0.25">
      <c r="A450" s="6" t="s">
        <v>750</v>
      </c>
      <c r="B450" s="6" t="s">
        <v>884</v>
      </c>
      <c r="C450" s="6"/>
      <c r="D450" s="6"/>
      <c r="E450" s="6"/>
      <c r="G450" s="6" t="s">
        <v>430</v>
      </c>
      <c r="H450" s="6"/>
      <c r="I450" s="9"/>
      <c r="J450" s="9"/>
      <c r="K450" s="9">
        <v>7</v>
      </c>
      <c r="L450" s="6">
        <v>0</v>
      </c>
      <c r="M450" s="6">
        <v>1</v>
      </c>
      <c r="N450" s="6">
        <v>0</v>
      </c>
      <c r="O450" s="6">
        <v>0</v>
      </c>
      <c r="P450" s="6">
        <v>0</v>
      </c>
      <c r="Q450" s="6">
        <v>0</v>
      </c>
      <c r="R450" s="6">
        <v>1</v>
      </c>
      <c r="S450" s="6">
        <v>0</v>
      </c>
      <c r="T450" s="6">
        <v>1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W450" s="2"/>
    </row>
    <row r="451" spans="1:49" x14ac:dyDescent="0.25">
      <c r="A451" s="6" t="s">
        <v>750</v>
      </c>
      <c r="B451" s="6" t="s">
        <v>682</v>
      </c>
      <c r="C451" s="6"/>
      <c r="D451" s="6"/>
      <c r="E451" s="6"/>
      <c r="G451" s="6" t="s">
        <v>427</v>
      </c>
      <c r="H451" s="6"/>
      <c r="I451" s="9"/>
      <c r="J451" s="9"/>
      <c r="K451" s="9">
        <v>3</v>
      </c>
      <c r="L451" s="6">
        <v>0</v>
      </c>
      <c r="M451" s="6">
        <v>1</v>
      </c>
      <c r="N451" s="6">
        <v>0</v>
      </c>
      <c r="O451" s="6">
        <v>1</v>
      </c>
      <c r="P451" s="6">
        <v>1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  <c r="AA451" s="6">
        <v>0</v>
      </c>
      <c r="AB451" s="6">
        <v>0</v>
      </c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W451" s="2"/>
    </row>
    <row r="452" spans="1:49" x14ac:dyDescent="0.25">
      <c r="A452" s="6" t="s">
        <v>750</v>
      </c>
      <c r="B452" s="6" t="s">
        <v>683</v>
      </c>
      <c r="C452" s="6"/>
      <c r="D452" s="6"/>
      <c r="E452" s="6"/>
      <c r="G452" s="6" t="s">
        <v>424</v>
      </c>
      <c r="H452" s="6"/>
      <c r="I452" s="9"/>
      <c r="J452" s="9"/>
      <c r="K452" s="9">
        <v>5.25</v>
      </c>
      <c r="L452" s="6">
        <v>0</v>
      </c>
      <c r="M452" s="6">
        <v>1</v>
      </c>
      <c r="N452" s="6">
        <v>1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1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6">
        <v>0</v>
      </c>
      <c r="AB452" s="6">
        <v>0</v>
      </c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W452" s="2"/>
    </row>
    <row r="453" spans="1:49" x14ac:dyDescent="0.25">
      <c r="A453" s="6" t="s">
        <v>750</v>
      </c>
      <c r="B453" s="6" t="s">
        <v>684</v>
      </c>
      <c r="C453" s="6"/>
      <c r="D453" s="6"/>
      <c r="E453" s="6"/>
      <c r="G453" s="6" t="s">
        <v>427</v>
      </c>
      <c r="H453" s="6"/>
      <c r="I453" s="9"/>
      <c r="J453" s="9"/>
      <c r="K453" s="9">
        <v>2.75</v>
      </c>
      <c r="L453" s="6">
        <v>0</v>
      </c>
      <c r="M453" s="6">
        <v>4</v>
      </c>
      <c r="N453" s="6">
        <v>1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W453" s="2"/>
    </row>
    <row r="454" spans="1:49" x14ac:dyDescent="0.25">
      <c r="A454" s="6" t="s">
        <v>750</v>
      </c>
      <c r="B454" s="6" t="s">
        <v>884</v>
      </c>
      <c r="C454" s="6"/>
      <c r="D454" s="6"/>
      <c r="E454" s="6"/>
      <c r="G454" s="6" t="s">
        <v>425</v>
      </c>
      <c r="H454" s="6"/>
      <c r="I454" s="9"/>
      <c r="J454" s="9"/>
      <c r="K454" s="9">
        <v>2</v>
      </c>
      <c r="L454" s="6">
        <v>0</v>
      </c>
      <c r="M454" s="6">
        <v>1</v>
      </c>
      <c r="N454" s="6">
        <v>2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W454" s="2"/>
    </row>
    <row r="455" spans="1:49" x14ac:dyDescent="0.25">
      <c r="A455" s="6" t="s">
        <v>750</v>
      </c>
      <c r="B455" s="6" t="s">
        <v>884</v>
      </c>
      <c r="C455" s="6"/>
      <c r="D455" s="6"/>
      <c r="E455" s="6"/>
      <c r="G455" s="6" t="s">
        <v>431</v>
      </c>
      <c r="H455" s="6"/>
      <c r="I455" s="9"/>
      <c r="J455" s="9"/>
      <c r="K455" s="9">
        <v>11</v>
      </c>
      <c r="L455" s="6">
        <v>0</v>
      </c>
      <c r="M455" s="6">
        <v>2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1</v>
      </c>
      <c r="Y455" s="6">
        <v>0</v>
      </c>
      <c r="Z455" s="6">
        <v>0</v>
      </c>
      <c r="AA455" s="6">
        <v>0</v>
      </c>
      <c r="AB455" s="6">
        <v>0</v>
      </c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W455" s="2"/>
    </row>
    <row r="456" spans="1:49" x14ac:dyDescent="0.25">
      <c r="A456" s="6" t="s">
        <v>750</v>
      </c>
      <c r="B456" s="6" t="s">
        <v>884</v>
      </c>
      <c r="C456" s="6"/>
      <c r="D456" s="6"/>
      <c r="E456" s="6"/>
      <c r="G456" s="6" t="s">
        <v>431</v>
      </c>
      <c r="H456" s="6"/>
      <c r="I456" s="9"/>
      <c r="J456" s="9"/>
      <c r="K456" s="9">
        <v>7</v>
      </c>
      <c r="L456" s="6">
        <v>0</v>
      </c>
      <c r="M456" s="6">
        <v>2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1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  <c r="AB456" s="6">
        <v>0</v>
      </c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W456" s="2"/>
    </row>
    <row r="457" spans="1:49" x14ac:dyDescent="0.25">
      <c r="A457" s="6" t="s">
        <v>750</v>
      </c>
      <c r="B457" s="6" t="s">
        <v>884</v>
      </c>
      <c r="C457" s="6"/>
      <c r="D457" s="6"/>
      <c r="E457" s="6"/>
      <c r="G457" s="6" t="s">
        <v>427</v>
      </c>
      <c r="H457" s="6"/>
      <c r="I457" s="9"/>
      <c r="J457" s="9"/>
      <c r="K457" s="9">
        <v>3.3499999999999996</v>
      </c>
      <c r="L457" s="6">
        <v>6</v>
      </c>
      <c r="M457" s="6">
        <v>1</v>
      </c>
      <c r="N457" s="6">
        <v>1</v>
      </c>
      <c r="O457" s="6">
        <v>0</v>
      </c>
      <c r="P457" s="6">
        <v>0</v>
      </c>
      <c r="Q457" s="6">
        <v>0</v>
      </c>
      <c r="R457" s="6"/>
      <c r="S457" s="6">
        <v>0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6">
        <v>0</v>
      </c>
      <c r="AA457" s="6">
        <v>0</v>
      </c>
      <c r="AB457" s="6">
        <v>0</v>
      </c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W457" s="2"/>
    </row>
    <row r="458" spans="1:49" x14ac:dyDescent="0.25">
      <c r="A458" s="6" t="s">
        <v>750</v>
      </c>
      <c r="B458" s="6" t="s">
        <v>685</v>
      </c>
      <c r="C458" s="6"/>
      <c r="D458" s="6"/>
      <c r="E458" s="6"/>
      <c r="G458" s="6" t="s">
        <v>427</v>
      </c>
      <c r="H458" s="6"/>
      <c r="I458" s="9"/>
      <c r="J458" s="9"/>
      <c r="K458" s="9">
        <v>2.5</v>
      </c>
      <c r="L458" s="6">
        <v>0</v>
      </c>
      <c r="M458" s="6">
        <v>2</v>
      </c>
      <c r="N458" s="6">
        <v>0</v>
      </c>
      <c r="O458" s="6">
        <v>0</v>
      </c>
      <c r="P458" s="6">
        <v>1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0</v>
      </c>
      <c r="Z458" s="6">
        <v>0</v>
      </c>
      <c r="AA458" s="6">
        <v>0</v>
      </c>
      <c r="AB458" s="6">
        <v>0</v>
      </c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W458" s="2"/>
    </row>
    <row r="459" spans="1:49" x14ac:dyDescent="0.25">
      <c r="A459" s="6" t="s">
        <v>750</v>
      </c>
      <c r="B459" s="6" t="s">
        <v>686</v>
      </c>
      <c r="C459" s="6"/>
      <c r="D459" s="6"/>
      <c r="E459" s="6"/>
      <c r="G459" s="6" t="s">
        <v>426</v>
      </c>
      <c r="H459" s="6"/>
      <c r="I459" s="9"/>
      <c r="J459" s="9"/>
      <c r="K459" s="9">
        <v>1.6</v>
      </c>
      <c r="L459" s="6">
        <v>1</v>
      </c>
      <c r="M459" s="6">
        <v>1</v>
      </c>
      <c r="N459" s="6">
        <v>1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W459" s="2"/>
    </row>
    <row r="460" spans="1:49" x14ac:dyDescent="0.25">
      <c r="A460" s="6" t="s">
        <v>750</v>
      </c>
      <c r="B460" s="6" t="s">
        <v>687</v>
      </c>
      <c r="C460" s="6"/>
      <c r="D460" s="6"/>
      <c r="E460" s="6"/>
      <c r="G460" s="6" t="s">
        <v>426</v>
      </c>
      <c r="H460" s="6"/>
      <c r="I460" s="9"/>
      <c r="J460" s="9"/>
      <c r="K460" s="9">
        <v>1.95</v>
      </c>
      <c r="L460" s="6">
        <v>2</v>
      </c>
      <c r="M460" s="6">
        <v>1</v>
      </c>
      <c r="N460" s="6">
        <v>1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6">
        <v>0</v>
      </c>
      <c r="AB460" s="6">
        <v>0</v>
      </c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W460" s="2"/>
    </row>
    <row r="461" spans="1:49" x14ac:dyDescent="0.25">
      <c r="A461" s="6" t="s">
        <v>750</v>
      </c>
      <c r="B461" s="6" t="s">
        <v>688</v>
      </c>
      <c r="C461" s="6"/>
      <c r="D461" s="6"/>
      <c r="E461" s="6"/>
      <c r="G461" s="6" t="s">
        <v>426</v>
      </c>
      <c r="H461" s="6"/>
      <c r="I461" s="9"/>
      <c r="J461" s="9"/>
      <c r="K461" s="9">
        <v>2</v>
      </c>
      <c r="L461" s="6">
        <v>0</v>
      </c>
      <c r="M461" s="6">
        <v>4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  <c r="AA461" s="6">
        <v>0</v>
      </c>
      <c r="AB461" s="6">
        <v>0</v>
      </c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W461" s="2"/>
    </row>
    <row r="462" spans="1:49" x14ac:dyDescent="0.25">
      <c r="A462" s="6" t="s">
        <v>750</v>
      </c>
      <c r="B462" s="6" t="s">
        <v>689</v>
      </c>
      <c r="C462" s="6"/>
      <c r="D462" s="6"/>
      <c r="E462" s="6"/>
      <c r="G462" s="6" t="s">
        <v>426</v>
      </c>
      <c r="H462" s="6"/>
      <c r="I462" s="9"/>
      <c r="J462" s="9"/>
      <c r="K462" s="9">
        <v>1.2</v>
      </c>
      <c r="L462" s="6">
        <v>2</v>
      </c>
      <c r="M462" s="6">
        <v>1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6">
        <v>0</v>
      </c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W462" s="2"/>
    </row>
    <row r="463" spans="1:49" x14ac:dyDescent="0.25">
      <c r="A463" s="6" t="s">
        <v>750</v>
      </c>
      <c r="B463" s="6" t="s">
        <v>690</v>
      </c>
      <c r="C463" s="6"/>
      <c r="D463" s="6"/>
      <c r="E463" s="6"/>
      <c r="G463" s="6" t="s">
        <v>430</v>
      </c>
      <c r="H463" s="6"/>
      <c r="I463" s="9"/>
      <c r="J463" s="9"/>
      <c r="K463" s="9">
        <v>8.5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1</v>
      </c>
      <c r="S463" s="6">
        <v>0</v>
      </c>
      <c r="T463" s="6">
        <v>0</v>
      </c>
      <c r="U463" s="6">
        <v>0</v>
      </c>
      <c r="V463" s="6">
        <v>1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6">
        <v>0</v>
      </c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W463" s="2"/>
    </row>
    <row r="464" spans="1:49" x14ac:dyDescent="0.25">
      <c r="A464" s="6" t="s">
        <v>750</v>
      </c>
      <c r="B464" s="6" t="s">
        <v>691</v>
      </c>
      <c r="C464" s="6"/>
      <c r="D464" s="6"/>
      <c r="E464" s="6"/>
      <c r="G464" s="6" t="s">
        <v>430</v>
      </c>
      <c r="H464" s="6"/>
      <c r="I464" s="9"/>
      <c r="J464" s="9"/>
      <c r="K464" s="9">
        <v>6.5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1</v>
      </c>
      <c r="S464" s="6">
        <v>0</v>
      </c>
      <c r="T464" s="6">
        <v>1</v>
      </c>
      <c r="U464" s="6">
        <v>0</v>
      </c>
      <c r="V464" s="6">
        <v>0</v>
      </c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6">
        <v>0</v>
      </c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W464" s="2"/>
    </row>
    <row r="465" spans="1:49" x14ac:dyDescent="0.25">
      <c r="A465" s="6" t="s">
        <v>750</v>
      </c>
      <c r="B465" s="6" t="s">
        <v>692</v>
      </c>
      <c r="C465" s="6"/>
      <c r="D465" s="6"/>
      <c r="E465" s="6"/>
      <c r="G465" s="6" t="s">
        <v>424</v>
      </c>
      <c r="H465" s="6"/>
      <c r="I465" s="9"/>
      <c r="J465" s="9"/>
      <c r="K465" s="9">
        <v>4.8</v>
      </c>
      <c r="L465" s="6">
        <v>3</v>
      </c>
      <c r="M465" s="6">
        <v>1</v>
      </c>
      <c r="N465" s="6">
        <v>1</v>
      </c>
      <c r="O465" s="6">
        <v>0</v>
      </c>
      <c r="P465" s="6">
        <v>0</v>
      </c>
      <c r="Q465" s="6">
        <v>0</v>
      </c>
      <c r="R465" s="6">
        <v>1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W465" s="2"/>
    </row>
    <row r="466" spans="1:49" x14ac:dyDescent="0.25">
      <c r="A466" s="6" t="s">
        <v>750</v>
      </c>
      <c r="B466" s="6" t="s">
        <v>693</v>
      </c>
      <c r="C466" s="6"/>
      <c r="D466" s="6"/>
      <c r="E466" s="6"/>
      <c r="G466" s="6" t="s">
        <v>427</v>
      </c>
      <c r="H466" s="6"/>
      <c r="I466" s="9"/>
      <c r="J466" s="9"/>
      <c r="K466" s="9">
        <v>2</v>
      </c>
      <c r="L466" s="6">
        <v>0</v>
      </c>
      <c r="M466" s="6">
        <v>0</v>
      </c>
      <c r="N466" s="6">
        <v>0</v>
      </c>
      <c r="O466" s="6">
        <v>2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6">
        <v>0</v>
      </c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W466" s="2"/>
    </row>
    <row r="467" spans="1:49" x14ac:dyDescent="0.25">
      <c r="A467" s="6" t="s">
        <v>750</v>
      </c>
      <c r="B467" s="6" t="s">
        <v>884</v>
      </c>
      <c r="C467" s="6"/>
      <c r="D467" s="6"/>
      <c r="E467" s="6"/>
      <c r="G467" s="6" t="s">
        <v>424</v>
      </c>
      <c r="H467" s="6"/>
      <c r="I467" s="9"/>
      <c r="J467" s="9"/>
      <c r="K467" s="9">
        <v>4.75</v>
      </c>
      <c r="L467" s="6">
        <v>0</v>
      </c>
      <c r="M467" s="6">
        <v>0</v>
      </c>
      <c r="N467" s="6">
        <v>1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1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W467" s="2"/>
    </row>
    <row r="468" spans="1:49" x14ac:dyDescent="0.25">
      <c r="A468" s="6" t="s">
        <v>750</v>
      </c>
      <c r="B468" s="6" t="s">
        <v>694</v>
      </c>
      <c r="C468" s="6"/>
      <c r="D468" s="6"/>
      <c r="E468" s="6"/>
      <c r="G468" s="6" t="s">
        <v>427</v>
      </c>
      <c r="H468" s="6"/>
      <c r="I468" s="9"/>
      <c r="J468" s="9"/>
      <c r="K468" s="9">
        <v>2.25</v>
      </c>
      <c r="L468" s="6">
        <v>0</v>
      </c>
      <c r="M468" s="6">
        <v>0</v>
      </c>
      <c r="N468" s="6">
        <v>1</v>
      </c>
      <c r="O468" s="6">
        <v>0</v>
      </c>
      <c r="P468" s="6">
        <v>1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W468" s="2"/>
    </row>
    <row r="469" spans="1:49" x14ac:dyDescent="0.25">
      <c r="A469" s="6" t="s">
        <v>750</v>
      </c>
      <c r="B469" s="6" t="s">
        <v>695</v>
      </c>
      <c r="C469" s="6"/>
      <c r="D469" s="6"/>
      <c r="E469" s="6"/>
      <c r="G469" s="6" t="s">
        <v>426</v>
      </c>
      <c r="H469" s="6"/>
      <c r="I469" s="9"/>
      <c r="J469" s="9"/>
      <c r="K469" s="9">
        <v>1.85</v>
      </c>
      <c r="L469" s="6">
        <v>1</v>
      </c>
      <c r="M469" s="6">
        <v>1</v>
      </c>
      <c r="N469" s="6">
        <v>0</v>
      </c>
      <c r="O469" s="6">
        <v>1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W469" s="2"/>
    </row>
    <row r="470" spans="1:49" x14ac:dyDescent="0.25">
      <c r="A470" s="6" t="s">
        <v>750</v>
      </c>
      <c r="B470" s="6" t="s">
        <v>884</v>
      </c>
      <c r="C470" s="6"/>
      <c r="D470" s="6"/>
      <c r="E470" s="6"/>
      <c r="G470" s="6" t="s">
        <v>431</v>
      </c>
      <c r="H470" s="6"/>
      <c r="I470" s="9"/>
      <c r="J470" s="9"/>
      <c r="K470" s="9">
        <v>10.5</v>
      </c>
      <c r="L470" s="6">
        <v>0</v>
      </c>
      <c r="M470" s="6">
        <v>1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1</v>
      </c>
      <c r="Y470" s="6">
        <v>0</v>
      </c>
      <c r="Z470" s="6">
        <v>0</v>
      </c>
      <c r="AA470" s="6">
        <v>0</v>
      </c>
      <c r="AB470" s="6">
        <v>0</v>
      </c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W470" s="2"/>
    </row>
    <row r="471" spans="1:49" x14ac:dyDescent="0.25">
      <c r="A471" s="6" t="s">
        <v>750</v>
      </c>
      <c r="B471" s="6" t="s">
        <v>884</v>
      </c>
      <c r="C471" s="6"/>
      <c r="D471" s="6"/>
      <c r="E471" s="6"/>
      <c r="G471" s="6" t="s">
        <v>431</v>
      </c>
      <c r="H471" s="6"/>
      <c r="I471" s="9"/>
      <c r="J471" s="9"/>
      <c r="K471" s="9">
        <v>6.5</v>
      </c>
      <c r="L471" s="6">
        <v>0</v>
      </c>
      <c r="M471" s="6">
        <v>1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1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W471" s="2"/>
    </row>
    <row r="472" spans="1:49" x14ac:dyDescent="0.25">
      <c r="A472" s="6" t="s">
        <v>750</v>
      </c>
      <c r="B472" s="6" t="s">
        <v>696</v>
      </c>
      <c r="C472" s="6"/>
      <c r="D472" s="6"/>
      <c r="E472" s="6"/>
      <c r="G472" s="6" t="s">
        <v>424</v>
      </c>
      <c r="H472" s="6"/>
      <c r="I472" s="9"/>
      <c r="J472" s="9"/>
      <c r="K472" s="9">
        <v>4.5</v>
      </c>
      <c r="L472" s="6">
        <v>0</v>
      </c>
      <c r="M472" s="6">
        <v>1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1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  <c r="Z472" s="6">
        <v>0</v>
      </c>
      <c r="AA472" s="6">
        <v>0</v>
      </c>
      <c r="AB472" s="6">
        <v>0</v>
      </c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W472" s="2"/>
    </row>
    <row r="473" spans="1:49" x14ac:dyDescent="0.25">
      <c r="A473" s="6" t="s">
        <v>750</v>
      </c>
      <c r="B473" s="6" t="s">
        <v>884</v>
      </c>
      <c r="C473" s="6"/>
      <c r="D473" s="6"/>
      <c r="E473" s="6"/>
      <c r="G473" s="6" t="s">
        <v>427</v>
      </c>
      <c r="H473" s="6"/>
      <c r="I473" s="9"/>
      <c r="J473" s="9"/>
      <c r="K473" s="9">
        <v>3</v>
      </c>
      <c r="L473" s="6">
        <v>0</v>
      </c>
      <c r="M473" s="6">
        <v>1</v>
      </c>
      <c r="N473" s="6">
        <v>0</v>
      </c>
      <c r="O473" s="6">
        <v>0</v>
      </c>
      <c r="P473" s="6">
        <v>0</v>
      </c>
      <c r="Q473" s="6">
        <v>0</v>
      </c>
      <c r="R473" s="6">
        <v>1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W473" s="2"/>
    </row>
    <row r="474" spans="1:49" x14ac:dyDescent="0.25">
      <c r="A474" s="6" t="s">
        <v>750</v>
      </c>
      <c r="B474" s="6" t="s">
        <v>697</v>
      </c>
      <c r="C474" s="6"/>
      <c r="D474" s="6"/>
      <c r="E474" s="6"/>
      <c r="G474" s="6" t="s">
        <v>426</v>
      </c>
      <c r="H474" s="6"/>
      <c r="I474" s="9"/>
      <c r="J474" s="9"/>
      <c r="K474" s="9">
        <v>1.1000000000000001</v>
      </c>
      <c r="L474" s="6">
        <v>1</v>
      </c>
      <c r="M474" s="6">
        <v>0</v>
      </c>
      <c r="N474" s="6">
        <v>1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W474" s="2"/>
    </row>
    <row r="475" spans="1:49" x14ac:dyDescent="0.25">
      <c r="A475" s="6" t="s">
        <v>750</v>
      </c>
      <c r="B475" s="6" t="s">
        <v>884</v>
      </c>
      <c r="C475" s="6"/>
      <c r="D475" s="6"/>
      <c r="E475" s="6"/>
      <c r="G475" s="6" t="s">
        <v>429</v>
      </c>
      <c r="H475" s="6"/>
      <c r="I475" s="9"/>
      <c r="J475" s="9"/>
      <c r="K475" s="9">
        <v>0.85</v>
      </c>
      <c r="L475" s="6">
        <v>1</v>
      </c>
      <c r="M475" s="6">
        <v>1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W475" s="2"/>
    </row>
    <row r="476" spans="1:49" x14ac:dyDescent="0.25">
      <c r="A476" s="6" t="s">
        <v>750</v>
      </c>
      <c r="B476" s="6" t="s">
        <v>698</v>
      </c>
      <c r="C476" s="6"/>
      <c r="D476" s="6"/>
      <c r="E476" s="6"/>
      <c r="G476" s="6" t="s">
        <v>426</v>
      </c>
      <c r="H476" s="6"/>
      <c r="I476" s="9"/>
      <c r="J476" s="9"/>
      <c r="K476" s="9">
        <v>1.7</v>
      </c>
      <c r="L476" s="6">
        <v>2</v>
      </c>
      <c r="M476" s="6">
        <v>2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6">
        <v>0</v>
      </c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W476" s="2"/>
    </row>
    <row r="477" spans="1:49" x14ac:dyDescent="0.25">
      <c r="A477" s="6" t="s">
        <v>750</v>
      </c>
      <c r="B477" s="6" t="s">
        <v>699</v>
      </c>
      <c r="C477" s="6"/>
      <c r="D477" s="6"/>
      <c r="E477" s="6"/>
      <c r="G477" s="6" t="s">
        <v>426</v>
      </c>
      <c r="H477" s="6"/>
      <c r="I477" s="9"/>
      <c r="J477" s="9"/>
      <c r="K477" s="9">
        <v>1.5</v>
      </c>
      <c r="L477" s="6">
        <v>0</v>
      </c>
      <c r="M477" s="6">
        <v>3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  <c r="AA477" s="6">
        <v>0</v>
      </c>
      <c r="AB477" s="6">
        <v>0</v>
      </c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W477" s="2"/>
    </row>
    <row r="478" spans="1:49" x14ac:dyDescent="0.25">
      <c r="A478" s="6" t="s">
        <v>750</v>
      </c>
      <c r="B478" s="6" t="s">
        <v>700</v>
      </c>
      <c r="C478" s="6"/>
      <c r="D478" s="6"/>
      <c r="E478" s="6"/>
      <c r="G478" s="6" t="s">
        <v>424</v>
      </c>
      <c r="H478" s="6"/>
      <c r="I478" s="9"/>
      <c r="J478" s="9"/>
      <c r="K478" s="9">
        <v>5.25</v>
      </c>
      <c r="L478" s="6">
        <v>0</v>
      </c>
      <c r="M478" s="6">
        <v>2</v>
      </c>
      <c r="N478" s="6">
        <v>1</v>
      </c>
      <c r="O478" s="6">
        <v>1</v>
      </c>
      <c r="P478" s="6">
        <v>0</v>
      </c>
      <c r="Q478" s="6">
        <v>0</v>
      </c>
      <c r="R478" s="6">
        <v>1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  <c r="X478" s="6">
        <v>0</v>
      </c>
      <c r="Y478" s="6">
        <v>0</v>
      </c>
      <c r="Z478" s="6">
        <v>0</v>
      </c>
      <c r="AA478" s="6">
        <v>0</v>
      </c>
      <c r="AB478" s="6">
        <v>0</v>
      </c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W478" s="2"/>
    </row>
    <row r="479" spans="1:49" x14ac:dyDescent="0.25">
      <c r="A479" s="6" t="s">
        <v>750</v>
      </c>
      <c r="B479" s="6" t="s">
        <v>701</v>
      </c>
      <c r="C479" s="6"/>
      <c r="D479" s="6"/>
      <c r="E479" s="6"/>
      <c r="G479" s="6" t="s">
        <v>427</v>
      </c>
      <c r="H479" s="6"/>
      <c r="I479" s="9"/>
      <c r="J479" s="9"/>
      <c r="K479" s="9">
        <v>2</v>
      </c>
      <c r="L479" s="6">
        <v>0</v>
      </c>
      <c r="M479" s="6">
        <v>4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</v>
      </c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W479" s="2"/>
    </row>
    <row r="480" spans="1:49" x14ac:dyDescent="0.25">
      <c r="A480" s="6" t="s">
        <v>750</v>
      </c>
      <c r="B480" s="6" t="s">
        <v>702</v>
      </c>
      <c r="C480" s="6"/>
      <c r="D480" s="6"/>
      <c r="E480" s="6"/>
      <c r="G480" s="6" t="s">
        <v>425</v>
      </c>
      <c r="H480" s="6"/>
      <c r="I480" s="9"/>
      <c r="J480" s="9"/>
      <c r="K480" s="9">
        <v>2.2000000000000002</v>
      </c>
      <c r="L480" s="6">
        <v>2</v>
      </c>
      <c r="M480" s="6">
        <v>3</v>
      </c>
      <c r="N480" s="6"/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0</v>
      </c>
      <c r="AB480" s="6">
        <v>0</v>
      </c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W480" s="2"/>
    </row>
    <row r="481" spans="1:49" x14ac:dyDescent="0.25">
      <c r="A481" s="6" t="s">
        <v>750</v>
      </c>
      <c r="B481" s="6" t="s">
        <v>703</v>
      </c>
      <c r="C481" s="6"/>
      <c r="D481" s="6"/>
      <c r="E481" s="6"/>
      <c r="G481" s="6" t="s">
        <v>425</v>
      </c>
      <c r="H481" s="6"/>
      <c r="I481" s="9"/>
      <c r="J481" s="9"/>
      <c r="K481" s="9">
        <v>2.7</v>
      </c>
      <c r="L481" s="6">
        <v>2</v>
      </c>
      <c r="M481" s="6">
        <v>4</v>
      </c>
      <c r="N481" s="6"/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W481" s="2"/>
    </row>
    <row r="482" spans="1:49" x14ac:dyDescent="0.25">
      <c r="A482" s="6" t="s">
        <v>750</v>
      </c>
      <c r="B482" s="6" t="s">
        <v>704</v>
      </c>
      <c r="C482" s="6"/>
      <c r="D482" s="6"/>
      <c r="E482" s="6"/>
      <c r="G482" s="6" t="s">
        <v>425</v>
      </c>
      <c r="H482" s="6"/>
      <c r="I482" s="9"/>
      <c r="J482" s="9"/>
      <c r="K482" s="9">
        <v>3.2</v>
      </c>
      <c r="L482" s="6">
        <v>2</v>
      </c>
      <c r="M482" s="6">
        <v>5</v>
      </c>
      <c r="N482" s="6"/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W482" s="2"/>
    </row>
    <row r="483" spans="1:49" x14ac:dyDescent="0.25">
      <c r="A483" s="6" t="s">
        <v>750</v>
      </c>
      <c r="B483" s="6" t="s">
        <v>705</v>
      </c>
      <c r="C483" s="6"/>
      <c r="D483" s="6"/>
      <c r="E483" s="6"/>
      <c r="G483" s="6" t="s">
        <v>427</v>
      </c>
      <c r="H483" s="6"/>
      <c r="I483" s="9"/>
      <c r="J483" s="9"/>
      <c r="K483" s="9">
        <v>3.5</v>
      </c>
      <c r="L483" s="6">
        <v>0</v>
      </c>
      <c r="M483" s="6">
        <v>1</v>
      </c>
      <c r="N483" s="6">
        <v>2</v>
      </c>
      <c r="O483" s="6">
        <v>0</v>
      </c>
      <c r="P483" s="6">
        <v>1</v>
      </c>
      <c r="Q483" s="6">
        <v>0</v>
      </c>
      <c r="R483" s="6"/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W483" s="2"/>
    </row>
    <row r="484" spans="1:49" x14ac:dyDescent="0.25">
      <c r="A484" s="6" t="s">
        <v>750</v>
      </c>
      <c r="B484" s="6" t="s">
        <v>706</v>
      </c>
      <c r="C484" s="6"/>
      <c r="D484" s="6"/>
      <c r="E484" s="6"/>
      <c r="G484" s="6" t="s">
        <v>425</v>
      </c>
      <c r="H484" s="6"/>
      <c r="I484" s="9"/>
      <c r="J484" s="9"/>
      <c r="K484" s="9">
        <v>3.85</v>
      </c>
      <c r="L484" s="6">
        <v>1</v>
      </c>
      <c r="M484" s="6">
        <v>3</v>
      </c>
      <c r="N484" s="6"/>
      <c r="O484" s="6">
        <v>2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  <c r="X484" s="6">
        <v>0</v>
      </c>
      <c r="Y484" s="6">
        <v>0</v>
      </c>
      <c r="Z484" s="6">
        <v>0</v>
      </c>
      <c r="AA484" s="6">
        <v>0</v>
      </c>
      <c r="AB484" s="6">
        <v>0</v>
      </c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W484" s="2"/>
    </row>
    <row r="485" spans="1:49" x14ac:dyDescent="0.25">
      <c r="A485" s="6" t="s">
        <v>750</v>
      </c>
      <c r="B485" s="6" t="s">
        <v>707</v>
      </c>
      <c r="C485" s="6"/>
      <c r="D485" s="6"/>
      <c r="E485" s="6"/>
      <c r="G485" s="6" t="s">
        <v>425</v>
      </c>
      <c r="H485" s="6"/>
      <c r="I485" s="9"/>
      <c r="J485" s="9"/>
      <c r="K485" s="9">
        <v>3.5</v>
      </c>
      <c r="L485" s="6">
        <v>0</v>
      </c>
      <c r="M485" s="6">
        <v>3</v>
      </c>
      <c r="N485" s="6"/>
      <c r="O485" s="6">
        <v>2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6">
        <v>0</v>
      </c>
      <c r="Z485" s="6">
        <v>0</v>
      </c>
      <c r="AA485" s="6">
        <v>0</v>
      </c>
      <c r="AB485" s="6">
        <v>0</v>
      </c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W485" s="2"/>
    </row>
    <row r="486" spans="1:49" x14ac:dyDescent="0.25">
      <c r="A486" s="6" t="s">
        <v>750</v>
      </c>
      <c r="B486" s="6" t="s">
        <v>708</v>
      </c>
      <c r="C486" s="6"/>
      <c r="D486" s="6"/>
      <c r="E486" s="6"/>
      <c r="G486" s="6" t="s">
        <v>425</v>
      </c>
      <c r="H486" s="6"/>
      <c r="I486" s="9"/>
      <c r="J486" s="9"/>
      <c r="K486" s="9">
        <v>3</v>
      </c>
      <c r="L486" s="6">
        <v>0</v>
      </c>
      <c r="M486" s="6">
        <v>4</v>
      </c>
      <c r="N486" s="6"/>
      <c r="O486" s="6">
        <v>1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0</v>
      </c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W486" s="2"/>
    </row>
    <row r="487" spans="1:49" x14ac:dyDescent="0.25">
      <c r="A487" s="6" t="s">
        <v>750</v>
      </c>
      <c r="B487" s="6" t="s">
        <v>709</v>
      </c>
      <c r="C487" s="6"/>
      <c r="D487" s="6"/>
      <c r="E487" s="6"/>
      <c r="G487" s="6" t="s">
        <v>425</v>
      </c>
      <c r="H487" s="6"/>
      <c r="I487" s="9"/>
      <c r="J487" s="9"/>
      <c r="K487" s="9">
        <v>3.05</v>
      </c>
      <c r="L487" s="6">
        <v>3</v>
      </c>
      <c r="M487" s="6">
        <v>4</v>
      </c>
      <c r="N487" s="6"/>
      <c r="O487" s="6"/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W487" s="2"/>
    </row>
    <row r="488" spans="1:49" x14ac:dyDescent="0.25">
      <c r="A488" s="6" t="s">
        <v>750</v>
      </c>
      <c r="B488" s="6" t="s">
        <v>710</v>
      </c>
      <c r="C488" s="6"/>
      <c r="D488" s="6"/>
      <c r="E488" s="6"/>
      <c r="G488" s="6" t="s">
        <v>425</v>
      </c>
      <c r="H488" s="6"/>
      <c r="I488" s="9"/>
      <c r="J488" s="9"/>
      <c r="K488" s="9">
        <v>2.35</v>
      </c>
      <c r="L488" s="6">
        <v>1</v>
      </c>
      <c r="M488" s="6">
        <v>4</v>
      </c>
      <c r="N488" s="6"/>
      <c r="O488" s="6"/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6">
        <v>0</v>
      </c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W488" s="2"/>
    </row>
    <row r="489" spans="1:49" x14ac:dyDescent="0.25">
      <c r="A489" s="6" t="s">
        <v>750</v>
      </c>
      <c r="B489" s="6" t="s">
        <v>711</v>
      </c>
      <c r="C489" s="6"/>
      <c r="D489" s="6"/>
      <c r="E489" s="6"/>
      <c r="G489" s="6" t="s">
        <v>425</v>
      </c>
      <c r="H489" s="6"/>
      <c r="I489" s="9"/>
      <c r="J489" s="9"/>
      <c r="K489" s="9">
        <v>2.85</v>
      </c>
      <c r="L489" s="6">
        <v>1</v>
      </c>
      <c r="M489" s="6">
        <v>3</v>
      </c>
      <c r="N489" s="6"/>
      <c r="O489" s="6">
        <v>1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W489" s="2"/>
    </row>
    <row r="490" spans="1:49" x14ac:dyDescent="0.25">
      <c r="A490" s="6" t="s">
        <v>750</v>
      </c>
      <c r="B490" s="6" t="s">
        <v>712</v>
      </c>
      <c r="C490" s="6"/>
      <c r="D490" s="6"/>
      <c r="E490" s="6"/>
      <c r="G490" s="6" t="s">
        <v>425</v>
      </c>
      <c r="H490" s="6"/>
      <c r="I490" s="9"/>
      <c r="J490" s="9"/>
      <c r="K490" s="9">
        <v>2.5</v>
      </c>
      <c r="L490" s="6">
        <v>0</v>
      </c>
      <c r="M490" s="6">
        <v>5</v>
      </c>
      <c r="N490" s="6"/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0</v>
      </c>
      <c r="Y490" s="6">
        <v>0</v>
      </c>
      <c r="Z490" s="6">
        <v>0</v>
      </c>
      <c r="AA490" s="6">
        <v>0</v>
      </c>
      <c r="AB490" s="6">
        <v>0</v>
      </c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W490" s="2"/>
    </row>
    <row r="491" spans="1:49" x14ac:dyDescent="0.25">
      <c r="A491" s="6" t="s">
        <v>750</v>
      </c>
      <c r="B491" s="6" t="s">
        <v>713</v>
      </c>
      <c r="C491" s="6"/>
      <c r="D491" s="6"/>
      <c r="E491" s="6"/>
      <c r="G491" s="6" t="s">
        <v>425</v>
      </c>
      <c r="H491" s="6"/>
      <c r="I491" s="9"/>
      <c r="J491" s="9"/>
      <c r="K491" s="9">
        <v>3.35</v>
      </c>
      <c r="L491" s="6">
        <v>1</v>
      </c>
      <c r="M491" s="6">
        <v>4</v>
      </c>
      <c r="N491" s="6"/>
      <c r="O491" s="6">
        <v>1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0</v>
      </c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W491" s="2"/>
    </row>
    <row r="492" spans="1:49" x14ac:dyDescent="0.25">
      <c r="A492" s="6" t="s">
        <v>750</v>
      </c>
      <c r="B492" s="6" t="s">
        <v>714</v>
      </c>
      <c r="C492" s="6"/>
      <c r="D492" s="6"/>
      <c r="E492" s="6"/>
      <c r="G492" s="6" t="s">
        <v>427</v>
      </c>
      <c r="H492" s="6"/>
      <c r="I492" s="9"/>
      <c r="J492" s="9"/>
      <c r="K492" s="9">
        <v>3.75</v>
      </c>
      <c r="L492" s="6">
        <v>0</v>
      </c>
      <c r="M492" s="6">
        <v>1</v>
      </c>
      <c r="N492" s="6">
        <v>1</v>
      </c>
      <c r="O492" s="6">
        <v>1</v>
      </c>
      <c r="P492" s="6">
        <v>1</v>
      </c>
      <c r="Q492" s="6">
        <v>0</v>
      </c>
      <c r="R492" s="6"/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6">
        <v>0</v>
      </c>
      <c r="AB492" s="6">
        <v>0</v>
      </c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W492" s="2"/>
    </row>
    <row r="493" spans="1:49" x14ac:dyDescent="0.25">
      <c r="A493" s="6" t="s">
        <v>750</v>
      </c>
      <c r="B493" s="6" t="s">
        <v>715</v>
      </c>
      <c r="C493" s="6"/>
      <c r="D493" s="6"/>
      <c r="E493" s="6"/>
      <c r="G493" s="6" t="s">
        <v>427</v>
      </c>
      <c r="H493" s="6"/>
      <c r="I493" s="9"/>
      <c r="J493" s="9"/>
      <c r="K493" s="9">
        <v>3.75</v>
      </c>
      <c r="L493" s="6">
        <v>0</v>
      </c>
      <c r="M493" s="6">
        <v>3</v>
      </c>
      <c r="N493" s="6">
        <v>1</v>
      </c>
      <c r="O493" s="6"/>
      <c r="P493" s="6">
        <v>1</v>
      </c>
      <c r="Q493" s="6">
        <v>0</v>
      </c>
      <c r="R493" s="6"/>
      <c r="S493" s="6">
        <v>0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W493" s="2"/>
    </row>
    <row r="494" spans="1:49" x14ac:dyDescent="0.25">
      <c r="A494" s="6" t="s">
        <v>750</v>
      </c>
      <c r="B494" s="6" t="s">
        <v>716</v>
      </c>
      <c r="C494" s="6"/>
      <c r="D494" s="6"/>
      <c r="E494" s="6"/>
      <c r="G494" s="6" t="s">
        <v>424</v>
      </c>
      <c r="H494" s="6"/>
      <c r="I494" s="9"/>
      <c r="J494" s="9"/>
      <c r="K494" s="9">
        <v>5.5</v>
      </c>
      <c r="L494" s="6">
        <v>0</v>
      </c>
      <c r="M494" s="6">
        <v>0</v>
      </c>
      <c r="N494" s="6">
        <v>0</v>
      </c>
      <c r="O494" s="6">
        <v>0</v>
      </c>
      <c r="P494" s="6">
        <v>2</v>
      </c>
      <c r="Q494" s="6">
        <v>0</v>
      </c>
      <c r="R494" s="6">
        <v>1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  <c r="Z494" s="6">
        <v>0</v>
      </c>
      <c r="AA494" s="6">
        <v>0</v>
      </c>
      <c r="AB494" s="6">
        <v>0</v>
      </c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W494" s="2"/>
    </row>
    <row r="495" spans="1:49" x14ac:dyDescent="0.25">
      <c r="A495" s="6" t="s">
        <v>750</v>
      </c>
      <c r="B495" s="6" t="s">
        <v>717</v>
      </c>
      <c r="C495" s="6"/>
      <c r="D495" s="6"/>
      <c r="E495" s="6"/>
      <c r="G495" s="6" t="s">
        <v>424</v>
      </c>
      <c r="H495" s="6"/>
      <c r="I495" s="9"/>
      <c r="J495" s="9"/>
      <c r="K495" s="9">
        <v>5.75</v>
      </c>
      <c r="L495" s="6">
        <v>0</v>
      </c>
      <c r="M495" s="6">
        <v>3</v>
      </c>
      <c r="N495" s="6">
        <v>1</v>
      </c>
      <c r="O495" s="6">
        <v>1</v>
      </c>
      <c r="P495" s="6">
        <v>0</v>
      </c>
      <c r="Q495" s="6">
        <v>0</v>
      </c>
      <c r="R495" s="6">
        <v>1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W495" s="2"/>
    </row>
    <row r="496" spans="1:49" x14ac:dyDescent="0.25">
      <c r="A496" s="6" t="s">
        <v>750</v>
      </c>
      <c r="B496" s="6" t="s">
        <v>718</v>
      </c>
      <c r="C496" s="6"/>
      <c r="D496" s="6"/>
      <c r="E496" s="6"/>
      <c r="G496" s="6" t="s">
        <v>430</v>
      </c>
      <c r="H496" s="6"/>
      <c r="I496" s="9"/>
      <c r="J496" s="9"/>
      <c r="K496" s="9">
        <v>5.5</v>
      </c>
      <c r="L496" s="6">
        <v>0</v>
      </c>
      <c r="M496" s="6">
        <v>0</v>
      </c>
      <c r="N496" s="6">
        <v>0</v>
      </c>
      <c r="O496" s="6">
        <v>0</v>
      </c>
      <c r="P496" s="6">
        <v>2</v>
      </c>
      <c r="Q496" s="6">
        <v>0</v>
      </c>
      <c r="R496" s="6">
        <v>1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6">
        <v>0</v>
      </c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W496" s="2"/>
    </row>
    <row r="497" spans="1:49" x14ac:dyDescent="0.25">
      <c r="A497" s="6" t="s">
        <v>750</v>
      </c>
      <c r="B497" s="6" t="s">
        <v>719</v>
      </c>
      <c r="C497" s="6"/>
      <c r="D497" s="6"/>
      <c r="E497" s="6"/>
      <c r="G497" s="6" t="s">
        <v>427</v>
      </c>
      <c r="H497" s="6"/>
      <c r="I497" s="9"/>
      <c r="J497" s="9"/>
      <c r="K497" s="9">
        <v>3.25</v>
      </c>
      <c r="L497" s="6">
        <v>0</v>
      </c>
      <c r="M497" s="6">
        <v>2</v>
      </c>
      <c r="N497" s="6">
        <v>1</v>
      </c>
      <c r="O497" s="6">
        <v>0</v>
      </c>
      <c r="P497" s="6">
        <v>1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W497" s="2"/>
    </row>
    <row r="498" spans="1:49" x14ac:dyDescent="0.25">
      <c r="A498" s="6" t="s">
        <v>750</v>
      </c>
      <c r="B498" s="6" t="s">
        <v>720</v>
      </c>
      <c r="C498" s="6"/>
      <c r="D498" s="6"/>
      <c r="E498" s="6"/>
      <c r="G498" s="6" t="s">
        <v>427</v>
      </c>
      <c r="H498" s="6"/>
      <c r="I498" s="9"/>
      <c r="J498" s="9"/>
      <c r="K498" s="9">
        <v>2.6</v>
      </c>
      <c r="L498" s="6">
        <v>1</v>
      </c>
      <c r="M498" s="6">
        <v>3</v>
      </c>
      <c r="N498" s="6">
        <v>1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6">
        <v>0</v>
      </c>
      <c r="Z498" s="6">
        <v>0</v>
      </c>
      <c r="AA498" s="6">
        <v>0</v>
      </c>
      <c r="AB498" s="6">
        <v>0</v>
      </c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W498" s="2"/>
    </row>
    <row r="499" spans="1:49" x14ac:dyDescent="0.25">
      <c r="A499" s="6" t="s">
        <v>750</v>
      </c>
      <c r="B499" s="6" t="s">
        <v>721</v>
      </c>
      <c r="C499" s="6"/>
      <c r="D499" s="6"/>
      <c r="E499" s="6"/>
      <c r="G499" s="6" t="s">
        <v>427</v>
      </c>
      <c r="H499" s="6"/>
      <c r="I499" s="9"/>
      <c r="J499" s="9"/>
      <c r="K499" s="9">
        <v>2.5</v>
      </c>
      <c r="L499" s="6">
        <v>0</v>
      </c>
      <c r="M499" s="6">
        <v>1</v>
      </c>
      <c r="N499" s="6">
        <v>0</v>
      </c>
      <c r="O499" s="6">
        <v>2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W499" s="2"/>
    </row>
    <row r="500" spans="1:49" x14ac:dyDescent="0.25">
      <c r="A500" s="6" t="s">
        <v>750</v>
      </c>
      <c r="B500" s="6" t="s">
        <v>722</v>
      </c>
      <c r="C500" s="6"/>
      <c r="D500" s="6"/>
      <c r="E500" s="6"/>
      <c r="G500" s="6" t="s">
        <v>427</v>
      </c>
      <c r="H500" s="6"/>
      <c r="I500" s="9"/>
      <c r="J500" s="9"/>
      <c r="K500" s="9">
        <v>3.95</v>
      </c>
      <c r="L500" s="6">
        <v>2</v>
      </c>
      <c r="M500" s="6">
        <v>0</v>
      </c>
      <c r="N500" s="6">
        <v>1</v>
      </c>
      <c r="O500" s="6">
        <v>0</v>
      </c>
      <c r="P500" s="6">
        <v>0</v>
      </c>
      <c r="Q500" s="6">
        <v>0</v>
      </c>
      <c r="R500" s="6">
        <v>1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0</v>
      </c>
      <c r="AB500" s="6">
        <v>0</v>
      </c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W500" s="2"/>
    </row>
    <row r="501" spans="1:49" x14ac:dyDescent="0.25">
      <c r="A501" s="6" t="s">
        <v>750</v>
      </c>
      <c r="B501" s="6" t="s">
        <v>723</v>
      </c>
      <c r="C501" s="6"/>
      <c r="D501" s="6"/>
      <c r="E501" s="6"/>
      <c r="G501" s="6" t="s">
        <v>424</v>
      </c>
      <c r="H501" s="6"/>
      <c r="I501" s="9"/>
      <c r="J501" s="9"/>
      <c r="K501" s="9">
        <v>4.5</v>
      </c>
      <c r="L501" s="6">
        <v>0</v>
      </c>
      <c r="M501" s="6">
        <v>1</v>
      </c>
      <c r="N501" s="6">
        <v>0</v>
      </c>
      <c r="O501" s="6">
        <v>1</v>
      </c>
      <c r="P501" s="6">
        <v>2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0</v>
      </c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W501" s="2"/>
    </row>
    <row r="502" spans="1:49" x14ac:dyDescent="0.25">
      <c r="A502" s="6" t="s">
        <v>750</v>
      </c>
      <c r="B502" s="6" t="s">
        <v>724</v>
      </c>
      <c r="C502" s="6"/>
      <c r="D502" s="6"/>
      <c r="E502" s="6"/>
      <c r="G502" s="6" t="s">
        <v>424</v>
      </c>
      <c r="H502" s="6"/>
      <c r="I502" s="9"/>
      <c r="J502" s="9"/>
      <c r="K502" s="9">
        <v>5</v>
      </c>
      <c r="L502" s="6">
        <v>0</v>
      </c>
      <c r="M502" s="6">
        <v>0</v>
      </c>
      <c r="N502" s="6">
        <v>0</v>
      </c>
      <c r="O502" s="6">
        <v>1</v>
      </c>
      <c r="P502" s="6">
        <v>0</v>
      </c>
      <c r="Q502" s="6">
        <v>0</v>
      </c>
      <c r="R502" s="6">
        <v>0</v>
      </c>
      <c r="S502" s="6">
        <v>0</v>
      </c>
      <c r="T502" s="6">
        <v>1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0</v>
      </c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W502" s="2"/>
    </row>
    <row r="503" spans="1:49" x14ac:dyDescent="0.25">
      <c r="A503" s="6" t="s">
        <v>750</v>
      </c>
      <c r="B503" s="6" t="s">
        <v>725</v>
      </c>
      <c r="C503" s="6"/>
      <c r="D503" s="6"/>
      <c r="E503" s="6"/>
      <c r="G503" s="6" t="s">
        <v>432</v>
      </c>
      <c r="H503" s="6"/>
      <c r="I503" s="9"/>
      <c r="J503" s="9"/>
      <c r="K503" s="9">
        <v>16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1</v>
      </c>
      <c r="Z503" s="6">
        <v>0</v>
      </c>
      <c r="AA503" s="6">
        <v>0</v>
      </c>
      <c r="AB503" s="6">
        <v>0</v>
      </c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W503" s="2"/>
    </row>
    <row r="504" spans="1:49" x14ac:dyDescent="0.25">
      <c r="A504" s="6" t="s">
        <v>750</v>
      </c>
      <c r="B504" s="6" t="s">
        <v>726</v>
      </c>
      <c r="C504" s="6"/>
      <c r="D504" s="6"/>
      <c r="E504" s="6"/>
      <c r="G504" s="6" t="s">
        <v>424</v>
      </c>
      <c r="H504" s="6"/>
      <c r="I504" s="9"/>
      <c r="J504" s="9"/>
      <c r="K504" s="9">
        <v>4.9000000000000004</v>
      </c>
      <c r="L504" s="6">
        <v>4</v>
      </c>
      <c r="M504" s="6">
        <v>0</v>
      </c>
      <c r="N504" s="6">
        <v>0</v>
      </c>
      <c r="O504" s="6">
        <v>1</v>
      </c>
      <c r="P504" s="6">
        <v>0</v>
      </c>
      <c r="Q504" s="6">
        <v>0</v>
      </c>
      <c r="R504" s="6">
        <v>1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0</v>
      </c>
      <c r="AB504" s="6">
        <v>0</v>
      </c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W504" s="2"/>
    </row>
    <row r="505" spans="1:49" x14ac:dyDescent="0.25">
      <c r="A505" s="6" t="s">
        <v>750</v>
      </c>
      <c r="B505" s="6" t="s">
        <v>727</v>
      </c>
      <c r="C505" s="6"/>
      <c r="D505" s="6"/>
      <c r="E505" s="6"/>
      <c r="G505" s="6" t="s">
        <v>427</v>
      </c>
      <c r="H505" s="6"/>
      <c r="I505" s="9"/>
      <c r="J505" s="9"/>
      <c r="K505" s="9">
        <v>2.4</v>
      </c>
      <c r="L505" s="6">
        <v>4</v>
      </c>
      <c r="M505" s="6">
        <v>0</v>
      </c>
      <c r="N505" s="6">
        <v>0</v>
      </c>
      <c r="O505" s="6">
        <v>1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0</v>
      </c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W505" s="2"/>
    </row>
    <row r="506" spans="1:49" x14ac:dyDescent="0.25">
      <c r="A506" s="6" t="s">
        <v>750</v>
      </c>
      <c r="B506" s="6" t="s">
        <v>728</v>
      </c>
      <c r="C506" s="6"/>
      <c r="D506" s="6"/>
      <c r="E506" s="6"/>
      <c r="G506" s="6" t="s">
        <v>427</v>
      </c>
      <c r="H506" s="6"/>
      <c r="I506" s="9"/>
      <c r="J506" s="9"/>
      <c r="K506" s="9">
        <v>3.2</v>
      </c>
      <c r="L506" s="6">
        <v>2</v>
      </c>
      <c r="M506" s="6">
        <v>2</v>
      </c>
      <c r="N506" s="6">
        <v>0</v>
      </c>
      <c r="O506" s="6">
        <v>0</v>
      </c>
      <c r="P506" s="6">
        <v>1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W506" s="2"/>
    </row>
    <row r="507" spans="1:49" x14ac:dyDescent="0.25">
      <c r="A507" s="6" t="s">
        <v>750</v>
      </c>
      <c r="B507" s="6" t="s">
        <v>729</v>
      </c>
      <c r="C507" s="6"/>
      <c r="D507" s="6"/>
      <c r="E507" s="6"/>
      <c r="G507" s="6" t="s">
        <v>430</v>
      </c>
      <c r="H507" s="6"/>
      <c r="I507" s="9"/>
      <c r="J507" s="9"/>
      <c r="K507" s="9">
        <v>6.5</v>
      </c>
      <c r="L507" s="6">
        <v>0</v>
      </c>
      <c r="M507" s="6">
        <v>1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1</v>
      </c>
      <c r="W507" s="6">
        <v>0</v>
      </c>
      <c r="X507" s="6">
        <v>0</v>
      </c>
      <c r="Y507" s="6">
        <v>0</v>
      </c>
      <c r="Z507" s="6">
        <v>0</v>
      </c>
      <c r="AA507" s="6">
        <v>0</v>
      </c>
      <c r="AB507" s="6">
        <v>0</v>
      </c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W507" s="2"/>
    </row>
    <row r="508" spans="1:49" x14ac:dyDescent="0.25">
      <c r="A508" s="6" t="s">
        <v>750</v>
      </c>
      <c r="B508" s="6" t="s">
        <v>730</v>
      </c>
      <c r="C508" s="6"/>
      <c r="D508" s="6"/>
      <c r="E508" s="6"/>
      <c r="G508" s="6" t="s">
        <v>425</v>
      </c>
      <c r="H508" s="6"/>
      <c r="I508" s="9"/>
      <c r="J508" s="9"/>
      <c r="K508" s="9">
        <v>3.85</v>
      </c>
      <c r="L508" s="6">
        <v>1</v>
      </c>
      <c r="M508" s="6">
        <v>2</v>
      </c>
      <c r="N508" s="6">
        <v>2</v>
      </c>
      <c r="O508" s="6">
        <v>1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0</v>
      </c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W508" s="2"/>
    </row>
    <row r="509" spans="1:49" x14ac:dyDescent="0.25">
      <c r="A509" s="6" t="s">
        <v>750</v>
      </c>
      <c r="B509" s="6" t="s">
        <v>731</v>
      </c>
      <c r="C509" s="6"/>
      <c r="D509" s="6"/>
      <c r="E509" s="6"/>
      <c r="G509" s="6" t="s">
        <v>425</v>
      </c>
      <c r="H509" s="6"/>
      <c r="I509" s="9"/>
      <c r="J509" s="9"/>
      <c r="K509" s="9">
        <v>3.7</v>
      </c>
      <c r="L509" s="6">
        <v>2</v>
      </c>
      <c r="M509" s="6">
        <v>2</v>
      </c>
      <c r="N509" s="6">
        <v>0</v>
      </c>
      <c r="O509" s="6">
        <v>2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  <c r="X509" s="6">
        <v>0</v>
      </c>
      <c r="Y509" s="6">
        <v>0</v>
      </c>
      <c r="Z509" s="6">
        <v>0</v>
      </c>
      <c r="AA509" s="6">
        <v>0</v>
      </c>
      <c r="AB509" s="6">
        <v>0</v>
      </c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W509" s="2"/>
    </row>
    <row r="510" spans="1:49" x14ac:dyDescent="0.25">
      <c r="A510" s="6" t="s">
        <v>750</v>
      </c>
      <c r="B510" s="6" t="s">
        <v>732</v>
      </c>
      <c r="C510" s="6"/>
      <c r="D510" s="6"/>
      <c r="E510" s="6"/>
      <c r="G510" s="6" t="s">
        <v>427</v>
      </c>
      <c r="H510" s="6"/>
      <c r="I510" s="9"/>
      <c r="J510" s="9"/>
      <c r="K510" s="9">
        <v>3.7</v>
      </c>
      <c r="L510" s="6">
        <v>2</v>
      </c>
      <c r="M510" s="6">
        <v>3</v>
      </c>
      <c r="N510" s="6">
        <v>0</v>
      </c>
      <c r="O510" s="6"/>
      <c r="P510" s="6">
        <v>1</v>
      </c>
      <c r="Q510" s="6">
        <v>0</v>
      </c>
      <c r="R510" s="6"/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0</v>
      </c>
      <c r="AA510" s="6">
        <v>0</v>
      </c>
      <c r="AB510" s="6">
        <v>0</v>
      </c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W510" s="2"/>
    </row>
    <row r="511" spans="1:49" x14ac:dyDescent="0.25">
      <c r="A511" s="6" t="s">
        <v>750</v>
      </c>
      <c r="B511" s="6" t="s">
        <v>733</v>
      </c>
      <c r="C511" s="6"/>
      <c r="D511" s="6"/>
      <c r="E511" s="6"/>
      <c r="G511" s="6" t="s">
        <v>433</v>
      </c>
      <c r="H511" s="6"/>
      <c r="I511" s="9"/>
      <c r="J511" s="9"/>
      <c r="K511" s="9">
        <v>0.5</v>
      </c>
      <c r="L511" s="6">
        <v>0</v>
      </c>
      <c r="M511" s="6">
        <v>1</v>
      </c>
      <c r="N511" s="6">
        <v>0</v>
      </c>
      <c r="O511" s="6"/>
      <c r="P511" s="6">
        <v>0</v>
      </c>
      <c r="Q511" s="6">
        <v>0</v>
      </c>
      <c r="R511" s="6"/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6">
        <v>0</v>
      </c>
      <c r="AA511" s="6">
        <v>0</v>
      </c>
      <c r="AB511" s="6">
        <v>0</v>
      </c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W511" s="2"/>
    </row>
    <row r="512" spans="1:49" x14ac:dyDescent="0.25">
      <c r="A512" s="6" t="s">
        <v>750</v>
      </c>
      <c r="B512" s="6" t="s">
        <v>734</v>
      </c>
      <c r="C512" s="6"/>
      <c r="D512" s="6"/>
      <c r="E512" s="6"/>
      <c r="G512" s="6" t="s">
        <v>424</v>
      </c>
      <c r="H512" s="6"/>
      <c r="I512" s="9"/>
      <c r="J512" s="9"/>
      <c r="K512" s="9">
        <v>5.5</v>
      </c>
      <c r="L512" s="6">
        <v>0</v>
      </c>
      <c r="M512" s="6">
        <v>1</v>
      </c>
      <c r="N512" s="6">
        <v>0</v>
      </c>
      <c r="O512" s="6">
        <v>1</v>
      </c>
      <c r="P512" s="6">
        <v>1</v>
      </c>
      <c r="Q512" s="6">
        <v>0</v>
      </c>
      <c r="R512" s="6">
        <v>1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0</v>
      </c>
      <c r="AB512" s="6">
        <v>0</v>
      </c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W512" s="2"/>
    </row>
    <row r="513" spans="1:49" x14ac:dyDescent="0.25">
      <c r="A513" s="6" t="s">
        <v>750</v>
      </c>
      <c r="B513" s="6" t="s">
        <v>735</v>
      </c>
      <c r="C513" s="6"/>
      <c r="D513" s="6"/>
      <c r="E513" s="6"/>
      <c r="G513" s="6" t="s">
        <v>426</v>
      </c>
      <c r="H513" s="6"/>
      <c r="I513" s="9"/>
      <c r="J513" s="9"/>
      <c r="K513" s="9">
        <v>1.35</v>
      </c>
      <c r="L513" s="6">
        <v>1</v>
      </c>
      <c r="M513" s="6">
        <v>0</v>
      </c>
      <c r="N513" s="6">
        <v>0</v>
      </c>
      <c r="O513" s="6">
        <v>1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W513" s="2"/>
    </row>
    <row r="514" spans="1:49" x14ac:dyDescent="0.25">
      <c r="A514" s="6" t="s">
        <v>750</v>
      </c>
      <c r="B514" s="6" t="s">
        <v>736</v>
      </c>
      <c r="C514" s="6"/>
      <c r="D514" s="6"/>
      <c r="E514" s="6"/>
      <c r="G514" s="6" t="s">
        <v>427</v>
      </c>
      <c r="H514" s="6"/>
      <c r="I514" s="9"/>
      <c r="J514" s="9"/>
      <c r="K514" s="9">
        <v>2.5</v>
      </c>
      <c r="L514" s="6">
        <v>0</v>
      </c>
      <c r="M514" s="6">
        <v>5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>
        <v>0</v>
      </c>
      <c r="AB514" s="6">
        <v>0</v>
      </c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W514" s="2"/>
    </row>
    <row r="515" spans="1:49" x14ac:dyDescent="0.25">
      <c r="A515" s="6" t="s">
        <v>750</v>
      </c>
      <c r="B515" s="6" t="s">
        <v>737</v>
      </c>
      <c r="C515" s="6"/>
      <c r="D515" s="6"/>
      <c r="E515" s="6"/>
      <c r="G515" s="6" t="s">
        <v>427</v>
      </c>
      <c r="H515" s="6"/>
      <c r="I515" s="9"/>
      <c r="J515" s="9"/>
      <c r="K515" s="9">
        <v>3</v>
      </c>
      <c r="L515" s="6">
        <v>0</v>
      </c>
      <c r="M515" s="6">
        <v>6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6">
        <v>0</v>
      </c>
      <c r="Z515" s="6">
        <v>0</v>
      </c>
      <c r="AA515" s="6">
        <v>0</v>
      </c>
      <c r="AB515" s="6">
        <v>0</v>
      </c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W515" s="2"/>
    </row>
    <row r="516" spans="1:49" x14ac:dyDescent="0.25">
      <c r="A516" s="6" t="s">
        <v>750</v>
      </c>
      <c r="B516" s="6" t="s">
        <v>738</v>
      </c>
      <c r="C516" s="6"/>
      <c r="D516" s="6"/>
      <c r="E516" s="6"/>
      <c r="G516" s="6" t="s">
        <v>427</v>
      </c>
      <c r="H516" s="6"/>
      <c r="I516" s="9"/>
      <c r="J516" s="9"/>
      <c r="K516" s="9">
        <v>4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1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W516" s="2"/>
    </row>
    <row r="517" spans="1:49" x14ac:dyDescent="0.25">
      <c r="A517" s="6" t="s">
        <v>750</v>
      </c>
      <c r="B517" s="6" t="s">
        <v>739</v>
      </c>
      <c r="C517" s="6"/>
      <c r="D517" s="6"/>
      <c r="E517" s="6"/>
      <c r="G517" s="6" t="s">
        <v>424</v>
      </c>
      <c r="H517" s="6"/>
      <c r="I517" s="9"/>
      <c r="J517" s="9"/>
      <c r="K517" s="9">
        <v>5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2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  <c r="Z517" s="6">
        <v>0</v>
      </c>
      <c r="AA517" s="6">
        <v>0</v>
      </c>
      <c r="AB517" s="6">
        <v>0</v>
      </c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W517" s="2"/>
    </row>
    <row r="518" spans="1:49" x14ac:dyDescent="0.25">
      <c r="A518" s="6" t="s">
        <v>750</v>
      </c>
      <c r="B518" s="6" t="s">
        <v>740</v>
      </c>
      <c r="C518" s="6"/>
      <c r="D518" s="6"/>
      <c r="E518" s="6"/>
      <c r="G518" s="6" t="s">
        <v>430</v>
      </c>
      <c r="H518" s="6"/>
      <c r="I518" s="9"/>
      <c r="J518" s="9"/>
      <c r="K518" s="9">
        <v>10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1</v>
      </c>
      <c r="U518" s="6">
        <v>0</v>
      </c>
      <c r="V518" s="6">
        <v>1</v>
      </c>
      <c r="W518" s="6">
        <v>0</v>
      </c>
      <c r="X518" s="6">
        <v>0</v>
      </c>
      <c r="Y518" s="6">
        <v>0</v>
      </c>
      <c r="Z518" s="6">
        <v>0</v>
      </c>
      <c r="AA518" s="6">
        <v>0</v>
      </c>
      <c r="AB518" s="6">
        <v>0</v>
      </c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W518" s="2"/>
    </row>
    <row r="519" spans="1:49" x14ac:dyDescent="0.25">
      <c r="A519" s="6" t="s">
        <v>751</v>
      </c>
      <c r="B519" s="6" t="s">
        <v>18</v>
      </c>
      <c r="C519" s="14">
        <v>45128</v>
      </c>
      <c r="D519" s="6"/>
      <c r="E519" s="6" t="s">
        <v>19</v>
      </c>
      <c r="G519" s="6" t="s">
        <v>21</v>
      </c>
      <c r="H519" s="6" t="s">
        <v>22</v>
      </c>
      <c r="I519" s="9">
        <v>2.5</v>
      </c>
      <c r="J519" s="9">
        <v>0</v>
      </c>
      <c r="K519" s="9">
        <v>2.5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1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0</v>
      </c>
      <c r="Z519" s="6">
        <v>0</v>
      </c>
      <c r="AA519" s="6">
        <v>0</v>
      </c>
      <c r="AB519" s="6">
        <v>0</v>
      </c>
      <c r="AC519" s="6">
        <v>0</v>
      </c>
      <c r="AD519" s="6">
        <v>0</v>
      </c>
      <c r="AE519" s="6">
        <v>0</v>
      </c>
      <c r="AF519" s="6">
        <v>0</v>
      </c>
      <c r="AG519" s="6">
        <v>0</v>
      </c>
      <c r="AH519" s="6">
        <v>0</v>
      </c>
      <c r="AI519" s="6">
        <v>0</v>
      </c>
      <c r="AJ519" s="6">
        <v>0</v>
      </c>
      <c r="AK519" s="6">
        <v>0</v>
      </c>
      <c r="AL519" s="6">
        <v>0</v>
      </c>
      <c r="AM519" s="6">
        <v>0</v>
      </c>
      <c r="AN519" s="6">
        <v>0</v>
      </c>
      <c r="AO519" s="6">
        <v>0</v>
      </c>
      <c r="AP519" s="6">
        <v>0</v>
      </c>
      <c r="AQ519" s="6">
        <v>0</v>
      </c>
      <c r="AR519" s="6">
        <v>0</v>
      </c>
      <c r="AS519" s="6">
        <v>0</v>
      </c>
    </row>
    <row r="520" spans="1:49" x14ac:dyDescent="0.25">
      <c r="A520" s="6" t="s">
        <v>751</v>
      </c>
      <c r="B520" s="6" t="s">
        <v>26</v>
      </c>
      <c r="C520" s="14">
        <v>45138</v>
      </c>
      <c r="D520" s="6"/>
      <c r="E520" s="6" t="s">
        <v>27</v>
      </c>
      <c r="G520" s="6" t="s">
        <v>28</v>
      </c>
      <c r="H520" s="6" t="s">
        <v>29</v>
      </c>
      <c r="I520" s="9">
        <v>0.5</v>
      </c>
      <c r="J520" s="9">
        <v>0</v>
      </c>
      <c r="K520" s="9">
        <v>0.5</v>
      </c>
      <c r="L520" s="6">
        <v>0</v>
      </c>
      <c r="M520" s="6">
        <v>1</v>
      </c>
      <c r="N520" s="6">
        <v>0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0</v>
      </c>
      <c r="Z520" s="6">
        <v>0</v>
      </c>
      <c r="AA520" s="6">
        <v>0</v>
      </c>
      <c r="AB520" s="6">
        <v>0</v>
      </c>
      <c r="AC520" s="6">
        <v>0</v>
      </c>
      <c r="AD520" s="6">
        <v>0</v>
      </c>
      <c r="AE520" s="6">
        <v>0</v>
      </c>
      <c r="AF520" s="6">
        <v>0</v>
      </c>
      <c r="AG520" s="6">
        <v>0</v>
      </c>
      <c r="AH520" s="6">
        <v>0</v>
      </c>
      <c r="AI520" s="6">
        <v>0</v>
      </c>
      <c r="AJ520" s="6">
        <v>0</v>
      </c>
      <c r="AK520" s="6">
        <v>0</v>
      </c>
      <c r="AL520" s="6">
        <v>0</v>
      </c>
      <c r="AM520" s="6">
        <v>0</v>
      </c>
      <c r="AN520" s="6">
        <v>0</v>
      </c>
      <c r="AO520" s="6">
        <v>0</v>
      </c>
      <c r="AP520" s="6">
        <v>0</v>
      </c>
      <c r="AQ520" s="6">
        <v>0</v>
      </c>
      <c r="AR520" s="6">
        <v>0</v>
      </c>
      <c r="AS520" s="6">
        <v>0</v>
      </c>
    </row>
    <row r="521" spans="1:49" x14ac:dyDescent="0.25">
      <c r="A521" s="6" t="s">
        <v>751</v>
      </c>
      <c r="B521" s="6" t="s">
        <v>30</v>
      </c>
      <c r="C521" s="14">
        <v>45140</v>
      </c>
      <c r="D521" s="6"/>
      <c r="E521" s="6" t="s">
        <v>31</v>
      </c>
      <c r="G521" s="6" t="s">
        <v>32</v>
      </c>
      <c r="H521" s="6" t="s">
        <v>33</v>
      </c>
      <c r="I521" s="9">
        <v>0.75</v>
      </c>
      <c r="J521" s="9">
        <v>0</v>
      </c>
      <c r="K521" s="9">
        <v>0.75</v>
      </c>
      <c r="L521" s="6">
        <v>0</v>
      </c>
      <c r="M521" s="6">
        <v>0</v>
      </c>
      <c r="N521" s="6">
        <v>1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0</v>
      </c>
      <c r="AC521" s="6">
        <v>0</v>
      </c>
      <c r="AD521" s="6">
        <v>0</v>
      </c>
      <c r="AE521" s="6">
        <v>0</v>
      </c>
      <c r="AF521" s="6">
        <v>0</v>
      </c>
      <c r="AG521" s="6">
        <v>0</v>
      </c>
      <c r="AH521" s="6">
        <v>0</v>
      </c>
      <c r="AI521" s="6">
        <v>0</v>
      </c>
      <c r="AJ521" s="6">
        <v>0</v>
      </c>
      <c r="AK521" s="6">
        <v>0</v>
      </c>
      <c r="AL521" s="6">
        <v>0</v>
      </c>
      <c r="AM521" s="6">
        <v>0</v>
      </c>
      <c r="AN521" s="6">
        <v>0</v>
      </c>
      <c r="AO521" s="6">
        <v>0</v>
      </c>
      <c r="AP521" s="6">
        <v>0</v>
      </c>
      <c r="AQ521" s="6">
        <v>0</v>
      </c>
      <c r="AR521" s="6">
        <v>0</v>
      </c>
      <c r="AS521" s="6">
        <v>0</v>
      </c>
    </row>
    <row r="522" spans="1:49" x14ac:dyDescent="0.25">
      <c r="A522" s="6" t="s">
        <v>751</v>
      </c>
      <c r="B522" s="6" t="s">
        <v>34</v>
      </c>
      <c r="C522" s="14">
        <v>45138</v>
      </c>
      <c r="D522" s="6"/>
      <c r="E522" s="6" t="s">
        <v>35</v>
      </c>
      <c r="G522" s="6" t="s">
        <v>32</v>
      </c>
      <c r="H522" s="6" t="s">
        <v>22</v>
      </c>
      <c r="I522" s="9">
        <v>1</v>
      </c>
      <c r="J522" s="9">
        <v>0</v>
      </c>
      <c r="K522" s="9">
        <v>1</v>
      </c>
      <c r="L522" s="6">
        <v>0</v>
      </c>
      <c r="M522" s="6">
        <v>0</v>
      </c>
      <c r="N522" s="6">
        <v>0</v>
      </c>
      <c r="O522" s="6">
        <v>1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6">
        <v>0</v>
      </c>
      <c r="AA522" s="6">
        <v>0</v>
      </c>
      <c r="AB522" s="6">
        <v>0</v>
      </c>
      <c r="AC522" s="6">
        <v>0</v>
      </c>
      <c r="AD522" s="6">
        <v>0</v>
      </c>
      <c r="AE522" s="6">
        <v>0</v>
      </c>
      <c r="AF522" s="6">
        <v>0</v>
      </c>
      <c r="AG522" s="6">
        <v>0</v>
      </c>
      <c r="AH522" s="6">
        <v>0</v>
      </c>
      <c r="AI522" s="6">
        <v>0</v>
      </c>
      <c r="AJ522" s="6">
        <v>0</v>
      </c>
      <c r="AK522" s="6">
        <v>0</v>
      </c>
      <c r="AL522" s="6">
        <v>0</v>
      </c>
      <c r="AM522" s="6">
        <v>0</v>
      </c>
      <c r="AN522" s="6">
        <v>0</v>
      </c>
      <c r="AO522" s="6">
        <v>0</v>
      </c>
      <c r="AP522" s="6">
        <v>0</v>
      </c>
      <c r="AQ522" s="6">
        <v>0</v>
      </c>
      <c r="AR522" s="6">
        <v>0</v>
      </c>
      <c r="AS522" s="6">
        <v>0</v>
      </c>
    </row>
    <row r="523" spans="1:49" x14ac:dyDescent="0.25">
      <c r="A523" s="6" t="s">
        <v>751</v>
      </c>
      <c r="B523" s="6" t="s">
        <v>36</v>
      </c>
      <c r="C523" s="14">
        <v>45214</v>
      </c>
      <c r="D523" s="6"/>
      <c r="E523" s="6" t="s">
        <v>37</v>
      </c>
      <c r="G523" s="6" t="s">
        <v>38</v>
      </c>
      <c r="H523" s="6" t="s">
        <v>39</v>
      </c>
      <c r="I523" s="9">
        <v>0.75</v>
      </c>
      <c r="J523" s="9">
        <v>0</v>
      </c>
      <c r="K523" s="9">
        <v>0.75</v>
      </c>
      <c r="L523" s="6">
        <v>0</v>
      </c>
      <c r="M523" s="6">
        <v>0</v>
      </c>
      <c r="N523" s="6">
        <v>1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>
        <v>0</v>
      </c>
      <c r="AB523" s="6">
        <v>0</v>
      </c>
      <c r="AC523" s="6">
        <v>0</v>
      </c>
      <c r="AD523" s="6">
        <v>0</v>
      </c>
      <c r="AE523" s="6">
        <v>0</v>
      </c>
      <c r="AF523" s="6">
        <v>0</v>
      </c>
      <c r="AG523" s="6">
        <v>0</v>
      </c>
      <c r="AH523" s="6">
        <v>0</v>
      </c>
      <c r="AI523" s="6">
        <v>0</v>
      </c>
      <c r="AJ523" s="6">
        <v>0</v>
      </c>
      <c r="AK523" s="6">
        <v>0</v>
      </c>
      <c r="AL523" s="6">
        <v>0</v>
      </c>
      <c r="AM523" s="6">
        <v>0</v>
      </c>
      <c r="AN523" s="6">
        <v>0</v>
      </c>
      <c r="AO523" s="6">
        <v>0</v>
      </c>
      <c r="AP523" s="6">
        <v>0</v>
      </c>
      <c r="AQ523" s="6">
        <v>0</v>
      </c>
      <c r="AR523" s="6">
        <v>0</v>
      </c>
      <c r="AS523" s="6">
        <v>0</v>
      </c>
    </row>
    <row r="524" spans="1:49" x14ac:dyDescent="0.25">
      <c r="A524" s="6" t="s">
        <v>751</v>
      </c>
      <c r="B524" s="6" t="s">
        <v>41</v>
      </c>
      <c r="C524" s="14">
        <v>45128</v>
      </c>
      <c r="D524" s="6"/>
      <c r="E524" s="6" t="s">
        <v>42</v>
      </c>
      <c r="G524" s="6" t="s">
        <v>43</v>
      </c>
      <c r="H524" s="6" t="s">
        <v>44</v>
      </c>
      <c r="I524" s="9">
        <v>4</v>
      </c>
      <c r="J524" s="9">
        <v>0</v>
      </c>
      <c r="K524" s="9">
        <v>4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1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0</v>
      </c>
      <c r="AC524" s="6">
        <v>0</v>
      </c>
      <c r="AD524" s="6">
        <v>0</v>
      </c>
      <c r="AE524" s="6">
        <v>0</v>
      </c>
      <c r="AF524" s="6">
        <v>0</v>
      </c>
      <c r="AG524" s="6">
        <v>0</v>
      </c>
      <c r="AH524" s="6">
        <v>0</v>
      </c>
      <c r="AI524" s="6">
        <v>0</v>
      </c>
      <c r="AJ524" s="6">
        <v>0</v>
      </c>
      <c r="AK524" s="6">
        <v>0</v>
      </c>
      <c r="AL524" s="6">
        <v>0</v>
      </c>
      <c r="AM524" s="6">
        <v>0</v>
      </c>
      <c r="AN524" s="6">
        <v>0</v>
      </c>
      <c r="AO524" s="6">
        <v>0</v>
      </c>
      <c r="AP524" s="6">
        <v>0</v>
      </c>
      <c r="AQ524" s="6">
        <v>0</v>
      </c>
      <c r="AR524" s="6">
        <v>0</v>
      </c>
      <c r="AS524" s="6">
        <v>0</v>
      </c>
    </row>
    <row r="525" spans="1:49" x14ac:dyDescent="0.25">
      <c r="A525" s="6" t="s">
        <v>751</v>
      </c>
      <c r="B525" s="6" t="s">
        <v>45</v>
      </c>
      <c r="C525" s="14">
        <v>45303</v>
      </c>
      <c r="D525" s="6"/>
      <c r="E525" s="6" t="s">
        <v>46</v>
      </c>
      <c r="G525" s="6" t="s">
        <v>43</v>
      </c>
      <c r="H525" s="6" t="s">
        <v>44</v>
      </c>
      <c r="I525" s="9">
        <v>4</v>
      </c>
      <c r="J525" s="9">
        <v>0</v>
      </c>
      <c r="K525" s="9">
        <v>4</v>
      </c>
      <c r="L525" s="6">
        <v>0</v>
      </c>
      <c r="M525" s="6">
        <v>0</v>
      </c>
      <c r="N525" s="6">
        <v>2</v>
      </c>
      <c r="O525" s="6">
        <v>0</v>
      </c>
      <c r="P525" s="6">
        <v>0</v>
      </c>
      <c r="Q525" s="6">
        <v>0</v>
      </c>
      <c r="R525" s="6">
        <v>1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0</v>
      </c>
      <c r="AB525" s="6">
        <v>0</v>
      </c>
      <c r="AC525" s="6">
        <v>0</v>
      </c>
      <c r="AD525" s="6">
        <v>0</v>
      </c>
      <c r="AE525" s="6">
        <v>0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  <c r="AK525" s="6">
        <v>0</v>
      </c>
      <c r="AL525" s="6">
        <v>0</v>
      </c>
      <c r="AM525" s="6">
        <v>0</v>
      </c>
      <c r="AN525" s="6">
        <v>0</v>
      </c>
      <c r="AO525" s="6">
        <v>0</v>
      </c>
      <c r="AP525" s="6">
        <v>0</v>
      </c>
      <c r="AQ525" s="6">
        <v>0</v>
      </c>
      <c r="AR525" s="6">
        <v>0</v>
      </c>
      <c r="AS525" s="6">
        <v>0</v>
      </c>
    </row>
    <row r="526" spans="1:49" x14ac:dyDescent="0.25">
      <c r="A526" s="6" t="s">
        <v>751</v>
      </c>
      <c r="B526" s="6" t="s">
        <v>47</v>
      </c>
      <c r="C526" s="14">
        <v>45143</v>
      </c>
      <c r="D526" s="6"/>
      <c r="E526" s="6" t="s">
        <v>48</v>
      </c>
      <c r="G526" s="6" t="s">
        <v>49</v>
      </c>
      <c r="H526" s="6" t="s">
        <v>22</v>
      </c>
      <c r="I526" s="9">
        <v>4</v>
      </c>
      <c r="J526" s="9">
        <v>0</v>
      </c>
      <c r="K526" s="9">
        <v>4</v>
      </c>
      <c r="L526" s="6">
        <v>0</v>
      </c>
      <c r="M526" s="6">
        <v>0</v>
      </c>
      <c r="N526" s="6">
        <v>0</v>
      </c>
      <c r="O526" s="6">
        <v>0</v>
      </c>
      <c r="P526" s="6">
        <v>1</v>
      </c>
      <c r="Q526" s="6">
        <v>0</v>
      </c>
      <c r="R526" s="6">
        <v>1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  <c r="X526" s="6">
        <v>0</v>
      </c>
      <c r="Y526" s="6">
        <v>0</v>
      </c>
      <c r="Z526" s="6">
        <v>0</v>
      </c>
      <c r="AA526" s="6">
        <v>0</v>
      </c>
      <c r="AB526" s="6">
        <v>0</v>
      </c>
      <c r="AC526" s="6">
        <v>0</v>
      </c>
      <c r="AD526" s="6">
        <v>0</v>
      </c>
      <c r="AE526" s="6">
        <v>0</v>
      </c>
      <c r="AF526" s="6">
        <v>0</v>
      </c>
      <c r="AG526" s="6">
        <v>0</v>
      </c>
      <c r="AH526" s="6">
        <v>0</v>
      </c>
      <c r="AI526" s="6">
        <v>0</v>
      </c>
      <c r="AJ526" s="6">
        <v>0</v>
      </c>
      <c r="AK526" s="6">
        <v>0</v>
      </c>
      <c r="AL526" s="6">
        <v>0</v>
      </c>
      <c r="AM526" s="6">
        <v>0</v>
      </c>
      <c r="AN526" s="6">
        <v>0</v>
      </c>
      <c r="AO526" s="6">
        <v>0</v>
      </c>
      <c r="AP526" s="6">
        <v>0</v>
      </c>
      <c r="AQ526" s="6">
        <v>0</v>
      </c>
      <c r="AR526" s="6">
        <v>0</v>
      </c>
      <c r="AS526" s="6">
        <v>0</v>
      </c>
    </row>
    <row r="527" spans="1:49" x14ac:dyDescent="0.25">
      <c r="A527" s="6" t="s">
        <v>751</v>
      </c>
      <c r="B527" s="6" t="s">
        <v>50</v>
      </c>
      <c r="C527" s="14">
        <v>45133</v>
      </c>
      <c r="D527" s="6"/>
      <c r="E527" s="6" t="s">
        <v>51</v>
      </c>
      <c r="G527" s="6" t="s">
        <v>52</v>
      </c>
      <c r="H527" s="6" t="s">
        <v>44</v>
      </c>
      <c r="I527" s="9">
        <v>8</v>
      </c>
      <c r="J527" s="9">
        <v>0</v>
      </c>
      <c r="K527" s="9">
        <v>8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1</v>
      </c>
      <c r="X527" s="6">
        <v>0</v>
      </c>
      <c r="Y527" s="6">
        <v>0</v>
      </c>
      <c r="Z527" s="6">
        <v>0</v>
      </c>
      <c r="AA527" s="6">
        <v>0</v>
      </c>
      <c r="AB527" s="6">
        <v>0</v>
      </c>
      <c r="AC527" s="6">
        <v>0</v>
      </c>
      <c r="AD527" s="6">
        <v>0</v>
      </c>
      <c r="AE527" s="6">
        <v>0</v>
      </c>
      <c r="AF527" s="6">
        <v>0</v>
      </c>
      <c r="AG527" s="6">
        <v>0</v>
      </c>
      <c r="AH527" s="6">
        <v>0</v>
      </c>
      <c r="AI527" s="6">
        <v>0</v>
      </c>
      <c r="AJ527" s="6">
        <v>0</v>
      </c>
      <c r="AK527" s="6">
        <v>0</v>
      </c>
      <c r="AL527" s="6">
        <v>0</v>
      </c>
      <c r="AM527" s="6">
        <v>0</v>
      </c>
      <c r="AN527" s="6">
        <v>0</v>
      </c>
      <c r="AO527" s="6">
        <v>0</v>
      </c>
      <c r="AP527" s="6">
        <v>0</v>
      </c>
      <c r="AQ527" s="6">
        <v>0</v>
      </c>
      <c r="AR527" s="6">
        <v>0</v>
      </c>
      <c r="AS527" s="6">
        <v>0</v>
      </c>
    </row>
    <row r="528" spans="1:49" x14ac:dyDescent="0.25">
      <c r="A528" s="6" t="s">
        <v>751</v>
      </c>
      <c r="B528" s="6" t="s">
        <v>53</v>
      </c>
      <c r="C528" s="14">
        <v>45167</v>
      </c>
      <c r="D528" s="6"/>
      <c r="E528" s="6" t="s">
        <v>54</v>
      </c>
      <c r="G528" s="6" t="s">
        <v>55</v>
      </c>
      <c r="H528" s="6" t="s">
        <v>44</v>
      </c>
      <c r="I528" s="9">
        <v>8</v>
      </c>
      <c r="J528" s="9">
        <v>0</v>
      </c>
      <c r="K528" s="9">
        <v>8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1</v>
      </c>
      <c r="X528" s="6">
        <v>0</v>
      </c>
      <c r="Y528" s="6">
        <v>0</v>
      </c>
      <c r="Z528" s="6">
        <v>0</v>
      </c>
      <c r="AA528" s="6">
        <v>0</v>
      </c>
      <c r="AB528" s="6">
        <v>0</v>
      </c>
      <c r="AC528" s="6">
        <v>0</v>
      </c>
      <c r="AD528" s="6">
        <v>0</v>
      </c>
      <c r="AE528" s="6">
        <v>0</v>
      </c>
      <c r="AF528" s="6">
        <v>0</v>
      </c>
      <c r="AG528" s="6">
        <v>0</v>
      </c>
      <c r="AH528" s="6">
        <v>0</v>
      </c>
      <c r="AI528" s="6">
        <v>0</v>
      </c>
      <c r="AJ528" s="6">
        <v>0</v>
      </c>
      <c r="AK528" s="6">
        <v>0</v>
      </c>
      <c r="AL528" s="6">
        <v>0</v>
      </c>
      <c r="AM528" s="6">
        <v>0</v>
      </c>
      <c r="AN528" s="6">
        <v>0</v>
      </c>
      <c r="AO528" s="6">
        <v>0</v>
      </c>
      <c r="AP528" s="6">
        <v>0</v>
      </c>
      <c r="AQ528" s="6">
        <v>0</v>
      </c>
      <c r="AR528" s="6">
        <v>0</v>
      </c>
      <c r="AS528" s="6">
        <v>0</v>
      </c>
    </row>
    <row r="529" spans="1:45" x14ac:dyDescent="0.25">
      <c r="A529" s="6" t="s">
        <v>751</v>
      </c>
      <c r="B529" s="6" t="s">
        <v>56</v>
      </c>
      <c r="C529" s="14">
        <v>44249</v>
      </c>
      <c r="D529" s="6"/>
      <c r="E529" s="6" t="s">
        <v>57</v>
      </c>
      <c r="G529" s="6" t="s">
        <v>58</v>
      </c>
      <c r="H529" s="6" t="s">
        <v>59</v>
      </c>
      <c r="I529" s="9">
        <v>2.85</v>
      </c>
      <c r="J529" s="9">
        <v>0</v>
      </c>
      <c r="K529" s="9">
        <v>2.85</v>
      </c>
      <c r="L529" s="6">
        <v>1</v>
      </c>
      <c r="M529" s="6">
        <v>1</v>
      </c>
      <c r="N529" s="6">
        <v>0</v>
      </c>
      <c r="O529" s="6">
        <v>0</v>
      </c>
      <c r="P529" s="6">
        <v>0</v>
      </c>
      <c r="Q529" s="6">
        <v>1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  <c r="X529" s="6">
        <v>0</v>
      </c>
      <c r="Y529" s="6">
        <v>0</v>
      </c>
      <c r="Z529" s="6">
        <v>0</v>
      </c>
      <c r="AA529" s="6">
        <v>0</v>
      </c>
      <c r="AB529" s="6">
        <v>0</v>
      </c>
      <c r="AC529" s="6">
        <v>0</v>
      </c>
      <c r="AD529" s="6">
        <v>0</v>
      </c>
      <c r="AE529" s="6">
        <v>0</v>
      </c>
      <c r="AF529" s="6">
        <v>0</v>
      </c>
      <c r="AG529" s="6">
        <v>0</v>
      </c>
      <c r="AH529" s="6">
        <v>0</v>
      </c>
      <c r="AI529" s="6">
        <v>0</v>
      </c>
      <c r="AJ529" s="6">
        <v>0</v>
      </c>
      <c r="AK529" s="6">
        <v>0</v>
      </c>
      <c r="AL529" s="6">
        <v>0</v>
      </c>
      <c r="AM529" s="6">
        <v>0</v>
      </c>
      <c r="AN529" s="6">
        <v>0</v>
      </c>
      <c r="AO529" s="6">
        <v>0</v>
      </c>
      <c r="AP529" s="6">
        <v>0</v>
      </c>
      <c r="AQ529" s="6">
        <v>0</v>
      </c>
      <c r="AR529" s="6">
        <v>0</v>
      </c>
      <c r="AS529" s="6">
        <v>0</v>
      </c>
    </row>
    <row r="530" spans="1:45" x14ac:dyDescent="0.25">
      <c r="A530" s="6" t="s">
        <v>751</v>
      </c>
      <c r="B530" s="6" t="s">
        <v>60</v>
      </c>
      <c r="C530" s="14">
        <v>44249</v>
      </c>
      <c r="D530" s="6"/>
      <c r="E530" s="6" t="s">
        <v>57</v>
      </c>
      <c r="G530" s="6" t="s">
        <v>58</v>
      </c>
      <c r="H530" s="6" t="s">
        <v>59</v>
      </c>
      <c r="I530" s="9">
        <v>3.25</v>
      </c>
      <c r="J530" s="9">
        <v>0</v>
      </c>
      <c r="K530" s="9">
        <v>3.25</v>
      </c>
      <c r="L530" s="6">
        <v>0</v>
      </c>
      <c r="M530" s="6">
        <v>1</v>
      </c>
      <c r="N530" s="6">
        <v>1</v>
      </c>
      <c r="O530" s="6">
        <v>0</v>
      </c>
      <c r="P530" s="6">
        <v>0</v>
      </c>
      <c r="Q530" s="6">
        <v>1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  <c r="X530" s="6">
        <v>0</v>
      </c>
      <c r="Y530" s="6">
        <v>0</v>
      </c>
      <c r="Z530" s="6">
        <v>0</v>
      </c>
      <c r="AA530" s="6">
        <v>0</v>
      </c>
      <c r="AB530" s="6">
        <v>0</v>
      </c>
      <c r="AC530" s="6">
        <v>0</v>
      </c>
      <c r="AD530" s="6">
        <v>0</v>
      </c>
      <c r="AE530" s="6">
        <v>0</v>
      </c>
      <c r="AF530" s="6">
        <v>0</v>
      </c>
      <c r="AG530" s="6">
        <v>0</v>
      </c>
      <c r="AH530" s="6">
        <v>0</v>
      </c>
      <c r="AI530" s="6">
        <v>0</v>
      </c>
      <c r="AJ530" s="6">
        <v>0</v>
      </c>
      <c r="AK530" s="6">
        <v>0</v>
      </c>
      <c r="AL530" s="6">
        <v>0</v>
      </c>
      <c r="AM530" s="6">
        <v>0</v>
      </c>
      <c r="AN530" s="6">
        <v>0</v>
      </c>
      <c r="AO530" s="6">
        <v>0</v>
      </c>
      <c r="AP530" s="6">
        <v>0</v>
      </c>
      <c r="AQ530" s="6">
        <v>0</v>
      </c>
      <c r="AR530" s="6">
        <v>0</v>
      </c>
      <c r="AS530" s="6">
        <v>0</v>
      </c>
    </row>
    <row r="531" spans="1:45" x14ac:dyDescent="0.2">
      <c r="A531" s="6" t="s">
        <v>749</v>
      </c>
      <c r="B531" s="13" t="s">
        <v>741</v>
      </c>
      <c r="C531" s="14">
        <v>45854</v>
      </c>
      <c r="D531" s="6"/>
      <c r="E531" s="6" t="s">
        <v>57</v>
      </c>
      <c r="G531" s="6" t="s">
        <v>58</v>
      </c>
      <c r="H531" s="6" t="s">
        <v>59</v>
      </c>
      <c r="I531" s="9">
        <v>3.35</v>
      </c>
      <c r="J531" s="9">
        <v>0</v>
      </c>
      <c r="K531" s="9">
        <v>3.35</v>
      </c>
      <c r="L531" s="6">
        <v>1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1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6">
        <v>0</v>
      </c>
      <c r="Z531" s="6">
        <v>0</v>
      </c>
      <c r="AA531" s="6">
        <v>0</v>
      </c>
      <c r="AB531" s="6">
        <v>0</v>
      </c>
      <c r="AC531" s="6">
        <v>0</v>
      </c>
      <c r="AD531" s="6">
        <v>0</v>
      </c>
      <c r="AE531" s="6">
        <v>0</v>
      </c>
      <c r="AF531" s="6">
        <v>0</v>
      </c>
      <c r="AG531" s="6">
        <v>0</v>
      </c>
      <c r="AH531" s="6">
        <v>0</v>
      </c>
      <c r="AI531" s="6">
        <v>0</v>
      </c>
      <c r="AJ531" s="6">
        <v>0</v>
      </c>
      <c r="AK531" s="6">
        <v>0</v>
      </c>
      <c r="AL531" s="6">
        <v>0</v>
      </c>
      <c r="AM531" s="6">
        <v>0</v>
      </c>
      <c r="AN531" s="6">
        <v>0</v>
      </c>
      <c r="AO531" s="6">
        <v>0</v>
      </c>
      <c r="AP531" s="6">
        <v>0</v>
      </c>
      <c r="AQ531" s="6">
        <v>0</v>
      </c>
      <c r="AR531" s="6">
        <v>0</v>
      </c>
      <c r="AS531" s="6">
        <v>0</v>
      </c>
    </row>
    <row r="532" spans="1:45" x14ac:dyDescent="0.25">
      <c r="A532" s="6" t="s">
        <v>751</v>
      </c>
      <c r="B532" s="6" t="s">
        <v>61</v>
      </c>
      <c r="C532" s="14">
        <v>44249</v>
      </c>
      <c r="D532" s="6"/>
      <c r="E532" s="6" t="s">
        <v>57</v>
      </c>
      <c r="G532" s="6" t="s">
        <v>58</v>
      </c>
      <c r="H532" s="6" t="s">
        <v>59</v>
      </c>
      <c r="I532" s="9">
        <v>3.5</v>
      </c>
      <c r="J532" s="9">
        <v>0</v>
      </c>
      <c r="K532" s="9">
        <v>3.5</v>
      </c>
      <c r="L532" s="6">
        <v>0</v>
      </c>
      <c r="M532" s="6">
        <v>1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  <c r="S532" s="6">
        <v>1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6">
        <v>0</v>
      </c>
      <c r="AB532" s="6">
        <v>0</v>
      </c>
      <c r="AC532" s="6">
        <v>0</v>
      </c>
      <c r="AD532" s="6">
        <v>0</v>
      </c>
      <c r="AE532" s="6">
        <v>0</v>
      </c>
      <c r="AF532" s="6">
        <v>0</v>
      </c>
      <c r="AG532" s="6">
        <v>0</v>
      </c>
      <c r="AH532" s="6">
        <v>0</v>
      </c>
      <c r="AI532" s="6">
        <v>0</v>
      </c>
      <c r="AJ532" s="6">
        <v>0</v>
      </c>
      <c r="AK532" s="6">
        <v>0</v>
      </c>
      <c r="AL532" s="6">
        <v>0</v>
      </c>
      <c r="AM532" s="6">
        <v>0</v>
      </c>
      <c r="AN532" s="6">
        <v>0</v>
      </c>
      <c r="AO532" s="6">
        <v>0</v>
      </c>
      <c r="AP532" s="6">
        <v>0</v>
      </c>
      <c r="AQ532" s="6">
        <v>0</v>
      </c>
      <c r="AR532" s="6">
        <v>0</v>
      </c>
      <c r="AS532" s="6">
        <v>0</v>
      </c>
    </row>
    <row r="533" spans="1:45" x14ac:dyDescent="0.25">
      <c r="A533" s="6" t="s">
        <v>751</v>
      </c>
      <c r="B533" s="6" t="s">
        <v>62</v>
      </c>
      <c r="C533" s="14">
        <v>44249</v>
      </c>
      <c r="D533" s="6"/>
      <c r="E533" s="6" t="s">
        <v>57</v>
      </c>
      <c r="G533" s="6" t="s">
        <v>58</v>
      </c>
      <c r="H533" s="6" t="s">
        <v>59</v>
      </c>
      <c r="I533" s="9">
        <v>3.85</v>
      </c>
      <c r="J533" s="9">
        <v>0</v>
      </c>
      <c r="K533" s="9">
        <v>3.85</v>
      </c>
      <c r="L533" s="6">
        <v>1</v>
      </c>
      <c r="M533" s="6">
        <v>1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6">
        <v>1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6">
        <v>0</v>
      </c>
      <c r="AA533" s="6">
        <v>0</v>
      </c>
      <c r="AB533" s="6">
        <v>0</v>
      </c>
      <c r="AC533" s="6">
        <v>0</v>
      </c>
      <c r="AD533" s="6">
        <v>0</v>
      </c>
      <c r="AE533" s="6">
        <v>0</v>
      </c>
      <c r="AF533" s="6">
        <v>0</v>
      </c>
      <c r="AG533" s="6">
        <v>0</v>
      </c>
      <c r="AH533" s="6">
        <v>0</v>
      </c>
      <c r="AI533" s="6">
        <v>0</v>
      </c>
      <c r="AJ533" s="6">
        <v>0</v>
      </c>
      <c r="AK533" s="6">
        <v>0</v>
      </c>
      <c r="AL533" s="6">
        <v>0</v>
      </c>
      <c r="AM533" s="6">
        <v>0</v>
      </c>
      <c r="AN533" s="6">
        <v>0</v>
      </c>
      <c r="AO533" s="6">
        <v>0</v>
      </c>
      <c r="AP533" s="6">
        <v>0</v>
      </c>
      <c r="AQ533" s="6">
        <v>0</v>
      </c>
      <c r="AR533" s="6">
        <v>0</v>
      </c>
      <c r="AS533" s="6">
        <v>0</v>
      </c>
    </row>
    <row r="534" spans="1:45" x14ac:dyDescent="0.25">
      <c r="A534" s="6" t="s">
        <v>751</v>
      </c>
      <c r="B534" s="6" t="s">
        <v>63</v>
      </c>
      <c r="C534" s="14">
        <v>44249</v>
      </c>
      <c r="D534" s="6"/>
      <c r="E534" s="6" t="s">
        <v>57</v>
      </c>
      <c r="G534" s="6" t="s">
        <v>58</v>
      </c>
      <c r="H534" s="6" t="s">
        <v>59</v>
      </c>
      <c r="I534" s="9">
        <v>3</v>
      </c>
      <c r="J534" s="9">
        <v>0</v>
      </c>
      <c r="K534" s="9">
        <v>3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  <c r="S534" s="6">
        <v>1</v>
      </c>
      <c r="T534" s="6">
        <v>0</v>
      </c>
      <c r="U534" s="6">
        <v>0</v>
      </c>
      <c r="V534" s="6">
        <v>0</v>
      </c>
      <c r="W534" s="6">
        <v>0</v>
      </c>
      <c r="X534" s="6">
        <v>0</v>
      </c>
      <c r="Y534" s="6">
        <v>0</v>
      </c>
      <c r="Z534" s="6">
        <v>0</v>
      </c>
      <c r="AA534" s="6">
        <v>0</v>
      </c>
      <c r="AB534" s="6">
        <v>0</v>
      </c>
      <c r="AC534" s="6">
        <v>0</v>
      </c>
      <c r="AD534" s="6">
        <v>0</v>
      </c>
      <c r="AE534" s="6">
        <v>0</v>
      </c>
      <c r="AF534" s="6">
        <v>0</v>
      </c>
      <c r="AG534" s="6">
        <v>0</v>
      </c>
      <c r="AH534" s="6">
        <v>0</v>
      </c>
      <c r="AI534" s="6">
        <v>0</v>
      </c>
      <c r="AJ534" s="6">
        <v>0</v>
      </c>
      <c r="AK534" s="6">
        <v>0</v>
      </c>
      <c r="AL534" s="6">
        <v>0</v>
      </c>
      <c r="AM534" s="6">
        <v>0</v>
      </c>
      <c r="AN534" s="6">
        <v>0</v>
      </c>
      <c r="AO534" s="6">
        <v>0</v>
      </c>
      <c r="AP534" s="6">
        <v>0</v>
      </c>
      <c r="AQ534" s="6">
        <v>0</v>
      </c>
      <c r="AR534" s="6">
        <v>0</v>
      </c>
      <c r="AS534" s="6">
        <v>0</v>
      </c>
    </row>
    <row r="535" spans="1:45" x14ac:dyDescent="0.25">
      <c r="A535" s="6" t="s">
        <v>751</v>
      </c>
      <c r="B535" s="6" t="s">
        <v>64</v>
      </c>
      <c r="C535" s="14">
        <v>45159</v>
      </c>
      <c r="D535" s="6"/>
      <c r="E535" s="6" t="s">
        <v>65</v>
      </c>
      <c r="G535" s="6" t="s">
        <v>58</v>
      </c>
      <c r="H535" s="6" t="s">
        <v>59</v>
      </c>
      <c r="I535" s="9">
        <v>3</v>
      </c>
      <c r="J535" s="9">
        <v>0</v>
      </c>
      <c r="K535" s="9">
        <v>3</v>
      </c>
      <c r="L535" s="6">
        <v>0</v>
      </c>
      <c r="M535" s="6">
        <v>0</v>
      </c>
      <c r="N535" s="6">
        <v>0</v>
      </c>
      <c r="O535" s="6">
        <v>3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6">
        <v>0</v>
      </c>
      <c r="AA535" s="6">
        <v>0</v>
      </c>
      <c r="AB535" s="6">
        <v>0</v>
      </c>
      <c r="AC535" s="6">
        <v>0</v>
      </c>
      <c r="AD535" s="6">
        <v>0</v>
      </c>
      <c r="AE535" s="6">
        <v>0</v>
      </c>
      <c r="AF535" s="6">
        <v>0</v>
      </c>
      <c r="AG535" s="6">
        <v>0</v>
      </c>
      <c r="AH535" s="6">
        <v>0</v>
      </c>
      <c r="AI535" s="6">
        <v>0</v>
      </c>
      <c r="AJ535" s="6">
        <v>0</v>
      </c>
      <c r="AK535" s="6">
        <v>0</v>
      </c>
      <c r="AL535" s="6">
        <v>0</v>
      </c>
      <c r="AM535" s="6">
        <v>0</v>
      </c>
      <c r="AN535" s="6">
        <v>0</v>
      </c>
      <c r="AO535" s="6">
        <v>0</v>
      </c>
      <c r="AP535" s="6">
        <v>0</v>
      </c>
      <c r="AQ535" s="6">
        <v>0</v>
      </c>
      <c r="AR535" s="6">
        <v>0</v>
      </c>
      <c r="AS535" s="6">
        <v>0</v>
      </c>
    </row>
    <row r="536" spans="1:45" x14ac:dyDescent="0.25">
      <c r="A536" s="6" t="s">
        <v>751</v>
      </c>
      <c r="B536" s="6" t="s">
        <v>66</v>
      </c>
      <c r="C536" s="14">
        <v>44249</v>
      </c>
      <c r="D536" s="6"/>
      <c r="E536" s="6" t="s">
        <v>57</v>
      </c>
      <c r="G536" s="6" t="s">
        <v>58</v>
      </c>
      <c r="H536" s="6" t="s">
        <v>59</v>
      </c>
      <c r="I536" s="9">
        <v>3</v>
      </c>
      <c r="J536" s="9">
        <v>0</v>
      </c>
      <c r="K536" s="9">
        <v>3</v>
      </c>
      <c r="L536" s="6">
        <v>0</v>
      </c>
      <c r="M536" s="6">
        <v>2</v>
      </c>
      <c r="N536" s="6">
        <v>0</v>
      </c>
      <c r="O536" s="6">
        <v>0</v>
      </c>
      <c r="P536" s="6">
        <v>0</v>
      </c>
      <c r="Q536" s="6">
        <v>1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6">
        <v>0</v>
      </c>
      <c r="Z536" s="6">
        <v>0</v>
      </c>
      <c r="AA536" s="6">
        <v>0</v>
      </c>
      <c r="AB536" s="6">
        <v>0</v>
      </c>
      <c r="AC536" s="6">
        <v>0</v>
      </c>
      <c r="AD536" s="6">
        <v>0</v>
      </c>
      <c r="AE536" s="6">
        <v>0</v>
      </c>
      <c r="AF536" s="6">
        <v>0</v>
      </c>
      <c r="AG536" s="6">
        <v>0</v>
      </c>
      <c r="AH536" s="6">
        <v>0</v>
      </c>
      <c r="AI536" s="6">
        <v>0</v>
      </c>
      <c r="AJ536" s="6">
        <v>0</v>
      </c>
      <c r="AK536" s="6">
        <v>0</v>
      </c>
      <c r="AL536" s="6">
        <v>0</v>
      </c>
      <c r="AM536" s="6">
        <v>0</v>
      </c>
      <c r="AN536" s="6">
        <v>0</v>
      </c>
      <c r="AO536" s="6">
        <v>0</v>
      </c>
      <c r="AP536" s="6">
        <v>0</v>
      </c>
      <c r="AQ536" s="6">
        <v>0</v>
      </c>
      <c r="AR536" s="6">
        <v>0</v>
      </c>
      <c r="AS536" s="6">
        <v>0</v>
      </c>
    </row>
    <row r="537" spans="1:45" x14ac:dyDescent="0.25">
      <c r="A537" s="6" t="s">
        <v>751</v>
      </c>
      <c r="B537" s="6" t="s">
        <v>68</v>
      </c>
      <c r="C537" s="14">
        <v>45159</v>
      </c>
      <c r="D537" s="6"/>
      <c r="E537" s="6" t="s">
        <v>67</v>
      </c>
      <c r="G537" s="6" t="s">
        <v>69</v>
      </c>
      <c r="H537" s="6" t="s">
        <v>59</v>
      </c>
      <c r="I537" s="9">
        <v>4</v>
      </c>
      <c r="J537" s="9">
        <v>0</v>
      </c>
      <c r="K537" s="9">
        <v>4</v>
      </c>
      <c r="L537" s="6">
        <v>0</v>
      </c>
      <c r="M537" s="6">
        <v>0</v>
      </c>
      <c r="N537" s="6">
        <v>0</v>
      </c>
      <c r="O537" s="6">
        <v>4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0</v>
      </c>
      <c r="AB537" s="6">
        <v>0</v>
      </c>
      <c r="AC537" s="6">
        <v>0</v>
      </c>
      <c r="AD537" s="6">
        <v>0</v>
      </c>
      <c r="AE537" s="6">
        <v>0</v>
      </c>
      <c r="AF537" s="6">
        <v>0</v>
      </c>
      <c r="AG537" s="6">
        <v>0</v>
      </c>
      <c r="AH537" s="6">
        <v>0</v>
      </c>
      <c r="AI537" s="6">
        <v>0</v>
      </c>
      <c r="AJ537" s="6">
        <v>0</v>
      </c>
      <c r="AK537" s="6">
        <v>0</v>
      </c>
      <c r="AL537" s="6">
        <v>0</v>
      </c>
      <c r="AM537" s="6">
        <v>0</v>
      </c>
      <c r="AN537" s="6">
        <v>0</v>
      </c>
      <c r="AO537" s="6">
        <v>0</v>
      </c>
      <c r="AP537" s="6">
        <v>0</v>
      </c>
      <c r="AQ537" s="6">
        <v>0</v>
      </c>
      <c r="AR537" s="6">
        <v>0</v>
      </c>
      <c r="AS537" s="6">
        <v>0</v>
      </c>
    </row>
    <row r="538" spans="1:45" x14ac:dyDescent="0.25">
      <c r="A538" s="6" t="s">
        <v>751</v>
      </c>
      <c r="B538" s="6" t="s">
        <v>70</v>
      </c>
      <c r="C538" s="14">
        <v>45159</v>
      </c>
      <c r="D538" s="6"/>
      <c r="E538" s="6" t="s">
        <v>71</v>
      </c>
      <c r="G538" s="6" t="s">
        <v>69</v>
      </c>
      <c r="H538" s="6" t="s">
        <v>59</v>
      </c>
      <c r="I538" s="9">
        <v>5.5</v>
      </c>
      <c r="J538" s="9">
        <v>0</v>
      </c>
      <c r="K538" s="9">
        <v>5.5</v>
      </c>
      <c r="L538" s="6">
        <v>0</v>
      </c>
      <c r="M538" s="6">
        <v>2</v>
      </c>
      <c r="N538" s="6">
        <v>0</v>
      </c>
      <c r="O538" s="6">
        <v>0</v>
      </c>
      <c r="P538" s="6">
        <v>1</v>
      </c>
      <c r="Q538" s="6">
        <v>0</v>
      </c>
      <c r="R538" s="6">
        <v>0</v>
      </c>
      <c r="S538" s="6">
        <v>1</v>
      </c>
      <c r="T538" s="6">
        <v>0</v>
      </c>
      <c r="U538" s="6">
        <v>0</v>
      </c>
      <c r="V538" s="6">
        <v>0</v>
      </c>
      <c r="W538" s="6">
        <v>0</v>
      </c>
      <c r="X538" s="6">
        <v>0</v>
      </c>
      <c r="Y538" s="6">
        <v>0</v>
      </c>
      <c r="Z538" s="6">
        <v>0</v>
      </c>
      <c r="AA538" s="6">
        <v>0</v>
      </c>
      <c r="AB538" s="6">
        <v>0</v>
      </c>
      <c r="AC538" s="6">
        <v>0</v>
      </c>
      <c r="AD538" s="6">
        <v>0</v>
      </c>
      <c r="AE538" s="6">
        <v>0</v>
      </c>
      <c r="AF538" s="6">
        <v>0</v>
      </c>
      <c r="AG538" s="6">
        <v>0</v>
      </c>
      <c r="AH538" s="6">
        <v>0</v>
      </c>
      <c r="AI538" s="6">
        <v>0</v>
      </c>
      <c r="AJ538" s="6">
        <v>0</v>
      </c>
      <c r="AK538" s="6">
        <v>0</v>
      </c>
      <c r="AL538" s="6">
        <v>0</v>
      </c>
      <c r="AM538" s="6">
        <v>0</v>
      </c>
      <c r="AN538" s="6">
        <v>0</v>
      </c>
      <c r="AO538" s="6">
        <v>0</v>
      </c>
      <c r="AP538" s="6">
        <v>0</v>
      </c>
      <c r="AQ538" s="6">
        <v>0</v>
      </c>
      <c r="AR538" s="6">
        <v>0</v>
      </c>
      <c r="AS538" s="6">
        <v>0</v>
      </c>
    </row>
    <row r="539" spans="1:45" x14ac:dyDescent="0.25">
      <c r="A539" s="6" t="s">
        <v>751</v>
      </c>
      <c r="B539" s="6" t="s">
        <v>72</v>
      </c>
      <c r="C539" s="14">
        <v>45239</v>
      </c>
      <c r="D539" s="6"/>
      <c r="E539" s="6" t="s">
        <v>73</v>
      </c>
      <c r="G539" s="6" t="s">
        <v>69</v>
      </c>
      <c r="H539" s="6" t="s">
        <v>59</v>
      </c>
      <c r="I539" s="9">
        <v>5.85</v>
      </c>
      <c r="J539" s="9">
        <v>0</v>
      </c>
      <c r="K539" s="9">
        <v>5.85</v>
      </c>
      <c r="L539" s="6">
        <v>1</v>
      </c>
      <c r="M539" s="6">
        <v>1</v>
      </c>
      <c r="N539" s="6">
        <v>0</v>
      </c>
      <c r="O539" s="6">
        <v>0</v>
      </c>
      <c r="P539" s="6">
        <v>0</v>
      </c>
      <c r="Q539" s="6">
        <v>0</v>
      </c>
      <c r="R539" s="6">
        <v>2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0</v>
      </c>
      <c r="AB539" s="6">
        <v>0</v>
      </c>
      <c r="AC539" s="6">
        <v>0</v>
      </c>
      <c r="AD539" s="6">
        <v>0</v>
      </c>
      <c r="AE539" s="6">
        <v>0</v>
      </c>
      <c r="AF539" s="6">
        <v>0</v>
      </c>
      <c r="AG539" s="6">
        <v>0</v>
      </c>
      <c r="AH539" s="6">
        <v>0</v>
      </c>
      <c r="AI539" s="6">
        <v>0</v>
      </c>
      <c r="AJ539" s="6">
        <v>0</v>
      </c>
      <c r="AK539" s="6">
        <v>0</v>
      </c>
      <c r="AL539" s="6">
        <v>0</v>
      </c>
      <c r="AM539" s="6">
        <v>0</v>
      </c>
      <c r="AN539" s="6">
        <v>0</v>
      </c>
      <c r="AO539" s="6">
        <v>0</v>
      </c>
      <c r="AP539" s="6">
        <v>0</v>
      </c>
      <c r="AQ539" s="6">
        <v>0</v>
      </c>
      <c r="AR539" s="6">
        <v>0</v>
      </c>
      <c r="AS539" s="6">
        <v>0</v>
      </c>
    </row>
    <row r="540" spans="1:45" x14ac:dyDescent="0.25">
      <c r="A540" s="6" t="s">
        <v>751</v>
      </c>
      <c r="B540" s="6" t="s">
        <v>74</v>
      </c>
      <c r="C540" s="14">
        <v>45239</v>
      </c>
      <c r="D540" s="6"/>
      <c r="E540" s="6" t="s">
        <v>75</v>
      </c>
      <c r="G540" s="6" t="s">
        <v>69</v>
      </c>
      <c r="H540" s="6" t="s">
        <v>59</v>
      </c>
      <c r="I540" s="9">
        <v>6.25</v>
      </c>
      <c r="J540" s="9">
        <v>0</v>
      </c>
      <c r="K540" s="9">
        <v>6.25</v>
      </c>
      <c r="L540" s="6">
        <v>0</v>
      </c>
      <c r="M540" s="6">
        <v>1</v>
      </c>
      <c r="N540" s="6">
        <v>1</v>
      </c>
      <c r="O540" s="6">
        <v>0</v>
      </c>
      <c r="P540" s="6">
        <v>0</v>
      </c>
      <c r="Q540" s="6">
        <v>0</v>
      </c>
      <c r="R540" s="6">
        <v>2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  <c r="X540" s="6">
        <v>0</v>
      </c>
      <c r="Y540" s="6">
        <v>0</v>
      </c>
      <c r="Z540" s="6">
        <v>0</v>
      </c>
      <c r="AA540" s="6">
        <v>0</v>
      </c>
      <c r="AB540" s="6">
        <v>0</v>
      </c>
      <c r="AC540" s="6">
        <v>0</v>
      </c>
      <c r="AD540" s="6">
        <v>0</v>
      </c>
      <c r="AE540" s="6">
        <v>0</v>
      </c>
      <c r="AF540" s="6">
        <v>0</v>
      </c>
      <c r="AG540" s="6">
        <v>0</v>
      </c>
      <c r="AH540" s="6">
        <v>0</v>
      </c>
      <c r="AI540" s="6">
        <v>0</v>
      </c>
      <c r="AJ540" s="6">
        <v>0</v>
      </c>
      <c r="AK540" s="6">
        <v>0</v>
      </c>
      <c r="AL540" s="6">
        <v>0</v>
      </c>
      <c r="AM540" s="6">
        <v>0</v>
      </c>
      <c r="AN540" s="6">
        <v>0</v>
      </c>
      <c r="AO540" s="6">
        <v>0</v>
      </c>
      <c r="AP540" s="6">
        <v>0</v>
      </c>
      <c r="AQ540" s="6">
        <v>0</v>
      </c>
      <c r="AR540" s="6">
        <v>0</v>
      </c>
      <c r="AS540" s="6">
        <v>0</v>
      </c>
    </row>
    <row r="541" spans="1:45" x14ac:dyDescent="0.25">
      <c r="A541" s="6" t="s">
        <v>751</v>
      </c>
      <c r="B541" s="6" t="s">
        <v>77</v>
      </c>
      <c r="C541" s="14">
        <v>45199</v>
      </c>
      <c r="D541" s="6"/>
      <c r="E541" s="6" t="s">
        <v>78</v>
      </c>
      <c r="G541" s="6" t="s">
        <v>69</v>
      </c>
      <c r="H541" s="6" t="s">
        <v>59</v>
      </c>
      <c r="I541" s="9">
        <v>6.35</v>
      </c>
      <c r="J541" s="9">
        <v>0</v>
      </c>
      <c r="K541" s="9">
        <v>6.35</v>
      </c>
      <c r="L541" s="6">
        <v>1</v>
      </c>
      <c r="M541" s="6">
        <v>0</v>
      </c>
      <c r="N541" s="6">
        <v>0</v>
      </c>
      <c r="O541" s="6">
        <v>0</v>
      </c>
      <c r="P541" s="6">
        <v>2</v>
      </c>
      <c r="Q541" s="6">
        <v>0</v>
      </c>
      <c r="R541" s="6">
        <v>0</v>
      </c>
      <c r="S541" s="6">
        <v>1</v>
      </c>
      <c r="T541" s="6">
        <v>0</v>
      </c>
      <c r="U541" s="6">
        <v>0</v>
      </c>
      <c r="V541" s="6">
        <v>0</v>
      </c>
      <c r="W541" s="6">
        <v>0</v>
      </c>
      <c r="X541" s="6">
        <v>0</v>
      </c>
      <c r="Y541" s="6">
        <v>0</v>
      </c>
      <c r="Z541" s="6">
        <v>0</v>
      </c>
      <c r="AA541" s="6">
        <v>0</v>
      </c>
      <c r="AB541" s="6">
        <v>0</v>
      </c>
      <c r="AC541" s="6">
        <v>0</v>
      </c>
      <c r="AD541" s="6">
        <v>0</v>
      </c>
      <c r="AE541" s="6">
        <v>0</v>
      </c>
      <c r="AF541" s="6">
        <v>0</v>
      </c>
      <c r="AG541" s="6">
        <v>0</v>
      </c>
      <c r="AH541" s="6">
        <v>0</v>
      </c>
      <c r="AI541" s="6">
        <v>0</v>
      </c>
      <c r="AJ541" s="6">
        <v>0</v>
      </c>
      <c r="AK541" s="6">
        <v>0</v>
      </c>
      <c r="AL541" s="6">
        <v>0</v>
      </c>
      <c r="AM541" s="6">
        <v>0</v>
      </c>
      <c r="AN541" s="6">
        <v>0</v>
      </c>
      <c r="AO541" s="6">
        <v>0</v>
      </c>
      <c r="AP541" s="6">
        <v>0</v>
      </c>
      <c r="AQ541" s="6">
        <v>0</v>
      </c>
      <c r="AR541" s="6">
        <v>0</v>
      </c>
      <c r="AS541" s="6">
        <v>0</v>
      </c>
    </row>
    <row r="542" spans="1:45" x14ac:dyDescent="0.25">
      <c r="A542" s="6" t="s">
        <v>751</v>
      </c>
      <c r="B542" s="6" t="s">
        <v>80</v>
      </c>
      <c r="C542" s="14">
        <v>45239</v>
      </c>
      <c r="D542" s="6"/>
      <c r="E542" s="6" t="s">
        <v>81</v>
      </c>
      <c r="G542" s="6" t="s">
        <v>69</v>
      </c>
      <c r="H542" s="6" t="s">
        <v>59</v>
      </c>
      <c r="I542" s="9">
        <v>6</v>
      </c>
      <c r="J542" s="9">
        <v>0</v>
      </c>
      <c r="K542" s="9">
        <v>6</v>
      </c>
      <c r="L542" s="6">
        <v>0</v>
      </c>
      <c r="M542" s="6">
        <v>0</v>
      </c>
      <c r="N542" s="6">
        <v>0</v>
      </c>
      <c r="O542" s="6">
        <v>0</v>
      </c>
      <c r="P542" s="6">
        <v>2</v>
      </c>
      <c r="Q542" s="6">
        <v>0</v>
      </c>
      <c r="R542" s="6">
        <v>0</v>
      </c>
      <c r="S542" s="6">
        <v>1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6">
        <v>0</v>
      </c>
      <c r="AB542" s="6">
        <v>0</v>
      </c>
      <c r="AC542" s="6">
        <v>0</v>
      </c>
      <c r="AD542" s="6">
        <v>0</v>
      </c>
      <c r="AE542" s="6">
        <v>0</v>
      </c>
      <c r="AF542" s="6">
        <v>0</v>
      </c>
      <c r="AG542" s="6">
        <v>0</v>
      </c>
      <c r="AH542" s="6">
        <v>0</v>
      </c>
      <c r="AI542" s="6">
        <v>0</v>
      </c>
      <c r="AJ542" s="6">
        <v>0</v>
      </c>
      <c r="AK542" s="6">
        <v>0</v>
      </c>
      <c r="AL542" s="6">
        <v>0</v>
      </c>
      <c r="AM542" s="6">
        <v>0</v>
      </c>
      <c r="AN542" s="6">
        <v>0</v>
      </c>
      <c r="AO542" s="6">
        <v>0</v>
      </c>
      <c r="AP542" s="6">
        <v>0</v>
      </c>
      <c r="AQ542" s="6">
        <v>0</v>
      </c>
      <c r="AR542" s="6">
        <v>0</v>
      </c>
      <c r="AS542" s="6">
        <v>0</v>
      </c>
    </row>
    <row r="543" spans="1:45" x14ac:dyDescent="0.25">
      <c r="A543" s="6" t="s">
        <v>751</v>
      </c>
      <c r="B543" s="6" t="s">
        <v>83</v>
      </c>
      <c r="C543" s="14">
        <v>44249</v>
      </c>
      <c r="D543" s="6"/>
      <c r="E543" s="6" t="s">
        <v>57</v>
      </c>
      <c r="G543" s="6" t="s">
        <v>69</v>
      </c>
      <c r="H543" s="6" t="s">
        <v>59</v>
      </c>
      <c r="I543" s="9">
        <v>6</v>
      </c>
      <c r="J543" s="9">
        <v>0</v>
      </c>
      <c r="K543" s="9">
        <v>6</v>
      </c>
      <c r="L543" s="6">
        <v>0</v>
      </c>
      <c r="M543" s="6">
        <v>0</v>
      </c>
      <c r="N543" s="6">
        <v>0</v>
      </c>
      <c r="O543" s="6">
        <v>1</v>
      </c>
      <c r="P543" s="6">
        <v>0</v>
      </c>
      <c r="Q543" s="6">
        <v>1</v>
      </c>
      <c r="R543" s="6">
        <v>0</v>
      </c>
      <c r="S543" s="6">
        <v>1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0</v>
      </c>
      <c r="AB543" s="6">
        <v>0</v>
      </c>
      <c r="AC543" s="6">
        <v>0</v>
      </c>
      <c r="AD543" s="6">
        <v>0</v>
      </c>
      <c r="AE543" s="6">
        <v>0</v>
      </c>
      <c r="AF543" s="6">
        <v>0</v>
      </c>
      <c r="AG543" s="6">
        <v>0</v>
      </c>
      <c r="AH543" s="6">
        <v>0</v>
      </c>
      <c r="AI543" s="6">
        <v>0</v>
      </c>
      <c r="AJ543" s="6">
        <v>0</v>
      </c>
      <c r="AK543" s="6">
        <v>0</v>
      </c>
      <c r="AL543" s="6">
        <v>0</v>
      </c>
      <c r="AM543" s="6">
        <v>0</v>
      </c>
      <c r="AN543" s="6">
        <v>0</v>
      </c>
      <c r="AO543" s="6">
        <v>0</v>
      </c>
      <c r="AP543" s="6">
        <v>0</v>
      </c>
      <c r="AQ543" s="6">
        <v>0</v>
      </c>
      <c r="AR543" s="6">
        <v>0</v>
      </c>
      <c r="AS543" s="6">
        <v>0</v>
      </c>
    </row>
    <row r="544" spans="1:45" x14ac:dyDescent="0.25">
      <c r="A544" s="6" t="s">
        <v>751</v>
      </c>
      <c r="B544" s="6" t="s">
        <v>85</v>
      </c>
      <c r="C544" s="14">
        <v>45239</v>
      </c>
      <c r="D544" s="6"/>
      <c r="E544" s="6" t="s">
        <v>86</v>
      </c>
      <c r="G544" s="6" t="s">
        <v>69</v>
      </c>
      <c r="H544" s="6" t="s">
        <v>59</v>
      </c>
      <c r="I544" s="9">
        <v>9</v>
      </c>
      <c r="J544" s="9">
        <v>0</v>
      </c>
      <c r="K544" s="9">
        <v>9</v>
      </c>
      <c r="L544" s="6">
        <v>0</v>
      </c>
      <c r="M544" s="6">
        <v>2</v>
      </c>
      <c r="N544" s="6">
        <v>0</v>
      </c>
      <c r="O544" s="6">
        <v>0</v>
      </c>
      <c r="P544" s="6">
        <v>2</v>
      </c>
      <c r="Q544" s="6">
        <v>1</v>
      </c>
      <c r="R544" s="6">
        <v>0</v>
      </c>
      <c r="S544" s="6">
        <v>1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  <c r="AC544" s="6">
        <v>0</v>
      </c>
      <c r="AD544" s="6">
        <v>0</v>
      </c>
      <c r="AE544" s="6">
        <v>0</v>
      </c>
      <c r="AF544" s="6">
        <v>0</v>
      </c>
      <c r="AG544" s="6">
        <v>0</v>
      </c>
      <c r="AH544" s="6">
        <v>0</v>
      </c>
      <c r="AI544" s="6">
        <v>0</v>
      </c>
      <c r="AJ544" s="6">
        <v>0</v>
      </c>
      <c r="AK544" s="6">
        <v>0</v>
      </c>
      <c r="AL544" s="6">
        <v>0</v>
      </c>
      <c r="AM544" s="6">
        <v>0</v>
      </c>
      <c r="AN544" s="6">
        <v>0</v>
      </c>
      <c r="AO544" s="6">
        <v>0</v>
      </c>
      <c r="AP544" s="6">
        <v>0</v>
      </c>
      <c r="AQ544" s="6">
        <v>0</v>
      </c>
      <c r="AR544" s="6">
        <v>0</v>
      </c>
      <c r="AS544" s="6">
        <v>0</v>
      </c>
    </row>
    <row r="545" spans="1:45" x14ac:dyDescent="0.25">
      <c r="A545" s="6" t="s">
        <v>751</v>
      </c>
      <c r="B545" s="6" t="s">
        <v>87</v>
      </c>
      <c r="C545" s="14">
        <v>44249</v>
      </c>
      <c r="D545" s="6"/>
      <c r="E545" s="6" t="s">
        <v>88</v>
      </c>
      <c r="G545" s="6" t="s">
        <v>89</v>
      </c>
      <c r="H545" s="6" t="s">
        <v>90</v>
      </c>
      <c r="I545" s="9">
        <v>1.5</v>
      </c>
      <c r="J545" s="9">
        <v>0</v>
      </c>
      <c r="K545" s="9">
        <v>1.5</v>
      </c>
      <c r="L545" s="6">
        <v>0</v>
      </c>
      <c r="M545" s="6">
        <v>3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6">
        <v>0</v>
      </c>
      <c r="AC545" s="6">
        <v>0</v>
      </c>
      <c r="AD545" s="6">
        <v>0</v>
      </c>
      <c r="AE545" s="6">
        <v>0</v>
      </c>
      <c r="AF545" s="6">
        <v>0</v>
      </c>
      <c r="AG545" s="6">
        <v>0</v>
      </c>
      <c r="AH545" s="6">
        <v>0</v>
      </c>
      <c r="AI545" s="6">
        <v>0</v>
      </c>
      <c r="AJ545" s="6">
        <v>0</v>
      </c>
      <c r="AK545" s="6">
        <v>0</v>
      </c>
      <c r="AL545" s="6">
        <v>0</v>
      </c>
      <c r="AM545" s="6">
        <v>0</v>
      </c>
      <c r="AN545" s="6">
        <v>0</v>
      </c>
      <c r="AO545" s="6">
        <v>0</v>
      </c>
      <c r="AP545" s="6">
        <v>0</v>
      </c>
      <c r="AQ545" s="6">
        <v>0</v>
      </c>
      <c r="AR545" s="6">
        <v>0</v>
      </c>
      <c r="AS545" s="6">
        <v>0</v>
      </c>
    </row>
    <row r="546" spans="1:45" x14ac:dyDescent="0.25">
      <c r="A546" s="6" t="s">
        <v>751</v>
      </c>
      <c r="B546" s="6" t="s">
        <v>87</v>
      </c>
      <c r="C546" s="14">
        <v>44567</v>
      </c>
      <c r="D546" s="6"/>
      <c r="E546" s="6" t="s">
        <v>91</v>
      </c>
      <c r="G546" s="6" t="s">
        <v>89</v>
      </c>
      <c r="H546" s="6" t="s">
        <v>90</v>
      </c>
      <c r="I546" s="9">
        <v>1.5</v>
      </c>
      <c r="J546" s="9">
        <v>0</v>
      </c>
      <c r="K546" s="9">
        <v>1.5</v>
      </c>
      <c r="L546" s="6">
        <v>0</v>
      </c>
      <c r="M546" s="6">
        <v>3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  <c r="Z546" s="6">
        <v>0</v>
      </c>
      <c r="AA546" s="6">
        <v>0</v>
      </c>
      <c r="AB546" s="6">
        <v>0</v>
      </c>
      <c r="AC546" s="6">
        <v>0</v>
      </c>
      <c r="AD546" s="6">
        <v>0</v>
      </c>
      <c r="AE546" s="6">
        <v>0</v>
      </c>
      <c r="AF546" s="6">
        <v>0</v>
      </c>
      <c r="AG546" s="6">
        <v>0</v>
      </c>
      <c r="AH546" s="6">
        <v>0</v>
      </c>
      <c r="AI546" s="6">
        <v>0</v>
      </c>
      <c r="AJ546" s="6">
        <v>0</v>
      </c>
      <c r="AK546" s="6">
        <v>0</v>
      </c>
      <c r="AL546" s="6">
        <v>0</v>
      </c>
      <c r="AM546" s="6">
        <v>0</v>
      </c>
      <c r="AN546" s="6">
        <v>0</v>
      </c>
      <c r="AO546" s="6">
        <v>0</v>
      </c>
      <c r="AP546" s="6">
        <v>0</v>
      </c>
      <c r="AQ546" s="6">
        <v>0</v>
      </c>
      <c r="AR546" s="6">
        <v>0</v>
      </c>
      <c r="AS546" s="6">
        <v>0</v>
      </c>
    </row>
    <row r="547" spans="1:45" x14ac:dyDescent="0.25">
      <c r="A547" s="6" t="s">
        <v>751</v>
      </c>
      <c r="B547" s="6" t="s">
        <v>93</v>
      </c>
      <c r="C547" s="14">
        <v>44249</v>
      </c>
      <c r="D547" s="6"/>
      <c r="E547" s="6" t="s">
        <v>88</v>
      </c>
      <c r="G547" s="6" t="s">
        <v>89</v>
      </c>
      <c r="H547" s="6" t="s">
        <v>90</v>
      </c>
      <c r="I547" s="9">
        <v>1</v>
      </c>
      <c r="J547" s="9">
        <v>0</v>
      </c>
      <c r="K547" s="9">
        <v>1</v>
      </c>
      <c r="L547" s="6">
        <v>0</v>
      </c>
      <c r="M547" s="6">
        <v>2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6">
        <v>0</v>
      </c>
      <c r="AC547" s="6">
        <v>0</v>
      </c>
      <c r="AD547" s="6">
        <v>0</v>
      </c>
      <c r="AE547" s="6">
        <v>0</v>
      </c>
      <c r="AF547" s="6">
        <v>0</v>
      </c>
      <c r="AG547" s="6">
        <v>0</v>
      </c>
      <c r="AH547" s="6">
        <v>0</v>
      </c>
      <c r="AI547" s="6">
        <v>0</v>
      </c>
      <c r="AJ547" s="6">
        <v>0</v>
      </c>
      <c r="AK547" s="6">
        <v>0</v>
      </c>
      <c r="AL547" s="6">
        <v>0</v>
      </c>
      <c r="AM547" s="6">
        <v>0</v>
      </c>
      <c r="AN547" s="6">
        <v>0</v>
      </c>
      <c r="AO547" s="6">
        <v>0</v>
      </c>
      <c r="AP547" s="6">
        <v>0</v>
      </c>
      <c r="AQ547" s="6">
        <v>0</v>
      </c>
      <c r="AR547" s="6">
        <v>0</v>
      </c>
      <c r="AS547" s="6">
        <v>0</v>
      </c>
    </row>
    <row r="548" spans="1:45" x14ac:dyDescent="0.25">
      <c r="A548" s="6" t="s">
        <v>751</v>
      </c>
      <c r="B548" s="6" t="s">
        <v>93</v>
      </c>
      <c r="C548" s="14">
        <v>44567</v>
      </c>
      <c r="D548" s="6"/>
      <c r="E548" s="6" t="s">
        <v>95</v>
      </c>
      <c r="G548" s="6" t="s">
        <v>89</v>
      </c>
      <c r="H548" s="6" t="s">
        <v>90</v>
      </c>
      <c r="I548" s="9">
        <v>1</v>
      </c>
      <c r="J548" s="9">
        <v>0</v>
      </c>
      <c r="K548" s="9">
        <v>1</v>
      </c>
      <c r="L548" s="6">
        <v>0</v>
      </c>
      <c r="M548" s="6">
        <v>2</v>
      </c>
      <c r="N548" s="6">
        <v>0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6">
        <v>0</v>
      </c>
      <c r="Z548" s="6">
        <v>0</v>
      </c>
      <c r="AA548" s="6">
        <v>0</v>
      </c>
      <c r="AB548" s="6">
        <v>0</v>
      </c>
      <c r="AC548" s="6">
        <v>0</v>
      </c>
      <c r="AD548" s="6">
        <v>0</v>
      </c>
      <c r="AE548" s="6">
        <v>0</v>
      </c>
      <c r="AF548" s="6">
        <v>0</v>
      </c>
      <c r="AG548" s="6">
        <v>0</v>
      </c>
      <c r="AH548" s="6">
        <v>0</v>
      </c>
      <c r="AI548" s="6">
        <v>0</v>
      </c>
      <c r="AJ548" s="6">
        <v>0</v>
      </c>
      <c r="AK548" s="6">
        <v>0</v>
      </c>
      <c r="AL548" s="6">
        <v>0</v>
      </c>
      <c r="AM548" s="6">
        <v>0</v>
      </c>
      <c r="AN548" s="6">
        <v>0</v>
      </c>
      <c r="AO548" s="6">
        <v>0</v>
      </c>
      <c r="AP548" s="6">
        <v>0</v>
      </c>
      <c r="AQ548" s="6">
        <v>0</v>
      </c>
      <c r="AR548" s="6">
        <v>0</v>
      </c>
      <c r="AS548" s="6">
        <v>0</v>
      </c>
    </row>
    <row r="549" spans="1:45" x14ac:dyDescent="0.25">
      <c r="A549" s="6" t="s">
        <v>751</v>
      </c>
      <c r="B549" s="6" t="s">
        <v>96</v>
      </c>
      <c r="C549" s="14">
        <v>44249</v>
      </c>
      <c r="D549" s="6"/>
      <c r="E549" s="6" t="s">
        <v>57</v>
      </c>
      <c r="G549" s="6" t="s">
        <v>97</v>
      </c>
      <c r="H549" s="6" t="s">
        <v>90</v>
      </c>
      <c r="I549" s="9">
        <v>1.5</v>
      </c>
      <c r="J549" s="9">
        <v>0</v>
      </c>
      <c r="K549" s="9">
        <v>1.5</v>
      </c>
      <c r="L549" s="6">
        <v>0</v>
      </c>
      <c r="M549" s="6">
        <v>3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  <c r="AC549" s="6">
        <v>0</v>
      </c>
      <c r="AD549" s="6">
        <v>0</v>
      </c>
      <c r="AE549" s="6">
        <v>0</v>
      </c>
      <c r="AF549" s="6">
        <v>0</v>
      </c>
      <c r="AG549" s="6">
        <v>0</v>
      </c>
      <c r="AH549" s="6">
        <v>0</v>
      </c>
      <c r="AI549" s="6">
        <v>0</v>
      </c>
      <c r="AJ549" s="6">
        <v>0</v>
      </c>
      <c r="AK549" s="6">
        <v>0</v>
      </c>
      <c r="AL549" s="6">
        <v>0</v>
      </c>
      <c r="AM549" s="6">
        <v>0</v>
      </c>
      <c r="AN549" s="6">
        <v>0</v>
      </c>
      <c r="AO549" s="6">
        <v>0</v>
      </c>
      <c r="AP549" s="6">
        <v>0</v>
      </c>
      <c r="AQ549" s="6">
        <v>0</v>
      </c>
      <c r="AR549" s="6">
        <v>0</v>
      </c>
      <c r="AS549" s="6">
        <v>0</v>
      </c>
    </row>
    <row r="550" spans="1:45" x14ac:dyDescent="0.25">
      <c r="A550" s="6" t="s">
        <v>751</v>
      </c>
      <c r="B550" s="6" t="s">
        <v>98</v>
      </c>
      <c r="C550" s="14">
        <v>44249</v>
      </c>
      <c r="D550" s="6"/>
      <c r="E550" s="6" t="s">
        <v>57</v>
      </c>
      <c r="G550" s="6" t="s">
        <v>97</v>
      </c>
      <c r="H550" s="6" t="s">
        <v>90</v>
      </c>
      <c r="I550" s="9">
        <v>1</v>
      </c>
      <c r="J550" s="9">
        <v>0</v>
      </c>
      <c r="K550" s="9">
        <v>1</v>
      </c>
      <c r="L550" s="6">
        <v>0</v>
      </c>
      <c r="M550" s="6">
        <v>0</v>
      </c>
      <c r="N550" s="6">
        <v>0</v>
      </c>
      <c r="O550" s="6">
        <v>1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6">
        <v>0</v>
      </c>
      <c r="Z550" s="6">
        <v>0</v>
      </c>
      <c r="AA550" s="6">
        <v>0</v>
      </c>
      <c r="AB550" s="6">
        <v>0</v>
      </c>
      <c r="AC550" s="6">
        <v>0</v>
      </c>
      <c r="AD550" s="6">
        <v>0</v>
      </c>
      <c r="AE550" s="6">
        <v>0</v>
      </c>
      <c r="AF550" s="6">
        <v>0</v>
      </c>
      <c r="AG550" s="6">
        <v>0</v>
      </c>
      <c r="AH550" s="6">
        <v>0</v>
      </c>
      <c r="AI550" s="6">
        <v>0</v>
      </c>
      <c r="AJ550" s="6">
        <v>0</v>
      </c>
      <c r="AK550" s="6">
        <v>0</v>
      </c>
      <c r="AL550" s="6">
        <v>0</v>
      </c>
      <c r="AM550" s="6">
        <v>0</v>
      </c>
      <c r="AN550" s="6">
        <v>0</v>
      </c>
      <c r="AO550" s="6">
        <v>0</v>
      </c>
      <c r="AP550" s="6">
        <v>0</v>
      </c>
      <c r="AQ550" s="6">
        <v>0</v>
      </c>
      <c r="AR550" s="6">
        <v>0</v>
      </c>
      <c r="AS550" s="6">
        <v>0</v>
      </c>
    </row>
    <row r="551" spans="1:45" x14ac:dyDescent="0.25">
      <c r="A551" s="6" t="s">
        <v>751</v>
      </c>
      <c r="B551" s="6" t="s">
        <v>98</v>
      </c>
      <c r="C551" s="14">
        <v>44567</v>
      </c>
      <c r="D551" s="6"/>
      <c r="E551" s="6" t="s">
        <v>100</v>
      </c>
      <c r="G551" s="6" t="s">
        <v>97</v>
      </c>
      <c r="H551" s="6" t="s">
        <v>90</v>
      </c>
      <c r="I551" s="9">
        <v>1</v>
      </c>
      <c r="J551" s="9">
        <v>0</v>
      </c>
      <c r="K551" s="9">
        <v>1</v>
      </c>
      <c r="L551" s="6">
        <v>0</v>
      </c>
      <c r="M551" s="6">
        <v>0</v>
      </c>
      <c r="N551" s="6">
        <v>0</v>
      </c>
      <c r="O551" s="6">
        <v>1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6">
        <v>0</v>
      </c>
      <c r="AB551" s="6">
        <v>0</v>
      </c>
      <c r="AC551" s="6">
        <v>0</v>
      </c>
      <c r="AD551" s="6">
        <v>0</v>
      </c>
      <c r="AE551" s="6">
        <v>0</v>
      </c>
      <c r="AF551" s="6">
        <v>0</v>
      </c>
      <c r="AG551" s="6">
        <v>0</v>
      </c>
      <c r="AH551" s="6">
        <v>0</v>
      </c>
      <c r="AI551" s="6">
        <v>0</v>
      </c>
      <c r="AJ551" s="6">
        <v>0</v>
      </c>
      <c r="AK551" s="6">
        <v>0</v>
      </c>
      <c r="AL551" s="6">
        <v>0</v>
      </c>
      <c r="AM551" s="6">
        <v>0</v>
      </c>
      <c r="AN551" s="6">
        <v>0</v>
      </c>
      <c r="AO551" s="6">
        <v>0</v>
      </c>
      <c r="AP551" s="6">
        <v>0</v>
      </c>
      <c r="AQ551" s="6">
        <v>0</v>
      </c>
      <c r="AR551" s="6">
        <v>0</v>
      </c>
      <c r="AS551" s="6">
        <v>0</v>
      </c>
    </row>
    <row r="552" spans="1:45" x14ac:dyDescent="0.25">
      <c r="A552" s="6" t="s">
        <v>751</v>
      </c>
      <c r="B552" s="6" t="s">
        <v>102</v>
      </c>
      <c r="C552" s="14">
        <v>44249</v>
      </c>
      <c r="D552" s="6"/>
      <c r="E552" s="6" t="s">
        <v>57</v>
      </c>
      <c r="G552" s="6" t="s">
        <v>97</v>
      </c>
      <c r="H552" s="6" t="s">
        <v>90</v>
      </c>
      <c r="I552" s="9">
        <v>1</v>
      </c>
      <c r="J552" s="9">
        <v>0</v>
      </c>
      <c r="K552" s="9">
        <v>1</v>
      </c>
      <c r="L552" s="6">
        <v>0</v>
      </c>
      <c r="M552" s="6">
        <v>2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  <c r="AC552" s="6">
        <v>0</v>
      </c>
      <c r="AD552" s="6">
        <v>0</v>
      </c>
      <c r="AE552" s="6">
        <v>0</v>
      </c>
      <c r="AF552" s="6">
        <v>0</v>
      </c>
      <c r="AG552" s="6">
        <v>0</v>
      </c>
      <c r="AH552" s="6">
        <v>0</v>
      </c>
      <c r="AI552" s="6">
        <v>0</v>
      </c>
      <c r="AJ552" s="6">
        <v>0</v>
      </c>
      <c r="AK552" s="6">
        <v>0</v>
      </c>
      <c r="AL552" s="6">
        <v>0</v>
      </c>
      <c r="AM552" s="6">
        <v>0</v>
      </c>
      <c r="AN552" s="6">
        <v>0</v>
      </c>
      <c r="AO552" s="6">
        <v>0</v>
      </c>
      <c r="AP552" s="6">
        <v>0</v>
      </c>
      <c r="AQ552" s="6">
        <v>0</v>
      </c>
      <c r="AR552" s="6">
        <v>0</v>
      </c>
      <c r="AS552" s="6">
        <v>0</v>
      </c>
    </row>
    <row r="553" spans="1:45" x14ac:dyDescent="0.25">
      <c r="A553" s="6" t="s">
        <v>751</v>
      </c>
      <c r="B553" s="6" t="s">
        <v>103</v>
      </c>
      <c r="C553" s="14">
        <v>44249</v>
      </c>
      <c r="D553" s="6"/>
      <c r="E553" s="6" t="s">
        <v>57</v>
      </c>
      <c r="G553" s="6" t="s">
        <v>97</v>
      </c>
      <c r="H553" s="6" t="s">
        <v>90</v>
      </c>
      <c r="I553" s="9">
        <v>2</v>
      </c>
      <c r="J553" s="9">
        <v>0</v>
      </c>
      <c r="K553" s="9">
        <v>2</v>
      </c>
      <c r="L553" s="6">
        <v>0</v>
      </c>
      <c r="M553" s="6">
        <v>4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0</v>
      </c>
      <c r="AC553" s="6">
        <v>0</v>
      </c>
      <c r="AD553" s="6">
        <v>0</v>
      </c>
      <c r="AE553" s="6">
        <v>0</v>
      </c>
      <c r="AF553" s="6">
        <v>0</v>
      </c>
      <c r="AG553" s="6">
        <v>0</v>
      </c>
      <c r="AH553" s="6">
        <v>0</v>
      </c>
      <c r="AI553" s="6">
        <v>0</v>
      </c>
      <c r="AJ553" s="6">
        <v>0</v>
      </c>
      <c r="AK553" s="6">
        <v>0</v>
      </c>
      <c r="AL553" s="6">
        <v>0</v>
      </c>
      <c r="AM553" s="6">
        <v>0</v>
      </c>
      <c r="AN553" s="6">
        <v>0</v>
      </c>
      <c r="AO553" s="6">
        <v>0</v>
      </c>
      <c r="AP553" s="6">
        <v>0</v>
      </c>
      <c r="AQ553" s="6">
        <v>0</v>
      </c>
      <c r="AR553" s="6">
        <v>0</v>
      </c>
      <c r="AS553" s="6">
        <v>0</v>
      </c>
    </row>
    <row r="554" spans="1:45" x14ac:dyDescent="0.25">
      <c r="A554" s="6" t="s">
        <v>751</v>
      </c>
      <c r="B554" s="6" t="s">
        <v>104</v>
      </c>
      <c r="C554" s="14">
        <v>44249</v>
      </c>
      <c r="D554" s="6"/>
      <c r="E554" s="6" t="s">
        <v>105</v>
      </c>
      <c r="G554" s="6" t="s">
        <v>106</v>
      </c>
      <c r="H554" s="6" t="s">
        <v>107</v>
      </c>
      <c r="I554" s="9">
        <v>9.5</v>
      </c>
      <c r="J554" s="9">
        <v>0</v>
      </c>
      <c r="K554" s="9">
        <v>9.5</v>
      </c>
      <c r="L554" s="6">
        <v>0</v>
      </c>
      <c r="M554" s="6">
        <v>4</v>
      </c>
      <c r="N554" s="6">
        <v>0</v>
      </c>
      <c r="O554" s="6">
        <v>0</v>
      </c>
      <c r="P554" s="6">
        <v>0</v>
      </c>
      <c r="Q554" s="6">
        <v>0</v>
      </c>
      <c r="R554" s="6">
        <v>3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6">
        <v>0</v>
      </c>
      <c r="AB554" s="6">
        <v>0</v>
      </c>
      <c r="AC554" s="6">
        <v>0</v>
      </c>
      <c r="AD554" s="6">
        <v>0</v>
      </c>
      <c r="AE554" s="6">
        <v>0</v>
      </c>
      <c r="AF554" s="6">
        <v>0</v>
      </c>
      <c r="AG554" s="6">
        <v>0</v>
      </c>
      <c r="AH554" s="6">
        <v>0</v>
      </c>
      <c r="AI554" s="6">
        <v>0</v>
      </c>
      <c r="AJ554" s="6">
        <v>0</v>
      </c>
      <c r="AK554" s="6">
        <v>0</v>
      </c>
      <c r="AL554" s="6">
        <v>0</v>
      </c>
      <c r="AM554" s="6">
        <v>0</v>
      </c>
      <c r="AN554" s="6">
        <v>0</v>
      </c>
      <c r="AO554" s="6">
        <v>0</v>
      </c>
      <c r="AP554" s="6">
        <v>0</v>
      </c>
      <c r="AQ554" s="6">
        <v>0</v>
      </c>
      <c r="AR554" s="6">
        <v>0</v>
      </c>
      <c r="AS554" s="6">
        <v>0</v>
      </c>
    </row>
    <row r="555" spans="1:45" x14ac:dyDescent="0.25">
      <c r="A555" s="6" t="s">
        <v>751</v>
      </c>
      <c r="B555" s="6" t="s">
        <v>108</v>
      </c>
      <c r="C555" s="14">
        <v>44249</v>
      </c>
      <c r="D555" s="6"/>
      <c r="E555" s="6" t="s">
        <v>105</v>
      </c>
      <c r="G555" s="6" t="s">
        <v>106</v>
      </c>
      <c r="H555" s="6" t="s">
        <v>107</v>
      </c>
      <c r="I555" s="9">
        <v>9</v>
      </c>
      <c r="J555" s="9">
        <v>0</v>
      </c>
      <c r="K555" s="9">
        <v>9</v>
      </c>
      <c r="L555" s="6">
        <v>0</v>
      </c>
      <c r="M555" s="6">
        <v>3</v>
      </c>
      <c r="N555" s="6">
        <v>0</v>
      </c>
      <c r="O555" s="6">
        <v>0</v>
      </c>
      <c r="P555" s="6">
        <v>0</v>
      </c>
      <c r="Q555" s="6">
        <v>0</v>
      </c>
      <c r="R555" s="6">
        <v>3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  <c r="X555" s="6">
        <v>0</v>
      </c>
      <c r="Y555" s="6">
        <v>0</v>
      </c>
      <c r="Z555" s="6">
        <v>0</v>
      </c>
      <c r="AA555" s="6">
        <v>0</v>
      </c>
      <c r="AB555" s="6">
        <v>0</v>
      </c>
      <c r="AC555" s="6">
        <v>0</v>
      </c>
      <c r="AD555" s="6">
        <v>0</v>
      </c>
      <c r="AE555" s="6">
        <v>0</v>
      </c>
      <c r="AF555" s="6">
        <v>0</v>
      </c>
      <c r="AG555" s="6">
        <v>0</v>
      </c>
      <c r="AH555" s="6">
        <v>0</v>
      </c>
      <c r="AI555" s="6">
        <v>0</v>
      </c>
      <c r="AJ555" s="6">
        <v>0</v>
      </c>
      <c r="AK555" s="6">
        <v>0</v>
      </c>
      <c r="AL555" s="6">
        <v>0</v>
      </c>
      <c r="AM555" s="6">
        <v>0</v>
      </c>
      <c r="AN555" s="6">
        <v>0</v>
      </c>
      <c r="AO555" s="6">
        <v>0</v>
      </c>
      <c r="AP555" s="6">
        <v>0</v>
      </c>
      <c r="AQ555" s="6">
        <v>0</v>
      </c>
      <c r="AR555" s="6">
        <v>0</v>
      </c>
      <c r="AS555" s="6">
        <v>0</v>
      </c>
    </row>
    <row r="556" spans="1:45" x14ac:dyDescent="0.25">
      <c r="A556" s="6" t="s">
        <v>751</v>
      </c>
      <c r="B556" s="6" t="s">
        <v>109</v>
      </c>
      <c r="C556" s="14">
        <v>44438</v>
      </c>
      <c r="D556" s="6"/>
      <c r="E556" s="6" t="s">
        <v>6</v>
      </c>
      <c r="G556" s="6" t="s">
        <v>106</v>
      </c>
      <c r="H556" s="6" t="s">
        <v>110</v>
      </c>
      <c r="I556" s="9">
        <v>1</v>
      </c>
      <c r="J556" s="9">
        <v>0</v>
      </c>
      <c r="K556" s="9">
        <v>1</v>
      </c>
      <c r="L556" s="6">
        <v>0</v>
      </c>
      <c r="M556" s="6">
        <v>2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  <c r="X556" s="6">
        <v>0</v>
      </c>
      <c r="Y556" s="6">
        <v>0</v>
      </c>
      <c r="Z556" s="6">
        <v>0</v>
      </c>
      <c r="AA556" s="6">
        <v>0</v>
      </c>
      <c r="AB556" s="6">
        <v>0</v>
      </c>
      <c r="AC556" s="6">
        <v>0</v>
      </c>
      <c r="AD556" s="6">
        <v>0</v>
      </c>
      <c r="AE556" s="6">
        <v>0</v>
      </c>
      <c r="AF556" s="6">
        <v>0</v>
      </c>
      <c r="AG556" s="6">
        <v>0</v>
      </c>
      <c r="AH556" s="6">
        <v>0</v>
      </c>
      <c r="AI556" s="6">
        <v>0</v>
      </c>
      <c r="AJ556" s="6">
        <v>0</v>
      </c>
      <c r="AK556" s="6">
        <v>0</v>
      </c>
      <c r="AL556" s="6">
        <v>0</v>
      </c>
      <c r="AM556" s="6">
        <v>0</v>
      </c>
      <c r="AN556" s="6">
        <v>0</v>
      </c>
      <c r="AO556" s="6">
        <v>0</v>
      </c>
      <c r="AP556" s="6">
        <v>0</v>
      </c>
      <c r="AQ556" s="6">
        <v>0</v>
      </c>
      <c r="AR556" s="6">
        <v>0</v>
      </c>
      <c r="AS556" s="6">
        <v>0</v>
      </c>
    </row>
    <row r="557" spans="1:45" x14ac:dyDescent="0.25">
      <c r="A557" s="6" t="s">
        <v>751</v>
      </c>
      <c r="B557" s="6" t="s">
        <v>111</v>
      </c>
      <c r="C557" s="14">
        <v>44566</v>
      </c>
      <c r="D557" s="6"/>
      <c r="E557" s="6" t="s">
        <v>95</v>
      </c>
      <c r="G557" s="6" t="s">
        <v>106</v>
      </c>
      <c r="H557" s="6" t="s">
        <v>112</v>
      </c>
      <c r="I557" s="9">
        <v>9.5</v>
      </c>
      <c r="J557" s="9">
        <v>0</v>
      </c>
      <c r="K557" s="9">
        <v>9.5</v>
      </c>
      <c r="L557" s="6">
        <v>0</v>
      </c>
      <c r="M557" s="6">
        <v>4</v>
      </c>
      <c r="N557" s="6">
        <v>0</v>
      </c>
      <c r="O557" s="6">
        <v>0</v>
      </c>
      <c r="P557" s="6">
        <v>0</v>
      </c>
      <c r="Q557" s="6">
        <v>0</v>
      </c>
      <c r="R557" s="6">
        <v>3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  <c r="X557" s="6">
        <v>0</v>
      </c>
      <c r="Y557" s="6">
        <v>0</v>
      </c>
      <c r="Z557" s="6">
        <v>0</v>
      </c>
      <c r="AA557" s="6">
        <v>0</v>
      </c>
      <c r="AB557" s="6">
        <v>0</v>
      </c>
      <c r="AC557" s="6">
        <v>0</v>
      </c>
      <c r="AD557" s="6">
        <v>0</v>
      </c>
      <c r="AE557" s="6">
        <v>0</v>
      </c>
      <c r="AF557" s="6">
        <v>0</v>
      </c>
      <c r="AG557" s="6">
        <v>0</v>
      </c>
      <c r="AH557" s="6">
        <v>0</v>
      </c>
      <c r="AI557" s="6">
        <v>0</v>
      </c>
      <c r="AJ557" s="6">
        <v>0</v>
      </c>
      <c r="AK557" s="6">
        <v>0</v>
      </c>
      <c r="AL557" s="6">
        <v>0</v>
      </c>
      <c r="AM557" s="6">
        <v>0</v>
      </c>
      <c r="AN557" s="6">
        <v>0</v>
      </c>
      <c r="AO557" s="6">
        <v>0</v>
      </c>
      <c r="AP557" s="6">
        <v>0</v>
      </c>
      <c r="AQ557" s="6">
        <v>0</v>
      </c>
      <c r="AR557" s="6">
        <v>0</v>
      </c>
      <c r="AS557" s="6">
        <v>0</v>
      </c>
    </row>
    <row r="558" spans="1:45" x14ac:dyDescent="0.25">
      <c r="A558" s="6" t="s">
        <v>751</v>
      </c>
      <c r="B558" s="6" t="s">
        <v>111</v>
      </c>
      <c r="C558" s="14">
        <v>44375</v>
      </c>
      <c r="D558" s="6"/>
      <c r="E558" s="6" t="s">
        <v>95</v>
      </c>
      <c r="G558" s="6" t="s">
        <v>106</v>
      </c>
      <c r="H558" s="6" t="s">
        <v>112</v>
      </c>
      <c r="I558" s="9">
        <v>9.5</v>
      </c>
      <c r="J558" s="9">
        <v>0</v>
      </c>
      <c r="K558" s="9">
        <v>9.5</v>
      </c>
      <c r="L558" s="6">
        <v>0</v>
      </c>
      <c r="M558" s="6">
        <v>4</v>
      </c>
      <c r="N558" s="6">
        <v>0</v>
      </c>
      <c r="O558" s="6">
        <v>0</v>
      </c>
      <c r="P558" s="6">
        <v>0</v>
      </c>
      <c r="Q558" s="6">
        <v>0</v>
      </c>
      <c r="R558" s="6">
        <v>3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  <c r="X558" s="6">
        <v>0</v>
      </c>
      <c r="Y558" s="6">
        <v>0</v>
      </c>
      <c r="Z558" s="6">
        <v>0</v>
      </c>
      <c r="AA558" s="6">
        <v>0</v>
      </c>
      <c r="AB558" s="6">
        <v>0</v>
      </c>
      <c r="AC558" s="6">
        <v>0</v>
      </c>
      <c r="AD558" s="6">
        <v>0</v>
      </c>
      <c r="AE558" s="6">
        <v>0</v>
      </c>
      <c r="AF558" s="6">
        <v>0</v>
      </c>
      <c r="AG558" s="6">
        <v>0</v>
      </c>
      <c r="AH558" s="6">
        <v>0</v>
      </c>
      <c r="AI558" s="6">
        <v>0</v>
      </c>
      <c r="AJ558" s="6">
        <v>0</v>
      </c>
      <c r="AK558" s="6">
        <v>0</v>
      </c>
      <c r="AL558" s="6">
        <v>0</v>
      </c>
      <c r="AM558" s="6">
        <v>0</v>
      </c>
      <c r="AN558" s="6">
        <v>0</v>
      </c>
      <c r="AO558" s="6">
        <v>0</v>
      </c>
      <c r="AP558" s="6">
        <v>0</v>
      </c>
      <c r="AQ558" s="6">
        <v>0</v>
      </c>
      <c r="AR558" s="6">
        <v>0</v>
      </c>
      <c r="AS558" s="6">
        <v>0</v>
      </c>
    </row>
    <row r="559" spans="1:45" x14ac:dyDescent="0.25">
      <c r="A559" s="6" t="s">
        <v>751</v>
      </c>
      <c r="B559" s="6" t="s">
        <v>113</v>
      </c>
      <c r="C559" s="14">
        <v>44566</v>
      </c>
      <c r="D559" s="6"/>
      <c r="E559" s="6" t="s">
        <v>95</v>
      </c>
      <c r="G559" s="6" t="s">
        <v>106</v>
      </c>
      <c r="H559" s="6" t="s">
        <v>112</v>
      </c>
      <c r="I559" s="9">
        <v>9</v>
      </c>
      <c r="J559" s="9">
        <v>0</v>
      </c>
      <c r="K559" s="9">
        <v>9</v>
      </c>
      <c r="L559" s="6">
        <v>0</v>
      </c>
      <c r="M559" s="6">
        <v>3</v>
      </c>
      <c r="N559" s="6">
        <v>0</v>
      </c>
      <c r="O559" s="6">
        <v>0</v>
      </c>
      <c r="P559" s="6">
        <v>0</v>
      </c>
      <c r="Q559" s="6">
        <v>0</v>
      </c>
      <c r="R559" s="6">
        <v>3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6">
        <v>0</v>
      </c>
      <c r="AB559" s="6">
        <v>0</v>
      </c>
      <c r="AC559" s="6">
        <v>0</v>
      </c>
      <c r="AD559" s="6">
        <v>0</v>
      </c>
      <c r="AE559" s="6">
        <v>0</v>
      </c>
      <c r="AF559" s="6">
        <v>0</v>
      </c>
      <c r="AG559" s="6">
        <v>0</v>
      </c>
      <c r="AH559" s="6">
        <v>0</v>
      </c>
      <c r="AI559" s="6">
        <v>0</v>
      </c>
      <c r="AJ559" s="6">
        <v>0</v>
      </c>
      <c r="AK559" s="6">
        <v>0</v>
      </c>
      <c r="AL559" s="6">
        <v>0</v>
      </c>
      <c r="AM559" s="6">
        <v>0</v>
      </c>
      <c r="AN559" s="6">
        <v>0</v>
      </c>
      <c r="AO559" s="6">
        <v>0</v>
      </c>
      <c r="AP559" s="6">
        <v>0</v>
      </c>
      <c r="AQ559" s="6">
        <v>0</v>
      </c>
      <c r="AR559" s="6">
        <v>0</v>
      </c>
      <c r="AS559" s="6">
        <v>0</v>
      </c>
    </row>
    <row r="560" spans="1:45" x14ac:dyDescent="0.25">
      <c r="A560" s="6" t="s">
        <v>751</v>
      </c>
      <c r="B560" s="6" t="s">
        <v>113</v>
      </c>
      <c r="C560" s="14">
        <v>44375</v>
      </c>
      <c r="D560" s="6"/>
      <c r="E560" s="6" t="s">
        <v>95</v>
      </c>
      <c r="G560" s="6" t="s">
        <v>106</v>
      </c>
      <c r="H560" s="6" t="s">
        <v>112</v>
      </c>
      <c r="I560" s="9">
        <v>9</v>
      </c>
      <c r="J560" s="9">
        <v>0</v>
      </c>
      <c r="K560" s="9">
        <v>9</v>
      </c>
      <c r="L560" s="6">
        <v>0</v>
      </c>
      <c r="M560" s="6">
        <v>3</v>
      </c>
      <c r="N560" s="6">
        <v>0</v>
      </c>
      <c r="O560" s="6">
        <v>0</v>
      </c>
      <c r="P560" s="6">
        <v>0</v>
      </c>
      <c r="Q560" s="6">
        <v>0</v>
      </c>
      <c r="R560" s="6">
        <v>3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  <c r="X560" s="6">
        <v>0</v>
      </c>
      <c r="Y560" s="6">
        <v>0</v>
      </c>
      <c r="Z560" s="6">
        <v>0</v>
      </c>
      <c r="AA560" s="6">
        <v>0</v>
      </c>
      <c r="AB560" s="6">
        <v>0</v>
      </c>
      <c r="AC560" s="6">
        <v>0</v>
      </c>
      <c r="AD560" s="6">
        <v>0</v>
      </c>
      <c r="AE560" s="6">
        <v>0</v>
      </c>
      <c r="AF560" s="6">
        <v>0</v>
      </c>
      <c r="AG560" s="6">
        <v>0</v>
      </c>
      <c r="AH560" s="6">
        <v>0</v>
      </c>
      <c r="AI560" s="6">
        <v>0</v>
      </c>
      <c r="AJ560" s="6">
        <v>0</v>
      </c>
      <c r="AK560" s="6">
        <v>0</v>
      </c>
      <c r="AL560" s="6">
        <v>0</v>
      </c>
      <c r="AM560" s="6">
        <v>0</v>
      </c>
      <c r="AN560" s="6">
        <v>0</v>
      </c>
      <c r="AO560" s="6">
        <v>0</v>
      </c>
      <c r="AP560" s="6">
        <v>0</v>
      </c>
      <c r="AQ560" s="6">
        <v>0</v>
      </c>
      <c r="AR560" s="6">
        <v>0</v>
      </c>
      <c r="AS560" s="6">
        <v>0</v>
      </c>
    </row>
    <row r="561" spans="1:45" x14ac:dyDescent="0.25">
      <c r="A561" s="6" t="s">
        <v>751</v>
      </c>
      <c r="B561" s="6" t="s">
        <v>114</v>
      </c>
      <c r="C561" s="14">
        <v>44249</v>
      </c>
      <c r="D561" s="6"/>
      <c r="E561" s="6" t="s">
        <v>57</v>
      </c>
      <c r="G561" s="6" t="s">
        <v>115</v>
      </c>
      <c r="H561" s="6" t="s">
        <v>90</v>
      </c>
      <c r="I561" s="9">
        <v>1</v>
      </c>
      <c r="J561" s="9">
        <v>0</v>
      </c>
      <c r="K561" s="9">
        <v>1</v>
      </c>
      <c r="L561" s="6">
        <v>0</v>
      </c>
      <c r="M561" s="6">
        <v>0</v>
      </c>
      <c r="N561" s="6">
        <v>0</v>
      </c>
      <c r="O561" s="6">
        <v>1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  <c r="X561" s="6">
        <v>0</v>
      </c>
      <c r="Y561" s="6">
        <v>0</v>
      </c>
      <c r="Z561" s="6">
        <v>0</v>
      </c>
      <c r="AA561" s="6">
        <v>0</v>
      </c>
      <c r="AB561" s="6">
        <v>0</v>
      </c>
      <c r="AC561" s="6">
        <v>0</v>
      </c>
      <c r="AD561" s="6">
        <v>0</v>
      </c>
      <c r="AE561" s="6">
        <v>0</v>
      </c>
      <c r="AF561" s="6">
        <v>0</v>
      </c>
      <c r="AG561" s="6">
        <v>0</v>
      </c>
      <c r="AH561" s="6">
        <v>0</v>
      </c>
      <c r="AI561" s="6">
        <v>0</v>
      </c>
      <c r="AJ561" s="6">
        <v>0</v>
      </c>
      <c r="AK561" s="6">
        <v>0</v>
      </c>
      <c r="AL561" s="6">
        <v>0</v>
      </c>
      <c r="AM561" s="6">
        <v>0</v>
      </c>
      <c r="AN561" s="6">
        <v>0</v>
      </c>
      <c r="AO561" s="6">
        <v>0</v>
      </c>
      <c r="AP561" s="6">
        <v>0</v>
      </c>
      <c r="AQ561" s="6">
        <v>0</v>
      </c>
      <c r="AR561" s="6">
        <v>0</v>
      </c>
      <c r="AS561" s="6">
        <v>0</v>
      </c>
    </row>
    <row r="562" spans="1:45" x14ac:dyDescent="0.25">
      <c r="A562" s="6" t="s">
        <v>751</v>
      </c>
      <c r="B562" s="6" t="s">
        <v>114</v>
      </c>
      <c r="C562" s="14">
        <v>44250</v>
      </c>
      <c r="D562" s="6"/>
      <c r="E562" s="6" t="s">
        <v>57</v>
      </c>
      <c r="G562" s="6" t="s">
        <v>115</v>
      </c>
      <c r="H562" s="6" t="s">
        <v>90</v>
      </c>
      <c r="I562" s="9">
        <v>1</v>
      </c>
      <c r="J562" s="9">
        <v>0</v>
      </c>
      <c r="K562" s="9">
        <v>1</v>
      </c>
      <c r="L562" s="6">
        <v>0</v>
      </c>
      <c r="M562" s="6">
        <v>0</v>
      </c>
      <c r="N562" s="6">
        <v>0</v>
      </c>
      <c r="O562" s="6">
        <v>1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  <c r="X562" s="6">
        <v>0</v>
      </c>
      <c r="Y562" s="6">
        <v>0</v>
      </c>
      <c r="Z562" s="6">
        <v>0</v>
      </c>
      <c r="AA562" s="6">
        <v>0</v>
      </c>
      <c r="AB562" s="6">
        <v>0</v>
      </c>
      <c r="AC562" s="6">
        <v>0</v>
      </c>
      <c r="AD562" s="6">
        <v>0</v>
      </c>
      <c r="AE562" s="6">
        <v>0</v>
      </c>
      <c r="AF562" s="6">
        <v>0</v>
      </c>
      <c r="AG562" s="6">
        <v>0</v>
      </c>
      <c r="AH562" s="6">
        <v>0</v>
      </c>
      <c r="AI562" s="6">
        <v>0</v>
      </c>
      <c r="AJ562" s="6">
        <v>0</v>
      </c>
      <c r="AK562" s="6">
        <v>0</v>
      </c>
      <c r="AL562" s="6">
        <v>0</v>
      </c>
      <c r="AM562" s="6">
        <v>0</v>
      </c>
      <c r="AN562" s="6">
        <v>0</v>
      </c>
      <c r="AO562" s="6">
        <v>0</v>
      </c>
      <c r="AP562" s="6">
        <v>0</v>
      </c>
      <c r="AQ562" s="6">
        <v>0</v>
      </c>
      <c r="AR562" s="6">
        <v>0</v>
      </c>
      <c r="AS562" s="6">
        <v>0</v>
      </c>
    </row>
    <row r="563" spans="1:45" x14ac:dyDescent="0.25">
      <c r="A563" s="6" t="s">
        <v>751</v>
      </c>
      <c r="B563" s="6" t="s">
        <v>116</v>
      </c>
      <c r="C563" s="14">
        <v>45138</v>
      </c>
      <c r="D563" s="6"/>
      <c r="E563" s="6" t="s">
        <v>117</v>
      </c>
      <c r="G563" s="6" t="s">
        <v>118</v>
      </c>
      <c r="H563" s="6" t="s">
        <v>59</v>
      </c>
      <c r="I563" s="9">
        <v>3.35</v>
      </c>
      <c r="J563" s="9">
        <v>0</v>
      </c>
      <c r="K563" s="9">
        <v>3.35</v>
      </c>
      <c r="L563" s="6">
        <v>1</v>
      </c>
      <c r="M563" s="6">
        <v>1</v>
      </c>
      <c r="N563" s="6">
        <v>0</v>
      </c>
      <c r="O563" s="6">
        <v>0</v>
      </c>
      <c r="P563" s="6">
        <v>0</v>
      </c>
      <c r="Q563" s="6">
        <v>0</v>
      </c>
      <c r="R563" s="6">
        <v>1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  <c r="X563" s="6">
        <v>0</v>
      </c>
      <c r="Y563" s="6">
        <v>0</v>
      </c>
      <c r="Z563" s="6">
        <v>0</v>
      </c>
      <c r="AA563" s="6">
        <v>0</v>
      </c>
      <c r="AB563" s="6">
        <v>0</v>
      </c>
      <c r="AC563" s="6">
        <v>0</v>
      </c>
      <c r="AD563" s="6">
        <v>0</v>
      </c>
      <c r="AE563" s="6">
        <v>0</v>
      </c>
      <c r="AF563" s="6">
        <v>0</v>
      </c>
      <c r="AG563" s="6">
        <v>0</v>
      </c>
      <c r="AH563" s="6">
        <v>0</v>
      </c>
      <c r="AI563" s="6">
        <v>0</v>
      </c>
      <c r="AJ563" s="6">
        <v>0</v>
      </c>
      <c r="AK563" s="6">
        <v>0</v>
      </c>
      <c r="AL563" s="6">
        <v>0</v>
      </c>
      <c r="AM563" s="6">
        <v>0</v>
      </c>
      <c r="AN563" s="6">
        <v>0</v>
      </c>
      <c r="AO563" s="6">
        <v>0</v>
      </c>
      <c r="AP563" s="6">
        <v>0</v>
      </c>
      <c r="AQ563" s="6">
        <v>0</v>
      </c>
      <c r="AR563" s="6">
        <v>0</v>
      </c>
      <c r="AS563" s="6">
        <v>0</v>
      </c>
    </row>
    <row r="564" spans="1:45" x14ac:dyDescent="0.25">
      <c r="A564" s="6" t="s">
        <v>751</v>
      </c>
      <c r="B564" s="6" t="s">
        <v>119</v>
      </c>
      <c r="C564" s="14">
        <v>45140</v>
      </c>
      <c r="D564" s="6"/>
      <c r="E564" s="6" t="s">
        <v>117</v>
      </c>
      <c r="G564" s="6" t="s">
        <v>118</v>
      </c>
      <c r="H564" s="6" t="s">
        <v>59</v>
      </c>
      <c r="I564" s="9">
        <v>3.5</v>
      </c>
      <c r="J564" s="9">
        <v>0</v>
      </c>
      <c r="K564" s="9">
        <v>3.5</v>
      </c>
      <c r="L564" s="6">
        <v>0</v>
      </c>
      <c r="M564" s="6">
        <v>2</v>
      </c>
      <c r="N564" s="6">
        <v>0</v>
      </c>
      <c r="O564" s="6">
        <v>0</v>
      </c>
      <c r="P564" s="6">
        <v>0</v>
      </c>
      <c r="Q564" s="6">
        <v>0</v>
      </c>
      <c r="R564" s="6">
        <v>1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  <c r="X564" s="6">
        <v>0</v>
      </c>
      <c r="Y564" s="6">
        <v>0</v>
      </c>
      <c r="Z564" s="6">
        <v>0</v>
      </c>
      <c r="AA564" s="6">
        <v>0</v>
      </c>
      <c r="AB564" s="6">
        <v>0</v>
      </c>
      <c r="AC564" s="6">
        <v>0</v>
      </c>
      <c r="AD564" s="6">
        <v>0</v>
      </c>
      <c r="AE564" s="6">
        <v>0</v>
      </c>
      <c r="AF564" s="6">
        <v>0</v>
      </c>
      <c r="AG564" s="6">
        <v>0</v>
      </c>
      <c r="AH564" s="6">
        <v>0</v>
      </c>
      <c r="AI564" s="6">
        <v>0</v>
      </c>
      <c r="AJ564" s="6">
        <v>0</v>
      </c>
      <c r="AK564" s="6">
        <v>0</v>
      </c>
      <c r="AL564" s="6">
        <v>0</v>
      </c>
      <c r="AM564" s="6">
        <v>0</v>
      </c>
      <c r="AN564" s="6">
        <v>0</v>
      </c>
      <c r="AO564" s="6">
        <v>0</v>
      </c>
      <c r="AP564" s="6">
        <v>0</v>
      </c>
      <c r="AQ564" s="6">
        <v>0</v>
      </c>
      <c r="AR564" s="6">
        <v>0</v>
      </c>
      <c r="AS564" s="6">
        <v>0</v>
      </c>
    </row>
    <row r="565" spans="1:45" x14ac:dyDescent="0.25">
      <c r="A565" s="6" t="s">
        <v>751</v>
      </c>
      <c r="B565" s="6" t="s">
        <v>120</v>
      </c>
      <c r="C565" s="14">
        <v>45140</v>
      </c>
      <c r="D565" s="6"/>
      <c r="E565" s="6" t="s">
        <v>121</v>
      </c>
      <c r="G565" s="6" t="s">
        <v>118</v>
      </c>
      <c r="H565" s="6" t="s">
        <v>59</v>
      </c>
      <c r="I565" s="9">
        <v>3.85</v>
      </c>
      <c r="J565" s="9">
        <v>0</v>
      </c>
      <c r="K565" s="9">
        <v>3.85</v>
      </c>
      <c r="L565" s="6">
        <v>1</v>
      </c>
      <c r="M565" s="6">
        <v>2</v>
      </c>
      <c r="N565" s="6">
        <v>0</v>
      </c>
      <c r="O565" s="6">
        <v>0</v>
      </c>
      <c r="P565" s="6">
        <v>0</v>
      </c>
      <c r="Q565" s="6">
        <v>0</v>
      </c>
      <c r="R565" s="6">
        <v>1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  <c r="X565" s="6">
        <v>0</v>
      </c>
      <c r="Y565" s="6">
        <v>0</v>
      </c>
      <c r="Z565" s="6">
        <v>0</v>
      </c>
      <c r="AA565" s="6">
        <v>0</v>
      </c>
      <c r="AB565" s="6">
        <v>0</v>
      </c>
      <c r="AC565" s="6">
        <v>0</v>
      </c>
      <c r="AD565" s="6">
        <v>0</v>
      </c>
      <c r="AE565" s="6">
        <v>0</v>
      </c>
      <c r="AF565" s="6">
        <v>0</v>
      </c>
      <c r="AG565" s="6">
        <v>0</v>
      </c>
      <c r="AH565" s="6">
        <v>0</v>
      </c>
      <c r="AI565" s="6">
        <v>0</v>
      </c>
      <c r="AJ565" s="6">
        <v>0</v>
      </c>
      <c r="AK565" s="6">
        <v>0</v>
      </c>
      <c r="AL565" s="6">
        <v>0</v>
      </c>
      <c r="AM565" s="6">
        <v>0</v>
      </c>
      <c r="AN565" s="6">
        <v>0</v>
      </c>
      <c r="AO565" s="6">
        <v>0</v>
      </c>
      <c r="AP565" s="6">
        <v>0</v>
      </c>
      <c r="AQ565" s="6">
        <v>0</v>
      </c>
      <c r="AR565" s="6">
        <v>0</v>
      </c>
      <c r="AS565" s="6">
        <v>0</v>
      </c>
    </row>
    <row r="566" spans="1:45" x14ac:dyDescent="0.25">
      <c r="A566" s="6" t="s">
        <v>751</v>
      </c>
      <c r="B566" s="6" t="s">
        <v>122</v>
      </c>
      <c r="C566" s="14">
        <v>45138</v>
      </c>
      <c r="D566" s="6"/>
      <c r="E566" s="6" t="s">
        <v>123</v>
      </c>
      <c r="G566" s="6" t="s">
        <v>118</v>
      </c>
      <c r="H566" s="6" t="s">
        <v>59</v>
      </c>
      <c r="I566" s="9">
        <v>3</v>
      </c>
      <c r="J566" s="9">
        <v>0</v>
      </c>
      <c r="K566" s="9">
        <v>3</v>
      </c>
      <c r="L566" s="6">
        <v>0</v>
      </c>
      <c r="M566" s="6">
        <v>1</v>
      </c>
      <c r="N566" s="6">
        <v>0</v>
      </c>
      <c r="O566" s="6">
        <v>0</v>
      </c>
      <c r="P566" s="6">
        <v>0</v>
      </c>
      <c r="Q566" s="6">
        <v>0</v>
      </c>
      <c r="R566" s="6">
        <v>1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6">
        <v>0</v>
      </c>
      <c r="AB566" s="6">
        <v>0</v>
      </c>
      <c r="AC566" s="6">
        <v>0</v>
      </c>
      <c r="AD566" s="6">
        <v>0</v>
      </c>
      <c r="AE566" s="6">
        <v>0</v>
      </c>
      <c r="AF566" s="6">
        <v>0</v>
      </c>
      <c r="AG566" s="6">
        <v>0</v>
      </c>
      <c r="AH566" s="6">
        <v>0</v>
      </c>
      <c r="AI566" s="6">
        <v>0</v>
      </c>
      <c r="AJ566" s="6">
        <v>0</v>
      </c>
      <c r="AK566" s="6">
        <v>0</v>
      </c>
      <c r="AL566" s="6">
        <v>0</v>
      </c>
      <c r="AM566" s="6">
        <v>0</v>
      </c>
      <c r="AN566" s="6">
        <v>0</v>
      </c>
      <c r="AO566" s="6">
        <v>0</v>
      </c>
      <c r="AP566" s="6">
        <v>0</v>
      </c>
      <c r="AQ566" s="6">
        <v>0</v>
      </c>
      <c r="AR566" s="6">
        <v>0</v>
      </c>
      <c r="AS566" s="6">
        <v>0</v>
      </c>
    </row>
    <row r="567" spans="1:45" x14ac:dyDescent="0.25">
      <c r="A567" s="6" t="s">
        <v>751</v>
      </c>
      <c r="B567" s="6" t="s">
        <v>124</v>
      </c>
      <c r="C567" s="14">
        <v>45138</v>
      </c>
      <c r="D567" s="6"/>
      <c r="E567" s="6" t="s">
        <v>125</v>
      </c>
      <c r="G567" s="6" t="s">
        <v>118</v>
      </c>
      <c r="H567" s="6" t="s">
        <v>59</v>
      </c>
      <c r="I567" s="9">
        <v>4.8499999999999996</v>
      </c>
      <c r="J567" s="9">
        <v>0</v>
      </c>
      <c r="K567" s="9">
        <v>4.8499999999999996</v>
      </c>
      <c r="L567" s="6">
        <v>1</v>
      </c>
      <c r="M567" s="6">
        <v>0</v>
      </c>
      <c r="N567" s="6">
        <v>4</v>
      </c>
      <c r="O567" s="6">
        <v>0</v>
      </c>
      <c r="P567" s="6">
        <v>1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6">
        <v>0</v>
      </c>
      <c r="Z567" s="6">
        <v>0</v>
      </c>
      <c r="AA567" s="6">
        <v>0</v>
      </c>
      <c r="AB567" s="6">
        <v>0</v>
      </c>
      <c r="AC567" s="6">
        <v>0</v>
      </c>
      <c r="AD567" s="6">
        <v>0</v>
      </c>
      <c r="AE567" s="6">
        <v>0</v>
      </c>
      <c r="AF567" s="6">
        <v>0</v>
      </c>
      <c r="AG567" s="6">
        <v>0</v>
      </c>
      <c r="AH567" s="6">
        <v>0</v>
      </c>
      <c r="AI567" s="6">
        <v>0</v>
      </c>
      <c r="AJ567" s="6">
        <v>0</v>
      </c>
      <c r="AK567" s="6">
        <v>0</v>
      </c>
      <c r="AL567" s="6">
        <v>0</v>
      </c>
      <c r="AM567" s="6">
        <v>0</v>
      </c>
      <c r="AN567" s="6">
        <v>0</v>
      </c>
      <c r="AO567" s="6">
        <v>0</v>
      </c>
      <c r="AP567" s="6">
        <v>0</v>
      </c>
      <c r="AQ567" s="6">
        <v>0</v>
      </c>
      <c r="AR567" s="6">
        <v>0</v>
      </c>
      <c r="AS567" s="6">
        <v>0</v>
      </c>
    </row>
    <row r="568" spans="1:45" x14ac:dyDescent="0.25">
      <c r="A568" s="6" t="s">
        <v>751</v>
      </c>
      <c r="B568" s="6" t="s">
        <v>126</v>
      </c>
      <c r="C568" s="14">
        <v>45128</v>
      </c>
      <c r="D568" s="6"/>
      <c r="E568" s="6" t="s">
        <v>127</v>
      </c>
      <c r="G568" s="6" t="s">
        <v>118</v>
      </c>
      <c r="H568" s="6" t="s">
        <v>59</v>
      </c>
      <c r="I568" s="9">
        <v>4</v>
      </c>
      <c r="J568" s="9">
        <v>0</v>
      </c>
      <c r="K568" s="9">
        <v>4</v>
      </c>
      <c r="L568" s="6">
        <v>0</v>
      </c>
      <c r="M568" s="6">
        <v>0</v>
      </c>
      <c r="N568" s="6">
        <v>2</v>
      </c>
      <c r="O568" s="6">
        <v>1</v>
      </c>
      <c r="P568" s="6">
        <v>1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  <c r="X568" s="6">
        <v>0</v>
      </c>
      <c r="Y568" s="6">
        <v>0</v>
      </c>
      <c r="Z568" s="6">
        <v>0</v>
      </c>
      <c r="AA568" s="6">
        <v>0</v>
      </c>
      <c r="AB568" s="6">
        <v>0</v>
      </c>
      <c r="AC568" s="6">
        <v>0</v>
      </c>
      <c r="AD568" s="6">
        <v>0</v>
      </c>
      <c r="AE568" s="6">
        <v>0</v>
      </c>
      <c r="AF568" s="6">
        <v>0</v>
      </c>
      <c r="AG568" s="6">
        <v>0</v>
      </c>
      <c r="AH568" s="6">
        <v>0</v>
      </c>
      <c r="AI568" s="6">
        <v>0</v>
      </c>
      <c r="AJ568" s="6">
        <v>0</v>
      </c>
      <c r="AK568" s="6">
        <v>0</v>
      </c>
      <c r="AL568" s="6">
        <v>0</v>
      </c>
      <c r="AM568" s="6">
        <v>0</v>
      </c>
      <c r="AN568" s="6">
        <v>0</v>
      </c>
      <c r="AO568" s="6">
        <v>0</v>
      </c>
      <c r="AP568" s="6">
        <v>0</v>
      </c>
      <c r="AQ568" s="6">
        <v>0</v>
      </c>
      <c r="AR568" s="6">
        <v>0</v>
      </c>
      <c r="AS568" s="6">
        <v>0</v>
      </c>
    </row>
    <row r="569" spans="1:45" x14ac:dyDescent="0.25">
      <c r="A569" s="6" t="s">
        <v>751</v>
      </c>
      <c r="B569" s="6" t="s">
        <v>128</v>
      </c>
      <c r="C569" s="14">
        <v>45113</v>
      </c>
      <c r="D569" s="6"/>
      <c r="E569" s="6" t="s">
        <v>129</v>
      </c>
      <c r="G569" s="6" t="s">
        <v>118</v>
      </c>
      <c r="H569" s="6" t="s">
        <v>44</v>
      </c>
      <c r="I569" s="9">
        <v>2.5</v>
      </c>
      <c r="J569" s="9">
        <v>0</v>
      </c>
      <c r="K569" s="9">
        <v>2.5</v>
      </c>
      <c r="L569" s="6">
        <v>0</v>
      </c>
      <c r="M569" s="6">
        <v>2</v>
      </c>
      <c r="N569" s="6">
        <v>0</v>
      </c>
      <c r="O569" s="6">
        <v>0</v>
      </c>
      <c r="P569" s="6">
        <v>1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6">
        <v>0</v>
      </c>
      <c r="Z569" s="6">
        <v>0</v>
      </c>
      <c r="AA569" s="6">
        <v>0</v>
      </c>
      <c r="AB569" s="6">
        <v>0</v>
      </c>
      <c r="AC569" s="6">
        <v>0</v>
      </c>
      <c r="AD569" s="6">
        <v>0</v>
      </c>
      <c r="AE569" s="6">
        <v>0</v>
      </c>
      <c r="AF569" s="6">
        <v>0</v>
      </c>
      <c r="AG569" s="6">
        <v>0</v>
      </c>
      <c r="AH569" s="6">
        <v>0</v>
      </c>
      <c r="AI569" s="6">
        <v>0</v>
      </c>
      <c r="AJ569" s="6">
        <v>0</v>
      </c>
      <c r="AK569" s="6">
        <v>0</v>
      </c>
      <c r="AL569" s="6">
        <v>0</v>
      </c>
      <c r="AM569" s="6">
        <v>0</v>
      </c>
      <c r="AN569" s="6">
        <v>0</v>
      </c>
      <c r="AO569" s="6">
        <v>0</v>
      </c>
      <c r="AP569" s="6">
        <v>0</v>
      </c>
      <c r="AQ569" s="6">
        <v>0</v>
      </c>
      <c r="AR569" s="6">
        <v>0</v>
      </c>
      <c r="AS569" s="6">
        <v>0</v>
      </c>
    </row>
    <row r="570" spans="1:45" x14ac:dyDescent="0.25">
      <c r="A570" s="6" t="s">
        <v>751</v>
      </c>
      <c r="B570" s="6" t="s">
        <v>130</v>
      </c>
      <c r="C570" s="14">
        <v>45101</v>
      </c>
      <c r="D570" s="6"/>
      <c r="E570" s="6" t="s">
        <v>131</v>
      </c>
      <c r="G570" s="6" t="s">
        <v>118</v>
      </c>
      <c r="H570" s="6" t="s">
        <v>44</v>
      </c>
      <c r="I570" s="9">
        <v>4</v>
      </c>
      <c r="J570" s="9">
        <v>0</v>
      </c>
      <c r="K570" s="9">
        <v>4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  <c r="Q570" s="6">
        <v>2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>
        <v>0</v>
      </c>
      <c r="AB570" s="6">
        <v>0</v>
      </c>
      <c r="AC570" s="6">
        <v>0</v>
      </c>
      <c r="AD570" s="6">
        <v>0</v>
      </c>
      <c r="AE570" s="6">
        <v>0</v>
      </c>
      <c r="AF570" s="6">
        <v>0</v>
      </c>
      <c r="AG570" s="6">
        <v>0</v>
      </c>
      <c r="AH570" s="6">
        <v>0</v>
      </c>
      <c r="AI570" s="6">
        <v>0</v>
      </c>
      <c r="AJ570" s="6">
        <v>0</v>
      </c>
      <c r="AK570" s="6">
        <v>0</v>
      </c>
      <c r="AL570" s="6">
        <v>0</v>
      </c>
      <c r="AM570" s="6">
        <v>0</v>
      </c>
      <c r="AN570" s="6">
        <v>0</v>
      </c>
      <c r="AO570" s="6">
        <v>0</v>
      </c>
      <c r="AP570" s="6">
        <v>0</v>
      </c>
      <c r="AQ570" s="6">
        <v>0</v>
      </c>
      <c r="AR570" s="6">
        <v>0</v>
      </c>
      <c r="AS570" s="6">
        <v>0</v>
      </c>
    </row>
    <row r="571" spans="1:45" x14ac:dyDescent="0.25">
      <c r="A571" s="6" t="s">
        <v>751</v>
      </c>
      <c r="B571" s="6" t="s">
        <v>130</v>
      </c>
      <c r="C571" s="14">
        <v>45101</v>
      </c>
      <c r="D571" s="6"/>
      <c r="E571" s="6" t="s">
        <v>132</v>
      </c>
      <c r="G571" s="6" t="s">
        <v>133</v>
      </c>
      <c r="H571" s="6" t="s">
        <v>44</v>
      </c>
      <c r="I571" s="9">
        <v>5.25</v>
      </c>
      <c r="J571" s="9">
        <v>0</v>
      </c>
      <c r="K571" s="9">
        <v>5.25</v>
      </c>
      <c r="L571" s="6">
        <v>0</v>
      </c>
      <c r="M571" s="6">
        <v>1</v>
      </c>
      <c r="N571" s="6">
        <v>1</v>
      </c>
      <c r="O571" s="6">
        <v>0</v>
      </c>
      <c r="P571" s="6">
        <v>0</v>
      </c>
      <c r="Q571" s="6">
        <v>2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  <c r="X571" s="6">
        <v>0</v>
      </c>
      <c r="Y571" s="6">
        <v>0</v>
      </c>
      <c r="Z571" s="6">
        <v>0</v>
      </c>
      <c r="AA571" s="6">
        <v>0</v>
      </c>
      <c r="AB571" s="6">
        <v>0</v>
      </c>
      <c r="AC571" s="6">
        <v>0</v>
      </c>
      <c r="AD571" s="6">
        <v>0</v>
      </c>
      <c r="AE571" s="6">
        <v>0</v>
      </c>
      <c r="AF571" s="6">
        <v>0</v>
      </c>
      <c r="AG571" s="6">
        <v>0</v>
      </c>
      <c r="AH571" s="6">
        <v>0</v>
      </c>
      <c r="AI571" s="6">
        <v>0</v>
      </c>
      <c r="AJ571" s="6">
        <v>0</v>
      </c>
      <c r="AK571" s="6">
        <v>0</v>
      </c>
      <c r="AL571" s="6">
        <v>0</v>
      </c>
      <c r="AM571" s="6">
        <v>0</v>
      </c>
      <c r="AN571" s="6">
        <v>0</v>
      </c>
      <c r="AO571" s="6">
        <v>0</v>
      </c>
      <c r="AP571" s="6">
        <v>0</v>
      </c>
      <c r="AQ571" s="6">
        <v>0</v>
      </c>
      <c r="AR571" s="6">
        <v>0</v>
      </c>
      <c r="AS571" s="6">
        <v>0</v>
      </c>
    </row>
    <row r="572" spans="1:45" x14ac:dyDescent="0.25">
      <c r="A572" s="6" t="s">
        <v>751</v>
      </c>
      <c r="B572" s="6" t="s">
        <v>134</v>
      </c>
      <c r="C572" s="14">
        <v>45106</v>
      </c>
      <c r="D572" s="6"/>
      <c r="E572" s="6" t="s">
        <v>135</v>
      </c>
      <c r="G572" s="6" t="s">
        <v>133</v>
      </c>
      <c r="H572" s="6" t="s">
        <v>44</v>
      </c>
      <c r="I572" s="9">
        <v>5.85</v>
      </c>
      <c r="J572" s="9">
        <v>0</v>
      </c>
      <c r="K572" s="9">
        <v>5.85</v>
      </c>
      <c r="L572" s="6">
        <v>1</v>
      </c>
      <c r="M572" s="6">
        <v>1</v>
      </c>
      <c r="N572" s="6">
        <v>0</v>
      </c>
      <c r="O572" s="6">
        <v>1</v>
      </c>
      <c r="P572" s="6">
        <v>0</v>
      </c>
      <c r="Q572" s="6">
        <v>2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  <c r="X572" s="6">
        <v>0</v>
      </c>
      <c r="Y572" s="6">
        <v>0</v>
      </c>
      <c r="Z572" s="6">
        <v>0</v>
      </c>
      <c r="AA572" s="6">
        <v>0</v>
      </c>
      <c r="AB572" s="6">
        <v>0</v>
      </c>
      <c r="AC572" s="6">
        <v>0</v>
      </c>
      <c r="AD572" s="6">
        <v>0</v>
      </c>
      <c r="AE572" s="6">
        <v>0</v>
      </c>
      <c r="AF572" s="6">
        <v>0</v>
      </c>
      <c r="AG572" s="6">
        <v>0</v>
      </c>
      <c r="AH572" s="6">
        <v>0</v>
      </c>
      <c r="AI572" s="6">
        <v>0</v>
      </c>
      <c r="AJ572" s="6">
        <v>0</v>
      </c>
      <c r="AK572" s="6">
        <v>0</v>
      </c>
      <c r="AL572" s="6">
        <v>0</v>
      </c>
      <c r="AM572" s="6">
        <v>0</v>
      </c>
      <c r="AN572" s="6">
        <v>0</v>
      </c>
      <c r="AO572" s="6">
        <v>0</v>
      </c>
      <c r="AP572" s="6">
        <v>0</v>
      </c>
      <c r="AQ572" s="6">
        <v>0</v>
      </c>
      <c r="AR572" s="6">
        <v>0</v>
      </c>
      <c r="AS572" s="6">
        <v>0</v>
      </c>
    </row>
    <row r="573" spans="1:45" x14ac:dyDescent="0.25">
      <c r="A573" s="6" t="s">
        <v>751</v>
      </c>
      <c r="B573" s="6" t="s">
        <v>130</v>
      </c>
      <c r="C573" s="14">
        <v>45013</v>
      </c>
      <c r="D573" s="6"/>
      <c r="E573" s="6" t="s">
        <v>136</v>
      </c>
      <c r="G573" s="6" t="s">
        <v>133</v>
      </c>
      <c r="H573" s="6" t="s">
        <v>137</v>
      </c>
      <c r="I573" s="9">
        <v>9.8000000000000007</v>
      </c>
      <c r="J573" s="9">
        <v>0</v>
      </c>
      <c r="K573" s="9">
        <v>9.8000000000000007</v>
      </c>
      <c r="L573" s="6">
        <v>8</v>
      </c>
      <c r="M573" s="6">
        <v>8</v>
      </c>
      <c r="N573" s="6">
        <v>2</v>
      </c>
      <c r="O573" s="6">
        <v>0</v>
      </c>
      <c r="P573" s="6">
        <v>1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6">
        <v>0</v>
      </c>
      <c r="AA573" s="6">
        <v>0</v>
      </c>
      <c r="AB573" s="6">
        <v>0</v>
      </c>
      <c r="AC573" s="6">
        <v>0</v>
      </c>
      <c r="AD573" s="6">
        <v>0</v>
      </c>
      <c r="AE573" s="6">
        <v>0</v>
      </c>
      <c r="AF573" s="6">
        <v>0</v>
      </c>
      <c r="AG573" s="6">
        <v>0</v>
      </c>
      <c r="AH573" s="6">
        <v>0</v>
      </c>
      <c r="AI573" s="6">
        <v>0</v>
      </c>
      <c r="AJ573" s="6">
        <v>0</v>
      </c>
      <c r="AK573" s="6">
        <v>0</v>
      </c>
      <c r="AL573" s="6">
        <v>0</v>
      </c>
      <c r="AM573" s="6">
        <v>0</v>
      </c>
      <c r="AN573" s="6">
        <v>0</v>
      </c>
      <c r="AO573" s="6">
        <v>0</v>
      </c>
      <c r="AP573" s="6">
        <v>0</v>
      </c>
      <c r="AQ573" s="6">
        <v>0</v>
      </c>
      <c r="AR573" s="6">
        <v>0</v>
      </c>
      <c r="AS573" s="6">
        <v>0</v>
      </c>
    </row>
    <row r="574" spans="1:45" x14ac:dyDescent="0.25">
      <c r="A574" s="6" t="s">
        <v>751</v>
      </c>
      <c r="B574" s="6" t="s">
        <v>138</v>
      </c>
      <c r="C574" s="14">
        <v>45128</v>
      </c>
      <c r="D574" s="6"/>
      <c r="E574" s="6" t="s">
        <v>136</v>
      </c>
      <c r="G574" s="6" t="s">
        <v>139</v>
      </c>
      <c r="H574" s="6" t="s">
        <v>59</v>
      </c>
      <c r="I574" s="9">
        <v>5.25</v>
      </c>
      <c r="J574" s="9">
        <v>0</v>
      </c>
      <c r="K574" s="9">
        <v>5.25</v>
      </c>
      <c r="L574" s="6">
        <v>0</v>
      </c>
      <c r="M574" s="6">
        <v>0</v>
      </c>
      <c r="N574" s="6">
        <v>5</v>
      </c>
      <c r="O574" s="6">
        <v>0</v>
      </c>
      <c r="P574" s="6">
        <v>1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>
        <v>0</v>
      </c>
      <c r="AA574" s="6">
        <v>0</v>
      </c>
      <c r="AB574" s="6">
        <v>0</v>
      </c>
      <c r="AC574" s="6">
        <v>0</v>
      </c>
      <c r="AD574" s="6">
        <v>0</v>
      </c>
      <c r="AE574" s="6">
        <v>0</v>
      </c>
      <c r="AF574" s="6">
        <v>0</v>
      </c>
      <c r="AG574" s="6">
        <v>0</v>
      </c>
      <c r="AH574" s="6">
        <v>0</v>
      </c>
      <c r="AI574" s="6">
        <v>0</v>
      </c>
      <c r="AJ574" s="6">
        <v>0</v>
      </c>
      <c r="AK574" s="6">
        <v>0</v>
      </c>
      <c r="AL574" s="6">
        <v>0</v>
      </c>
      <c r="AM574" s="6">
        <v>0</v>
      </c>
      <c r="AN574" s="6">
        <v>0</v>
      </c>
      <c r="AO574" s="6">
        <v>0</v>
      </c>
      <c r="AP574" s="6">
        <v>0</v>
      </c>
      <c r="AQ574" s="6">
        <v>0</v>
      </c>
      <c r="AR574" s="6">
        <v>0</v>
      </c>
      <c r="AS574" s="6">
        <v>0</v>
      </c>
    </row>
    <row r="575" spans="1:45" x14ac:dyDescent="0.25">
      <c r="A575" s="6" t="s">
        <v>751</v>
      </c>
      <c r="B575" s="6" t="s">
        <v>140</v>
      </c>
      <c r="C575" s="14">
        <v>45133</v>
      </c>
      <c r="D575" s="6"/>
      <c r="E575" s="6" t="s">
        <v>141</v>
      </c>
      <c r="G575" s="6" t="s">
        <v>139</v>
      </c>
      <c r="H575" s="6" t="s">
        <v>59</v>
      </c>
      <c r="I575" s="9">
        <v>5.35</v>
      </c>
      <c r="J575" s="9">
        <v>0</v>
      </c>
      <c r="K575" s="9">
        <v>5.35</v>
      </c>
      <c r="L575" s="6">
        <v>1</v>
      </c>
      <c r="M575" s="6">
        <v>0</v>
      </c>
      <c r="N575" s="6">
        <v>0</v>
      </c>
      <c r="O575" s="6">
        <v>1</v>
      </c>
      <c r="P575" s="6">
        <v>0</v>
      </c>
      <c r="Q575" s="6">
        <v>2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0</v>
      </c>
      <c r="AA575" s="6">
        <v>0</v>
      </c>
      <c r="AB575" s="6">
        <v>0</v>
      </c>
      <c r="AC575" s="6">
        <v>0</v>
      </c>
      <c r="AD575" s="6">
        <v>0</v>
      </c>
      <c r="AE575" s="6">
        <v>0</v>
      </c>
      <c r="AF575" s="6">
        <v>0</v>
      </c>
      <c r="AG575" s="6">
        <v>0</v>
      </c>
      <c r="AH575" s="6">
        <v>0</v>
      </c>
      <c r="AI575" s="6">
        <v>0</v>
      </c>
      <c r="AJ575" s="6">
        <v>0</v>
      </c>
      <c r="AK575" s="6">
        <v>0</v>
      </c>
      <c r="AL575" s="6">
        <v>0</v>
      </c>
      <c r="AM575" s="6">
        <v>0</v>
      </c>
      <c r="AN575" s="6">
        <v>0</v>
      </c>
      <c r="AO575" s="6">
        <v>0</v>
      </c>
      <c r="AP575" s="6">
        <v>0</v>
      </c>
      <c r="AQ575" s="6">
        <v>0</v>
      </c>
      <c r="AR575" s="6">
        <v>0</v>
      </c>
      <c r="AS575" s="6">
        <v>0</v>
      </c>
    </row>
    <row r="576" spans="1:45" x14ac:dyDescent="0.25">
      <c r="A576" s="6" t="s">
        <v>751</v>
      </c>
      <c r="B576" s="6" t="s">
        <v>142</v>
      </c>
      <c r="C576" s="14">
        <v>45138</v>
      </c>
      <c r="D576" s="6"/>
      <c r="E576" s="6" t="s">
        <v>125</v>
      </c>
      <c r="G576" s="6" t="s">
        <v>139</v>
      </c>
      <c r="H576" s="6" t="s">
        <v>59</v>
      </c>
      <c r="I576" s="9">
        <v>5.35</v>
      </c>
      <c r="J576" s="9">
        <v>0</v>
      </c>
      <c r="K576" s="9">
        <v>5.35</v>
      </c>
      <c r="L576" s="6">
        <v>1</v>
      </c>
      <c r="M576" s="6">
        <v>1</v>
      </c>
      <c r="N576" s="6">
        <v>4</v>
      </c>
      <c r="O576" s="6">
        <v>0</v>
      </c>
      <c r="P576" s="6">
        <v>1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  <c r="X576" s="6">
        <v>0</v>
      </c>
      <c r="Y576" s="6">
        <v>0</v>
      </c>
      <c r="Z576" s="6">
        <v>0</v>
      </c>
      <c r="AA576" s="6">
        <v>0</v>
      </c>
      <c r="AB576" s="6">
        <v>0</v>
      </c>
      <c r="AC576" s="6">
        <v>0</v>
      </c>
      <c r="AD576" s="6">
        <v>0</v>
      </c>
      <c r="AE576" s="6">
        <v>0</v>
      </c>
      <c r="AF576" s="6">
        <v>0</v>
      </c>
      <c r="AG576" s="6">
        <v>0</v>
      </c>
      <c r="AH576" s="6">
        <v>0</v>
      </c>
      <c r="AI576" s="6">
        <v>0</v>
      </c>
      <c r="AJ576" s="6">
        <v>0</v>
      </c>
      <c r="AK576" s="6">
        <v>0</v>
      </c>
      <c r="AL576" s="6">
        <v>0</v>
      </c>
      <c r="AM576" s="6">
        <v>0</v>
      </c>
      <c r="AN576" s="6">
        <v>0</v>
      </c>
      <c r="AO576" s="6">
        <v>0</v>
      </c>
      <c r="AP576" s="6">
        <v>0</v>
      </c>
      <c r="AQ576" s="6">
        <v>0</v>
      </c>
      <c r="AR576" s="6">
        <v>0</v>
      </c>
      <c r="AS576" s="6">
        <v>0</v>
      </c>
    </row>
    <row r="577" spans="1:45" x14ac:dyDescent="0.25">
      <c r="A577" s="6" t="s">
        <v>751</v>
      </c>
      <c r="B577" s="6" t="s">
        <v>143</v>
      </c>
      <c r="C577" s="14">
        <v>45128</v>
      </c>
      <c r="D577" s="6"/>
      <c r="E577" s="6" t="s">
        <v>144</v>
      </c>
      <c r="G577" s="6" t="s">
        <v>139</v>
      </c>
      <c r="H577" s="6" t="s">
        <v>59</v>
      </c>
      <c r="I577" s="9">
        <v>5.85</v>
      </c>
      <c r="J577" s="9">
        <v>0</v>
      </c>
      <c r="K577" s="9">
        <v>5.85</v>
      </c>
      <c r="L577" s="6">
        <v>1</v>
      </c>
      <c r="M577" s="6">
        <v>1</v>
      </c>
      <c r="N577" s="6">
        <v>0</v>
      </c>
      <c r="O577" s="6">
        <v>1</v>
      </c>
      <c r="P577" s="6">
        <v>0</v>
      </c>
      <c r="Q577" s="6">
        <v>2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  <c r="X577" s="6">
        <v>0</v>
      </c>
      <c r="Y577" s="6">
        <v>0</v>
      </c>
      <c r="Z577" s="6">
        <v>0</v>
      </c>
      <c r="AA577" s="6">
        <v>0</v>
      </c>
      <c r="AB577" s="6">
        <v>0</v>
      </c>
      <c r="AC577" s="6">
        <v>0</v>
      </c>
      <c r="AD577" s="6">
        <v>0</v>
      </c>
      <c r="AE577" s="6">
        <v>0</v>
      </c>
      <c r="AF577" s="6">
        <v>0</v>
      </c>
      <c r="AG577" s="6">
        <v>0</v>
      </c>
      <c r="AH577" s="6">
        <v>0</v>
      </c>
      <c r="AI577" s="6">
        <v>0</v>
      </c>
      <c r="AJ577" s="6">
        <v>0</v>
      </c>
      <c r="AK577" s="6">
        <v>0</v>
      </c>
      <c r="AL577" s="6">
        <v>0</v>
      </c>
      <c r="AM577" s="6">
        <v>0</v>
      </c>
      <c r="AN577" s="6">
        <v>0</v>
      </c>
      <c r="AO577" s="6">
        <v>0</v>
      </c>
      <c r="AP577" s="6">
        <v>0</v>
      </c>
      <c r="AQ577" s="6">
        <v>0</v>
      </c>
      <c r="AR577" s="6">
        <v>0</v>
      </c>
      <c r="AS577" s="6">
        <v>0</v>
      </c>
    </row>
    <row r="578" spans="1:45" x14ac:dyDescent="0.25">
      <c r="A578" s="6" t="s">
        <v>751</v>
      </c>
      <c r="B578" s="6" t="s">
        <v>145</v>
      </c>
      <c r="C578" s="14">
        <v>45133</v>
      </c>
      <c r="D578" s="6"/>
      <c r="E578" s="6" t="s">
        <v>146</v>
      </c>
      <c r="G578" s="6" t="s">
        <v>139</v>
      </c>
      <c r="H578" s="6" t="s">
        <v>59</v>
      </c>
      <c r="I578" s="9">
        <v>5</v>
      </c>
      <c r="J578" s="9">
        <v>0</v>
      </c>
      <c r="K578" s="9">
        <v>5</v>
      </c>
      <c r="L578" s="6">
        <v>0</v>
      </c>
      <c r="M578" s="6">
        <v>0</v>
      </c>
      <c r="N578" s="6">
        <v>0</v>
      </c>
      <c r="O578" s="6">
        <v>1</v>
      </c>
      <c r="P578" s="6">
        <v>0</v>
      </c>
      <c r="Q578" s="6">
        <v>2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  <c r="X578" s="6">
        <v>0</v>
      </c>
      <c r="Y578" s="6">
        <v>0</v>
      </c>
      <c r="Z578" s="6">
        <v>0</v>
      </c>
      <c r="AA578" s="6">
        <v>0</v>
      </c>
      <c r="AB578" s="6">
        <v>0</v>
      </c>
      <c r="AC578" s="6">
        <v>0</v>
      </c>
      <c r="AD578" s="6">
        <v>0</v>
      </c>
      <c r="AE578" s="6">
        <v>0</v>
      </c>
      <c r="AF578" s="6">
        <v>0</v>
      </c>
      <c r="AG578" s="6">
        <v>0</v>
      </c>
      <c r="AH578" s="6">
        <v>0</v>
      </c>
      <c r="AI578" s="6">
        <v>0</v>
      </c>
      <c r="AJ578" s="6">
        <v>0</v>
      </c>
      <c r="AK578" s="6">
        <v>0</v>
      </c>
      <c r="AL578" s="6">
        <v>0</v>
      </c>
      <c r="AM578" s="6">
        <v>0</v>
      </c>
      <c r="AN578" s="6">
        <v>0</v>
      </c>
      <c r="AO578" s="6">
        <v>0</v>
      </c>
      <c r="AP578" s="6">
        <v>0</v>
      </c>
      <c r="AQ578" s="6">
        <v>0</v>
      </c>
      <c r="AR578" s="6">
        <v>0</v>
      </c>
      <c r="AS578" s="6">
        <v>0</v>
      </c>
    </row>
    <row r="579" spans="1:45" x14ac:dyDescent="0.25">
      <c r="A579" s="6" t="s">
        <v>751</v>
      </c>
      <c r="B579" s="6" t="s">
        <v>147</v>
      </c>
      <c r="C579" s="14">
        <v>45128</v>
      </c>
      <c r="D579" s="6"/>
      <c r="E579" s="6" t="s">
        <v>148</v>
      </c>
      <c r="G579" s="6" t="s">
        <v>139</v>
      </c>
      <c r="H579" s="6" t="s">
        <v>59</v>
      </c>
      <c r="I579" s="9">
        <v>5.5</v>
      </c>
      <c r="J579" s="9">
        <v>0</v>
      </c>
      <c r="K579" s="9">
        <v>5</v>
      </c>
      <c r="L579" s="6">
        <v>0</v>
      </c>
      <c r="M579" s="6">
        <v>1</v>
      </c>
      <c r="N579" s="6">
        <v>0</v>
      </c>
      <c r="O579" s="6">
        <v>1</v>
      </c>
      <c r="P579" s="6">
        <v>0</v>
      </c>
      <c r="Q579" s="6">
        <v>2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6">
        <v>0</v>
      </c>
      <c r="AA579" s="6">
        <v>0</v>
      </c>
      <c r="AB579" s="6">
        <v>0</v>
      </c>
      <c r="AC579" s="6">
        <v>0</v>
      </c>
      <c r="AD579" s="6">
        <v>0</v>
      </c>
      <c r="AE579" s="6">
        <v>0</v>
      </c>
      <c r="AF579" s="6">
        <v>0</v>
      </c>
      <c r="AG579" s="6">
        <v>0</v>
      </c>
      <c r="AH579" s="6">
        <v>0</v>
      </c>
      <c r="AI579" s="6">
        <v>0</v>
      </c>
      <c r="AJ579" s="6">
        <v>0</v>
      </c>
      <c r="AK579" s="6">
        <v>0</v>
      </c>
      <c r="AL579" s="6">
        <v>0</v>
      </c>
      <c r="AM579" s="6">
        <v>0</v>
      </c>
      <c r="AN579" s="6">
        <v>0</v>
      </c>
      <c r="AO579" s="6">
        <v>0</v>
      </c>
      <c r="AP579" s="6">
        <v>0</v>
      </c>
      <c r="AQ579" s="6">
        <v>0</v>
      </c>
      <c r="AR579" s="6">
        <v>0</v>
      </c>
      <c r="AS579" s="6">
        <v>0</v>
      </c>
    </row>
    <row r="580" spans="1:45" x14ac:dyDescent="0.25">
      <c r="A580" s="6" t="s">
        <v>751</v>
      </c>
      <c r="B580" s="6" t="s">
        <v>149</v>
      </c>
      <c r="C580" s="14">
        <v>45138</v>
      </c>
      <c r="D580" s="6"/>
      <c r="E580" s="6" t="s">
        <v>150</v>
      </c>
      <c r="G580" s="6" t="s">
        <v>139</v>
      </c>
      <c r="H580" s="6" t="s">
        <v>59</v>
      </c>
      <c r="I580" s="9">
        <v>6.5</v>
      </c>
      <c r="J580" s="9">
        <v>0</v>
      </c>
      <c r="K580" s="9">
        <v>6.5</v>
      </c>
      <c r="L580" s="6">
        <v>0</v>
      </c>
      <c r="M580" s="6">
        <v>0</v>
      </c>
      <c r="N580" s="6">
        <v>0</v>
      </c>
      <c r="O580" s="6">
        <v>1</v>
      </c>
      <c r="P580" s="6">
        <v>1</v>
      </c>
      <c r="Q580" s="6">
        <v>2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6">
        <v>0</v>
      </c>
      <c r="Z580" s="6">
        <v>0</v>
      </c>
      <c r="AA580" s="6">
        <v>0</v>
      </c>
      <c r="AB580" s="6">
        <v>0</v>
      </c>
      <c r="AC580" s="6">
        <v>0</v>
      </c>
      <c r="AD580" s="6">
        <v>0</v>
      </c>
      <c r="AE580" s="6">
        <v>0</v>
      </c>
      <c r="AF580" s="6">
        <v>0</v>
      </c>
      <c r="AG580" s="6">
        <v>0</v>
      </c>
      <c r="AH580" s="6">
        <v>0</v>
      </c>
      <c r="AI580" s="6">
        <v>0</v>
      </c>
      <c r="AJ580" s="6">
        <v>0</v>
      </c>
      <c r="AK580" s="6">
        <v>0</v>
      </c>
      <c r="AL580" s="6">
        <v>0</v>
      </c>
      <c r="AM580" s="6">
        <v>0</v>
      </c>
      <c r="AN580" s="6">
        <v>0</v>
      </c>
      <c r="AO580" s="6">
        <v>0</v>
      </c>
      <c r="AP580" s="6">
        <v>0</v>
      </c>
      <c r="AQ580" s="6">
        <v>0</v>
      </c>
      <c r="AR580" s="6">
        <v>0</v>
      </c>
      <c r="AS580" s="6">
        <v>0</v>
      </c>
    </row>
    <row r="581" spans="1:45" x14ac:dyDescent="0.25">
      <c r="A581" s="6" t="s">
        <v>751</v>
      </c>
      <c r="B581" s="6" t="s">
        <v>149</v>
      </c>
      <c r="C581" s="14">
        <v>45288</v>
      </c>
      <c r="D581" s="6"/>
      <c r="E581" s="6" t="s">
        <v>150</v>
      </c>
      <c r="G581" s="6" t="s">
        <v>139</v>
      </c>
      <c r="H581" s="6" t="s">
        <v>59</v>
      </c>
      <c r="I581" s="9">
        <v>6.5</v>
      </c>
      <c r="J581" s="9">
        <v>0</v>
      </c>
      <c r="K581" s="9">
        <v>6.5</v>
      </c>
      <c r="L581" s="6">
        <v>0</v>
      </c>
      <c r="M581" s="6">
        <v>0</v>
      </c>
      <c r="N581" s="6">
        <v>0</v>
      </c>
      <c r="O581" s="6">
        <v>1</v>
      </c>
      <c r="P581" s="6">
        <v>1</v>
      </c>
      <c r="Q581" s="6">
        <v>2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  <c r="X581" s="6">
        <v>0</v>
      </c>
      <c r="Y581" s="6">
        <v>0</v>
      </c>
      <c r="Z581" s="6">
        <v>0</v>
      </c>
      <c r="AA581" s="6">
        <v>0</v>
      </c>
      <c r="AB581" s="6">
        <v>0</v>
      </c>
      <c r="AC581" s="6">
        <v>0</v>
      </c>
      <c r="AD581" s="6">
        <v>0</v>
      </c>
      <c r="AE581" s="6">
        <v>0</v>
      </c>
      <c r="AF581" s="6">
        <v>0</v>
      </c>
      <c r="AG581" s="6">
        <v>0</v>
      </c>
      <c r="AH581" s="6">
        <v>0</v>
      </c>
      <c r="AI581" s="6">
        <v>0</v>
      </c>
      <c r="AJ581" s="6">
        <v>0</v>
      </c>
      <c r="AK581" s="6">
        <v>0</v>
      </c>
      <c r="AL581" s="6">
        <v>0</v>
      </c>
      <c r="AM581" s="6">
        <v>0</v>
      </c>
      <c r="AN581" s="6">
        <v>0</v>
      </c>
      <c r="AO581" s="6">
        <v>0</v>
      </c>
      <c r="AP581" s="6">
        <v>0</v>
      </c>
      <c r="AQ581" s="6">
        <v>0</v>
      </c>
      <c r="AR581" s="6">
        <v>0</v>
      </c>
      <c r="AS581" s="6">
        <v>0</v>
      </c>
    </row>
    <row r="582" spans="1:45" x14ac:dyDescent="0.25">
      <c r="A582" s="6" t="s">
        <v>751</v>
      </c>
      <c r="B582" s="6" t="s">
        <v>151</v>
      </c>
      <c r="C582" s="14">
        <v>45128</v>
      </c>
      <c r="D582" s="6"/>
      <c r="E582" s="6" t="s">
        <v>71</v>
      </c>
      <c r="G582" s="6" t="s">
        <v>139</v>
      </c>
      <c r="H582" s="6" t="s">
        <v>59</v>
      </c>
      <c r="I582" s="9">
        <v>6</v>
      </c>
      <c r="J582" s="9">
        <v>0</v>
      </c>
      <c r="K582" s="9">
        <v>6</v>
      </c>
      <c r="L582" s="6">
        <v>0</v>
      </c>
      <c r="M582" s="6">
        <v>4</v>
      </c>
      <c r="N582" s="6">
        <v>0</v>
      </c>
      <c r="O582" s="6">
        <v>1</v>
      </c>
      <c r="P582" s="6">
        <v>0</v>
      </c>
      <c r="Q582" s="6">
        <v>0</v>
      </c>
      <c r="R582" s="6">
        <v>0</v>
      </c>
      <c r="S582" s="6">
        <v>1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6">
        <v>0</v>
      </c>
      <c r="Z582" s="6">
        <v>0</v>
      </c>
      <c r="AA582" s="6">
        <v>0</v>
      </c>
      <c r="AB582" s="6">
        <v>0</v>
      </c>
      <c r="AC582" s="6">
        <v>0</v>
      </c>
      <c r="AD582" s="6">
        <v>0</v>
      </c>
      <c r="AE582" s="6">
        <v>0</v>
      </c>
      <c r="AF582" s="6">
        <v>0</v>
      </c>
      <c r="AG582" s="6">
        <v>0</v>
      </c>
      <c r="AH582" s="6">
        <v>0</v>
      </c>
      <c r="AI582" s="6">
        <v>0</v>
      </c>
      <c r="AJ582" s="6">
        <v>0</v>
      </c>
      <c r="AK582" s="6">
        <v>0</v>
      </c>
      <c r="AL582" s="6">
        <v>0</v>
      </c>
      <c r="AM582" s="6">
        <v>0</v>
      </c>
      <c r="AN582" s="6">
        <v>0</v>
      </c>
      <c r="AO582" s="6">
        <v>0</v>
      </c>
      <c r="AP582" s="6">
        <v>0</v>
      </c>
      <c r="AQ582" s="6">
        <v>0</v>
      </c>
      <c r="AR582" s="6">
        <v>0</v>
      </c>
      <c r="AS582" s="6">
        <v>0</v>
      </c>
    </row>
    <row r="583" spans="1:45" x14ac:dyDescent="0.25">
      <c r="A583" s="6" t="s">
        <v>751</v>
      </c>
      <c r="B583" s="6" t="s">
        <v>152</v>
      </c>
      <c r="C583" s="14">
        <v>45117</v>
      </c>
      <c r="D583" s="6"/>
      <c r="E583" s="6" t="s">
        <v>153</v>
      </c>
      <c r="G583" s="6" t="s">
        <v>139</v>
      </c>
      <c r="H583" s="6" t="s">
        <v>59</v>
      </c>
      <c r="I583" s="9">
        <v>7.5</v>
      </c>
      <c r="J583" s="9">
        <v>0</v>
      </c>
      <c r="K583" s="9">
        <v>7.5</v>
      </c>
      <c r="L583" s="6">
        <v>0</v>
      </c>
      <c r="M583" s="6">
        <v>2</v>
      </c>
      <c r="N583" s="6">
        <v>0</v>
      </c>
      <c r="O583" s="6">
        <v>0</v>
      </c>
      <c r="P583" s="6">
        <v>0</v>
      </c>
      <c r="Q583" s="6">
        <v>2</v>
      </c>
      <c r="R583" s="6">
        <v>1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0</v>
      </c>
      <c r="AA583" s="6">
        <v>0</v>
      </c>
      <c r="AB583" s="6">
        <v>0</v>
      </c>
      <c r="AC583" s="6">
        <v>0</v>
      </c>
      <c r="AD583" s="6">
        <v>0</v>
      </c>
      <c r="AE583" s="6">
        <v>0</v>
      </c>
      <c r="AF583" s="6">
        <v>0</v>
      </c>
      <c r="AG583" s="6">
        <v>0</v>
      </c>
      <c r="AH583" s="6">
        <v>0</v>
      </c>
      <c r="AI583" s="6">
        <v>0</v>
      </c>
      <c r="AJ583" s="6">
        <v>0</v>
      </c>
      <c r="AK583" s="6">
        <v>0</v>
      </c>
      <c r="AL583" s="6">
        <v>0</v>
      </c>
      <c r="AM583" s="6">
        <v>0</v>
      </c>
      <c r="AN583" s="6">
        <v>0</v>
      </c>
      <c r="AO583" s="6">
        <v>0</v>
      </c>
      <c r="AP583" s="6">
        <v>0</v>
      </c>
      <c r="AQ583" s="6">
        <v>0</v>
      </c>
      <c r="AR583" s="6">
        <v>0</v>
      </c>
      <c r="AS583" s="6">
        <v>0</v>
      </c>
    </row>
    <row r="584" spans="1:45" x14ac:dyDescent="0.25">
      <c r="A584" s="6" t="s">
        <v>751</v>
      </c>
      <c r="B584" s="6" t="s">
        <v>154</v>
      </c>
      <c r="C584" s="14">
        <v>45128</v>
      </c>
      <c r="D584" s="6"/>
      <c r="E584" s="6" t="s">
        <v>155</v>
      </c>
      <c r="G584" s="6" t="s">
        <v>139</v>
      </c>
      <c r="H584" s="6" t="s">
        <v>59</v>
      </c>
      <c r="I584" s="9">
        <v>7</v>
      </c>
      <c r="J584" s="9">
        <v>0</v>
      </c>
      <c r="K584" s="9">
        <v>7</v>
      </c>
      <c r="L584" s="6">
        <v>0</v>
      </c>
      <c r="M584" s="6">
        <v>1</v>
      </c>
      <c r="N584" s="6">
        <v>0</v>
      </c>
      <c r="O584" s="6">
        <v>0</v>
      </c>
      <c r="P584" s="6">
        <v>0</v>
      </c>
      <c r="Q584" s="6">
        <v>2</v>
      </c>
      <c r="R584" s="6">
        <v>1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  <c r="X584" s="6">
        <v>0</v>
      </c>
      <c r="Y584" s="6">
        <v>0</v>
      </c>
      <c r="Z584" s="6">
        <v>0</v>
      </c>
      <c r="AA584" s="6">
        <v>0</v>
      </c>
      <c r="AB584" s="6">
        <v>0</v>
      </c>
      <c r="AC584" s="6">
        <v>0</v>
      </c>
      <c r="AD584" s="6">
        <v>0</v>
      </c>
      <c r="AE584" s="6">
        <v>0</v>
      </c>
      <c r="AF584" s="6">
        <v>0</v>
      </c>
      <c r="AG584" s="6">
        <v>0</v>
      </c>
      <c r="AH584" s="6">
        <v>0</v>
      </c>
      <c r="AI584" s="6">
        <v>0</v>
      </c>
      <c r="AJ584" s="6">
        <v>0</v>
      </c>
      <c r="AK584" s="6">
        <v>0</v>
      </c>
      <c r="AL584" s="6">
        <v>0</v>
      </c>
      <c r="AM584" s="6">
        <v>0</v>
      </c>
      <c r="AN584" s="6">
        <v>0</v>
      </c>
      <c r="AO584" s="6">
        <v>0</v>
      </c>
      <c r="AP584" s="6">
        <v>0</v>
      </c>
      <c r="AQ584" s="6">
        <v>0</v>
      </c>
      <c r="AR584" s="6">
        <v>0</v>
      </c>
      <c r="AS584" s="6">
        <v>0</v>
      </c>
    </row>
    <row r="585" spans="1:45" x14ac:dyDescent="0.25">
      <c r="A585" s="6" t="s">
        <v>751</v>
      </c>
      <c r="B585" s="6" t="s">
        <v>156</v>
      </c>
      <c r="C585" s="14">
        <v>45106</v>
      </c>
      <c r="D585" s="6"/>
      <c r="E585" s="6" t="s">
        <v>157</v>
      </c>
      <c r="G585" s="6" t="s">
        <v>139</v>
      </c>
      <c r="H585" s="6" t="s">
        <v>44</v>
      </c>
      <c r="I585" s="9">
        <v>7.5</v>
      </c>
      <c r="J585" s="9">
        <v>0</v>
      </c>
      <c r="K585" s="9">
        <v>7.5</v>
      </c>
      <c r="L585" s="6">
        <v>0</v>
      </c>
      <c r="M585" s="6">
        <v>2</v>
      </c>
      <c r="N585" s="6">
        <v>0</v>
      </c>
      <c r="O585" s="6">
        <v>0</v>
      </c>
      <c r="P585" s="6">
        <v>0</v>
      </c>
      <c r="Q585" s="6">
        <v>2</v>
      </c>
      <c r="R585" s="6">
        <v>1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  <c r="X585" s="6">
        <v>0</v>
      </c>
      <c r="Y585" s="6">
        <v>0</v>
      </c>
      <c r="Z585" s="6">
        <v>0</v>
      </c>
      <c r="AA585" s="6">
        <v>0</v>
      </c>
      <c r="AB585" s="6">
        <v>0</v>
      </c>
      <c r="AC585" s="6">
        <v>0</v>
      </c>
      <c r="AD585" s="6">
        <v>0</v>
      </c>
      <c r="AE585" s="6">
        <v>0</v>
      </c>
      <c r="AF585" s="6">
        <v>0</v>
      </c>
      <c r="AG585" s="6">
        <v>0</v>
      </c>
      <c r="AH585" s="6">
        <v>0</v>
      </c>
      <c r="AI585" s="6">
        <v>0</v>
      </c>
      <c r="AJ585" s="6">
        <v>0</v>
      </c>
      <c r="AK585" s="6">
        <v>0</v>
      </c>
      <c r="AL585" s="6">
        <v>0</v>
      </c>
      <c r="AM585" s="6">
        <v>0</v>
      </c>
      <c r="AN585" s="6">
        <v>0</v>
      </c>
      <c r="AO585" s="6">
        <v>0</v>
      </c>
      <c r="AP585" s="6">
        <v>0</v>
      </c>
      <c r="AQ585" s="6">
        <v>0</v>
      </c>
      <c r="AR585" s="6">
        <v>0</v>
      </c>
      <c r="AS585" s="6">
        <v>0</v>
      </c>
    </row>
    <row r="586" spans="1:45" x14ac:dyDescent="0.25">
      <c r="A586" s="6" t="s">
        <v>751</v>
      </c>
      <c r="B586" s="6" t="s">
        <v>158</v>
      </c>
      <c r="C586" s="14">
        <v>45390</v>
      </c>
      <c r="D586" s="6"/>
      <c r="E586" s="6" t="s">
        <v>878</v>
      </c>
      <c r="G586" s="6" t="s">
        <v>159</v>
      </c>
      <c r="H586" s="6" t="s">
        <v>99</v>
      </c>
      <c r="I586" s="9">
        <v>10</v>
      </c>
      <c r="J586" s="9">
        <v>0</v>
      </c>
      <c r="K586" s="9">
        <v>10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  <c r="X586" s="6">
        <v>1</v>
      </c>
      <c r="Y586" s="6">
        <v>0</v>
      </c>
      <c r="Z586" s="6">
        <v>0</v>
      </c>
      <c r="AA586" s="6">
        <v>0</v>
      </c>
      <c r="AB586" s="6">
        <v>0</v>
      </c>
      <c r="AC586" s="6">
        <v>0</v>
      </c>
      <c r="AD586" s="6">
        <v>0</v>
      </c>
      <c r="AE586" s="6">
        <v>0</v>
      </c>
      <c r="AF586" s="6">
        <v>0</v>
      </c>
      <c r="AG586" s="6">
        <v>0</v>
      </c>
      <c r="AH586" s="6">
        <v>0</v>
      </c>
      <c r="AI586" s="6">
        <v>0</v>
      </c>
      <c r="AJ586" s="6">
        <v>0</v>
      </c>
      <c r="AK586" s="6">
        <v>0</v>
      </c>
      <c r="AL586" s="6">
        <v>0</v>
      </c>
      <c r="AM586" s="6">
        <v>0</v>
      </c>
      <c r="AN586" s="6">
        <v>0</v>
      </c>
      <c r="AO586" s="6">
        <v>0</v>
      </c>
      <c r="AP586" s="6">
        <v>0</v>
      </c>
      <c r="AQ586" s="6">
        <v>0</v>
      </c>
      <c r="AR586" s="6">
        <v>0</v>
      </c>
      <c r="AS586" s="6">
        <v>0</v>
      </c>
    </row>
    <row r="587" spans="1:45" x14ac:dyDescent="0.25">
      <c r="A587" s="6" t="s">
        <v>751</v>
      </c>
      <c r="B587" s="6" t="s">
        <v>160</v>
      </c>
      <c r="C587" s="14">
        <v>45185</v>
      </c>
      <c r="D587" s="6"/>
      <c r="E587" s="6" t="s">
        <v>161</v>
      </c>
      <c r="G587" s="6" t="s">
        <v>159</v>
      </c>
      <c r="H587" s="6" t="s">
        <v>162</v>
      </c>
      <c r="I587" s="9">
        <v>10</v>
      </c>
      <c r="J587" s="9">
        <v>0</v>
      </c>
      <c r="K587" s="9">
        <v>10</v>
      </c>
      <c r="L587" s="6">
        <v>0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  <c r="X587" s="6">
        <v>1</v>
      </c>
      <c r="Y587" s="6">
        <v>0</v>
      </c>
      <c r="Z587" s="6">
        <v>0</v>
      </c>
      <c r="AA587" s="6">
        <v>0</v>
      </c>
      <c r="AB587" s="6">
        <v>0</v>
      </c>
      <c r="AC587" s="6">
        <v>0</v>
      </c>
      <c r="AD587" s="6">
        <v>0</v>
      </c>
      <c r="AE587" s="6">
        <v>0</v>
      </c>
      <c r="AF587" s="6">
        <v>0</v>
      </c>
      <c r="AG587" s="6">
        <v>0</v>
      </c>
      <c r="AH587" s="6">
        <v>0</v>
      </c>
      <c r="AI587" s="6">
        <v>0</v>
      </c>
      <c r="AJ587" s="6">
        <v>0</v>
      </c>
      <c r="AK587" s="6">
        <v>0</v>
      </c>
      <c r="AL587" s="6">
        <v>0</v>
      </c>
      <c r="AM587" s="6">
        <v>0</v>
      </c>
      <c r="AN587" s="6">
        <v>0</v>
      </c>
      <c r="AO587" s="6">
        <v>0</v>
      </c>
      <c r="AP587" s="6">
        <v>0</v>
      </c>
      <c r="AQ587" s="6">
        <v>0</v>
      </c>
      <c r="AR587" s="6">
        <v>0</v>
      </c>
      <c r="AS587" s="6">
        <v>0</v>
      </c>
    </row>
    <row r="588" spans="1:45" x14ac:dyDescent="0.25">
      <c r="A588" s="6" t="s">
        <v>751</v>
      </c>
      <c r="B588" s="6" t="s">
        <v>163</v>
      </c>
      <c r="C588" s="14">
        <v>45138</v>
      </c>
      <c r="D588" s="6"/>
      <c r="E588" s="6" t="s">
        <v>164</v>
      </c>
      <c r="G588" s="6" t="s">
        <v>165</v>
      </c>
      <c r="H588" s="6" t="s">
        <v>39</v>
      </c>
      <c r="I588" s="9">
        <v>1.5</v>
      </c>
      <c r="J588" s="9">
        <v>0</v>
      </c>
      <c r="K588" s="9">
        <v>1.5</v>
      </c>
      <c r="L588" s="6">
        <v>0</v>
      </c>
      <c r="M588" s="6">
        <v>0</v>
      </c>
      <c r="N588" s="6">
        <v>0</v>
      </c>
      <c r="O588" s="6">
        <v>0</v>
      </c>
      <c r="P588" s="6">
        <v>1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6">
        <v>0</v>
      </c>
      <c r="AA588" s="6">
        <v>0</v>
      </c>
      <c r="AB588" s="6">
        <v>0</v>
      </c>
      <c r="AC588" s="6">
        <v>0</v>
      </c>
      <c r="AD588" s="6">
        <v>0</v>
      </c>
      <c r="AE588" s="6">
        <v>0</v>
      </c>
      <c r="AF588" s="6">
        <v>0</v>
      </c>
      <c r="AG588" s="6">
        <v>0</v>
      </c>
      <c r="AH588" s="6">
        <v>0</v>
      </c>
      <c r="AI588" s="6">
        <v>0</v>
      </c>
      <c r="AJ588" s="6">
        <v>0</v>
      </c>
      <c r="AK588" s="6">
        <v>0</v>
      </c>
      <c r="AL588" s="6">
        <v>0</v>
      </c>
      <c r="AM588" s="6">
        <v>0</v>
      </c>
      <c r="AN588" s="6">
        <v>0</v>
      </c>
      <c r="AO588" s="6">
        <v>0</v>
      </c>
      <c r="AP588" s="6">
        <v>0</v>
      </c>
      <c r="AQ588" s="6">
        <v>0</v>
      </c>
      <c r="AR588" s="6">
        <v>0</v>
      </c>
      <c r="AS588" s="6">
        <v>0</v>
      </c>
    </row>
    <row r="589" spans="1:45" x14ac:dyDescent="0.25">
      <c r="A589" s="6" t="s">
        <v>751</v>
      </c>
      <c r="B589" s="6" t="s">
        <v>166</v>
      </c>
      <c r="C589" s="14">
        <v>45387</v>
      </c>
      <c r="D589" s="6"/>
      <c r="E589" s="6" t="s">
        <v>879</v>
      </c>
      <c r="G589" s="6" t="s">
        <v>167</v>
      </c>
      <c r="H589" s="6" t="s">
        <v>99</v>
      </c>
      <c r="I589" s="9">
        <v>6.5</v>
      </c>
      <c r="J589" s="9">
        <v>0</v>
      </c>
      <c r="K589" s="9">
        <v>6.5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1</v>
      </c>
      <c r="S589" s="6">
        <v>0</v>
      </c>
      <c r="T589" s="6">
        <v>1</v>
      </c>
      <c r="U589" s="6">
        <v>0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  <c r="AA589" s="6">
        <v>0</v>
      </c>
      <c r="AB589" s="6">
        <v>0</v>
      </c>
      <c r="AC589" s="6">
        <v>0</v>
      </c>
      <c r="AD589" s="6">
        <v>0</v>
      </c>
      <c r="AE589" s="6">
        <v>0</v>
      </c>
      <c r="AF589" s="6">
        <v>0</v>
      </c>
      <c r="AG589" s="6">
        <v>0</v>
      </c>
      <c r="AH589" s="6">
        <v>0</v>
      </c>
      <c r="AI589" s="6">
        <v>0</v>
      </c>
      <c r="AJ589" s="6">
        <v>0</v>
      </c>
      <c r="AK589" s="6">
        <v>0</v>
      </c>
      <c r="AL589" s="6">
        <v>0</v>
      </c>
      <c r="AM589" s="6">
        <v>0</v>
      </c>
      <c r="AN589" s="6">
        <v>0</v>
      </c>
      <c r="AO589" s="6">
        <v>0</v>
      </c>
      <c r="AP589" s="6">
        <v>0</v>
      </c>
      <c r="AQ589" s="6">
        <v>0</v>
      </c>
      <c r="AR589" s="6">
        <v>0</v>
      </c>
      <c r="AS589" s="6">
        <v>0</v>
      </c>
    </row>
    <row r="590" spans="1:45" x14ac:dyDescent="0.25">
      <c r="A590" s="6" t="s">
        <v>751</v>
      </c>
      <c r="B590" s="6" t="s">
        <v>168</v>
      </c>
      <c r="C590" s="14">
        <v>45390</v>
      </c>
      <c r="D590" s="6"/>
      <c r="E590" s="6" t="s">
        <v>174</v>
      </c>
      <c r="G590" s="6" t="s">
        <v>167</v>
      </c>
      <c r="H590" s="6" t="s">
        <v>99</v>
      </c>
      <c r="I590" s="9">
        <v>6.5</v>
      </c>
      <c r="J590" s="9">
        <v>0</v>
      </c>
      <c r="K590" s="9">
        <v>6.5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6">
        <v>1</v>
      </c>
      <c r="S590" s="6">
        <v>0</v>
      </c>
      <c r="T590" s="6">
        <v>1</v>
      </c>
      <c r="U590" s="6">
        <v>0</v>
      </c>
      <c r="V590" s="6">
        <v>0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6">
        <v>0</v>
      </c>
      <c r="AC590" s="6">
        <v>0</v>
      </c>
      <c r="AD590" s="6">
        <v>0</v>
      </c>
      <c r="AE590" s="6">
        <v>0</v>
      </c>
      <c r="AF590" s="6">
        <v>0</v>
      </c>
      <c r="AG590" s="6">
        <v>0</v>
      </c>
      <c r="AH590" s="6">
        <v>0</v>
      </c>
      <c r="AI590" s="6">
        <v>0</v>
      </c>
      <c r="AJ590" s="6">
        <v>0</v>
      </c>
      <c r="AK590" s="6">
        <v>0</v>
      </c>
      <c r="AL590" s="6">
        <v>0</v>
      </c>
      <c r="AM590" s="6">
        <v>0</v>
      </c>
      <c r="AN590" s="6">
        <v>0</v>
      </c>
      <c r="AO590" s="6">
        <v>0</v>
      </c>
      <c r="AP590" s="6">
        <v>0</v>
      </c>
      <c r="AQ590" s="6">
        <v>0</v>
      </c>
      <c r="AR590" s="6">
        <v>0</v>
      </c>
      <c r="AS590" s="6">
        <v>0</v>
      </c>
    </row>
    <row r="591" spans="1:45" x14ac:dyDescent="0.25">
      <c r="A591" s="6" t="s">
        <v>751</v>
      </c>
      <c r="B591" s="6" t="s">
        <v>169</v>
      </c>
      <c r="C591" s="14">
        <v>45143</v>
      </c>
      <c r="D591" s="6"/>
      <c r="E591" s="6" t="s">
        <v>170</v>
      </c>
      <c r="G591" s="6" t="s">
        <v>167</v>
      </c>
      <c r="H591" s="6" t="s">
        <v>44</v>
      </c>
      <c r="I591" s="9">
        <v>6.5</v>
      </c>
      <c r="J591" s="9">
        <v>0</v>
      </c>
      <c r="K591" s="9">
        <v>6.5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1</v>
      </c>
      <c r="S591" s="6">
        <v>0</v>
      </c>
      <c r="T591" s="6">
        <v>1</v>
      </c>
      <c r="U591" s="6">
        <v>0</v>
      </c>
      <c r="V591" s="6">
        <v>0</v>
      </c>
      <c r="W591" s="6">
        <v>0</v>
      </c>
      <c r="X591" s="6">
        <v>0</v>
      </c>
      <c r="Y591" s="6">
        <v>0</v>
      </c>
      <c r="Z591" s="6">
        <v>0</v>
      </c>
      <c r="AA591" s="6">
        <v>0</v>
      </c>
      <c r="AB591" s="6">
        <v>0</v>
      </c>
      <c r="AC591" s="6">
        <v>0</v>
      </c>
      <c r="AD591" s="6">
        <v>0</v>
      </c>
      <c r="AE591" s="6">
        <v>0</v>
      </c>
      <c r="AF591" s="6">
        <v>0</v>
      </c>
      <c r="AG591" s="6">
        <v>0</v>
      </c>
      <c r="AH591" s="6">
        <v>0</v>
      </c>
      <c r="AI591" s="6">
        <v>0</v>
      </c>
      <c r="AJ591" s="6">
        <v>0</v>
      </c>
      <c r="AK591" s="6">
        <v>0</v>
      </c>
      <c r="AL591" s="6">
        <v>0</v>
      </c>
      <c r="AM591" s="6">
        <v>0</v>
      </c>
      <c r="AN591" s="6">
        <v>0</v>
      </c>
      <c r="AO591" s="6">
        <v>0</v>
      </c>
      <c r="AP591" s="6">
        <v>0</v>
      </c>
      <c r="AQ591" s="6">
        <v>0</v>
      </c>
      <c r="AR591" s="6">
        <v>0</v>
      </c>
      <c r="AS591" s="6">
        <v>0</v>
      </c>
    </row>
    <row r="592" spans="1:45" x14ac:dyDescent="0.25">
      <c r="A592" s="6" t="s">
        <v>751</v>
      </c>
      <c r="B592" s="6" t="s">
        <v>169</v>
      </c>
      <c r="C592" s="14">
        <v>45143</v>
      </c>
      <c r="D592" s="6"/>
      <c r="E592" s="6" t="s">
        <v>171</v>
      </c>
      <c r="G592" s="6" t="s">
        <v>167</v>
      </c>
      <c r="H592" s="6" t="s">
        <v>162</v>
      </c>
      <c r="I592" s="9">
        <v>6.5</v>
      </c>
      <c r="J592" s="9">
        <v>0</v>
      </c>
      <c r="K592" s="9">
        <v>6.5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1</v>
      </c>
      <c r="S592" s="6">
        <v>0</v>
      </c>
      <c r="T592" s="6">
        <v>1</v>
      </c>
      <c r="U592" s="6">
        <v>0</v>
      </c>
      <c r="V592" s="6">
        <v>0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  <c r="AC592" s="6">
        <v>0</v>
      </c>
      <c r="AD592" s="6">
        <v>0</v>
      </c>
      <c r="AE592" s="6">
        <v>0</v>
      </c>
      <c r="AF592" s="6">
        <v>0</v>
      </c>
      <c r="AG592" s="6">
        <v>0</v>
      </c>
      <c r="AH592" s="6">
        <v>0</v>
      </c>
      <c r="AI592" s="6">
        <v>0</v>
      </c>
      <c r="AJ592" s="6">
        <v>0</v>
      </c>
      <c r="AK592" s="6">
        <v>0</v>
      </c>
      <c r="AL592" s="6">
        <v>0</v>
      </c>
      <c r="AM592" s="6">
        <v>0</v>
      </c>
      <c r="AN592" s="6">
        <v>0</v>
      </c>
      <c r="AO592" s="6">
        <v>0</v>
      </c>
      <c r="AP592" s="6">
        <v>0</v>
      </c>
      <c r="AQ592" s="6">
        <v>0</v>
      </c>
      <c r="AR592" s="6">
        <v>0</v>
      </c>
      <c r="AS592" s="6">
        <v>0</v>
      </c>
    </row>
    <row r="593" spans="1:45" x14ac:dyDescent="0.25">
      <c r="A593" s="6" t="s">
        <v>751</v>
      </c>
      <c r="B593" s="6" t="s">
        <v>169</v>
      </c>
      <c r="C593" s="14">
        <v>45143</v>
      </c>
      <c r="D593" s="6"/>
      <c r="E593" s="6" t="s">
        <v>172</v>
      </c>
      <c r="G593" s="6" t="s">
        <v>167</v>
      </c>
      <c r="H593" s="6" t="s">
        <v>162</v>
      </c>
      <c r="I593" s="9">
        <v>6.5</v>
      </c>
      <c r="J593" s="9">
        <v>0</v>
      </c>
      <c r="K593" s="9">
        <v>6.5</v>
      </c>
      <c r="L593" s="6">
        <v>0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  <c r="R593" s="6">
        <v>1</v>
      </c>
      <c r="S593" s="6">
        <v>0</v>
      </c>
      <c r="T593" s="6">
        <v>1</v>
      </c>
      <c r="U593" s="6">
        <v>0</v>
      </c>
      <c r="V593" s="6">
        <v>0</v>
      </c>
      <c r="W593" s="6">
        <v>0</v>
      </c>
      <c r="X593" s="6">
        <v>0</v>
      </c>
      <c r="Y593" s="6">
        <v>0</v>
      </c>
      <c r="Z593" s="6">
        <v>0</v>
      </c>
      <c r="AA593" s="6">
        <v>0</v>
      </c>
      <c r="AB593" s="6">
        <v>0</v>
      </c>
      <c r="AC593" s="6">
        <v>0</v>
      </c>
      <c r="AD593" s="6">
        <v>0</v>
      </c>
      <c r="AE593" s="6">
        <v>0</v>
      </c>
      <c r="AF593" s="6">
        <v>0</v>
      </c>
      <c r="AG593" s="6">
        <v>0</v>
      </c>
      <c r="AH593" s="6">
        <v>0</v>
      </c>
      <c r="AI593" s="6">
        <v>0</v>
      </c>
      <c r="AJ593" s="6">
        <v>0</v>
      </c>
      <c r="AK593" s="6">
        <v>0</v>
      </c>
      <c r="AL593" s="6">
        <v>0</v>
      </c>
      <c r="AM593" s="6">
        <v>0</v>
      </c>
      <c r="AN593" s="6">
        <v>0</v>
      </c>
      <c r="AO593" s="6">
        <v>0</v>
      </c>
      <c r="AP593" s="6">
        <v>0</v>
      </c>
      <c r="AQ593" s="6">
        <v>0</v>
      </c>
      <c r="AR593" s="6">
        <v>0</v>
      </c>
      <c r="AS593" s="6">
        <v>0</v>
      </c>
    </row>
    <row r="594" spans="1:45" x14ac:dyDescent="0.25">
      <c r="A594" s="6" t="s">
        <v>751</v>
      </c>
      <c r="B594" s="6" t="s">
        <v>173</v>
      </c>
      <c r="C594" s="14">
        <v>45153</v>
      </c>
      <c r="D594" s="6"/>
      <c r="E594" s="6" t="s">
        <v>174</v>
      </c>
      <c r="G594" s="6" t="s">
        <v>167</v>
      </c>
      <c r="H594" s="6" t="s">
        <v>162</v>
      </c>
      <c r="I594" s="9">
        <v>6.5</v>
      </c>
      <c r="J594" s="9">
        <v>0</v>
      </c>
      <c r="K594" s="9">
        <v>6.5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1</v>
      </c>
      <c r="S594" s="6">
        <v>0</v>
      </c>
      <c r="T594" s="6">
        <v>1</v>
      </c>
      <c r="U594" s="6">
        <v>0</v>
      </c>
      <c r="V594" s="6">
        <v>0</v>
      </c>
      <c r="W594" s="6">
        <v>0</v>
      </c>
      <c r="X594" s="6">
        <v>0</v>
      </c>
      <c r="Y594" s="6">
        <v>0</v>
      </c>
      <c r="Z594" s="6">
        <v>0</v>
      </c>
      <c r="AA594" s="6">
        <v>0</v>
      </c>
      <c r="AB594" s="6">
        <v>0</v>
      </c>
      <c r="AC594" s="6">
        <v>0</v>
      </c>
      <c r="AD594" s="6">
        <v>0</v>
      </c>
      <c r="AE594" s="6">
        <v>0</v>
      </c>
      <c r="AF594" s="6">
        <v>0</v>
      </c>
      <c r="AG594" s="6">
        <v>0</v>
      </c>
      <c r="AH594" s="6">
        <v>0</v>
      </c>
      <c r="AI594" s="6">
        <v>0</v>
      </c>
      <c r="AJ594" s="6">
        <v>0</v>
      </c>
      <c r="AK594" s="6">
        <v>0</v>
      </c>
      <c r="AL594" s="6">
        <v>0</v>
      </c>
      <c r="AM594" s="6">
        <v>0</v>
      </c>
      <c r="AN594" s="6">
        <v>0</v>
      </c>
      <c r="AO594" s="6">
        <v>0</v>
      </c>
      <c r="AP594" s="6">
        <v>0</v>
      </c>
      <c r="AQ594" s="6">
        <v>0</v>
      </c>
      <c r="AR594" s="6">
        <v>0</v>
      </c>
      <c r="AS594" s="6">
        <v>0</v>
      </c>
    </row>
    <row r="595" spans="1:45" x14ac:dyDescent="0.2">
      <c r="A595" s="6" t="s">
        <v>752</v>
      </c>
      <c r="B595" s="6" t="s">
        <v>742</v>
      </c>
      <c r="C595" s="14">
        <v>45391</v>
      </c>
      <c r="D595" s="6"/>
      <c r="E595" s="16" t="s">
        <v>880</v>
      </c>
      <c r="G595" s="6">
        <v>0</v>
      </c>
      <c r="H595" s="6" t="s">
        <v>76</v>
      </c>
      <c r="I595" s="9">
        <v>0.35</v>
      </c>
      <c r="J595" s="9">
        <v>0.7</v>
      </c>
      <c r="K595" s="9">
        <v>1.05</v>
      </c>
      <c r="L595" s="6">
        <v>1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6">
        <v>0</v>
      </c>
      <c r="Z595" s="6">
        <v>0</v>
      </c>
      <c r="AA595" s="6">
        <v>0</v>
      </c>
      <c r="AB595" s="6">
        <v>0</v>
      </c>
      <c r="AC595" s="6">
        <v>2</v>
      </c>
      <c r="AD595" s="6">
        <v>0</v>
      </c>
      <c r="AE595" s="6">
        <v>0</v>
      </c>
      <c r="AF595" s="6">
        <v>0</v>
      </c>
      <c r="AG595" s="6">
        <v>0</v>
      </c>
      <c r="AH595" s="6">
        <v>0</v>
      </c>
      <c r="AI595" s="6">
        <v>0</v>
      </c>
      <c r="AJ595" s="6">
        <v>0</v>
      </c>
      <c r="AK595" s="6">
        <v>0</v>
      </c>
      <c r="AL595" s="6">
        <v>0</v>
      </c>
      <c r="AM595" s="6">
        <v>0</v>
      </c>
      <c r="AN595" s="6">
        <v>0</v>
      </c>
      <c r="AO595" s="6">
        <v>0</v>
      </c>
      <c r="AP595" s="6">
        <v>0</v>
      </c>
      <c r="AQ595" s="6">
        <v>0</v>
      </c>
      <c r="AR595" s="6">
        <v>0</v>
      </c>
      <c r="AS595" s="6">
        <v>0</v>
      </c>
    </row>
    <row r="596" spans="1:45" x14ac:dyDescent="0.25">
      <c r="A596" s="6" t="s">
        <v>751</v>
      </c>
      <c r="B596" s="6" t="s">
        <v>175</v>
      </c>
      <c r="C596" s="14">
        <v>45356</v>
      </c>
      <c r="D596" s="6"/>
      <c r="E596" s="6" t="s">
        <v>881</v>
      </c>
      <c r="G596" s="6">
        <v>0</v>
      </c>
      <c r="H596" s="6" t="s">
        <v>76</v>
      </c>
      <c r="I596" s="9">
        <v>1.1000000000000001</v>
      </c>
      <c r="J596" s="9">
        <v>0.35</v>
      </c>
      <c r="K596" s="9">
        <v>1.45</v>
      </c>
      <c r="L596" s="6">
        <v>1</v>
      </c>
      <c r="M596" s="6">
        <v>0</v>
      </c>
      <c r="N596" s="6">
        <v>1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  <c r="X596" s="6">
        <v>0</v>
      </c>
      <c r="Y596" s="6">
        <v>0</v>
      </c>
      <c r="Z596" s="6">
        <v>0</v>
      </c>
      <c r="AA596" s="6">
        <v>0</v>
      </c>
      <c r="AB596" s="6">
        <v>0</v>
      </c>
      <c r="AC596" s="6">
        <v>1</v>
      </c>
      <c r="AD596" s="6">
        <v>0</v>
      </c>
      <c r="AE596" s="6">
        <v>0</v>
      </c>
      <c r="AF596" s="6">
        <v>0</v>
      </c>
      <c r="AG596" s="6">
        <v>0</v>
      </c>
      <c r="AH596" s="6">
        <v>0</v>
      </c>
      <c r="AI596" s="6">
        <v>0</v>
      </c>
      <c r="AJ596" s="6">
        <v>0</v>
      </c>
      <c r="AK596" s="6">
        <v>0</v>
      </c>
      <c r="AL596" s="6">
        <v>0</v>
      </c>
      <c r="AM596" s="6">
        <v>0</v>
      </c>
      <c r="AN596" s="6">
        <v>0</v>
      </c>
      <c r="AO596" s="6">
        <v>0</v>
      </c>
      <c r="AP596" s="6">
        <v>0</v>
      </c>
      <c r="AQ596" s="6">
        <v>0</v>
      </c>
      <c r="AR596" s="6">
        <v>0</v>
      </c>
      <c r="AS596" s="6">
        <v>0</v>
      </c>
    </row>
    <row r="597" spans="1:45" x14ac:dyDescent="0.25">
      <c r="A597" s="6" t="s">
        <v>753</v>
      </c>
      <c r="B597" s="6" t="s">
        <v>743</v>
      </c>
      <c r="C597" s="14">
        <v>45357</v>
      </c>
      <c r="D597" s="6"/>
      <c r="E597" s="6" t="s">
        <v>412</v>
      </c>
      <c r="G597" s="6"/>
      <c r="H597" s="6" t="s">
        <v>76</v>
      </c>
      <c r="I597" s="9">
        <v>1.25</v>
      </c>
      <c r="J597" s="9">
        <v>0.5</v>
      </c>
      <c r="K597" s="9">
        <v>1.75</v>
      </c>
      <c r="L597" s="6">
        <v>0</v>
      </c>
      <c r="M597" s="6">
        <v>1</v>
      </c>
      <c r="N597" s="6">
        <v>1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  <c r="X597" s="6">
        <v>0</v>
      </c>
      <c r="Y597" s="6">
        <v>0</v>
      </c>
      <c r="Z597" s="6">
        <v>0</v>
      </c>
      <c r="AA597" s="6">
        <v>0</v>
      </c>
      <c r="AB597" s="6">
        <v>0</v>
      </c>
      <c r="AC597" s="6">
        <v>0</v>
      </c>
      <c r="AD597" s="6">
        <v>1</v>
      </c>
      <c r="AE597" s="6">
        <v>0</v>
      </c>
      <c r="AF597" s="6">
        <v>0</v>
      </c>
      <c r="AG597" s="6">
        <v>0</v>
      </c>
      <c r="AH597" s="6">
        <v>0</v>
      </c>
      <c r="AI597" s="6">
        <v>0</v>
      </c>
      <c r="AJ597" s="6">
        <v>0</v>
      </c>
      <c r="AK597" s="6">
        <v>0</v>
      </c>
      <c r="AL597" s="6">
        <v>0</v>
      </c>
      <c r="AM597" s="6">
        <v>0</v>
      </c>
      <c r="AN597" s="6">
        <v>0</v>
      </c>
      <c r="AO597" s="6">
        <v>0</v>
      </c>
      <c r="AP597" s="6">
        <v>0</v>
      </c>
      <c r="AQ597" s="6">
        <v>0</v>
      </c>
      <c r="AR597" s="6">
        <v>0</v>
      </c>
      <c r="AS597" s="6">
        <v>0</v>
      </c>
    </row>
    <row r="598" spans="1:45" x14ac:dyDescent="0.25">
      <c r="A598" s="6" t="s">
        <v>747</v>
      </c>
      <c r="B598" s="6" t="s">
        <v>744</v>
      </c>
      <c r="C598" s="14">
        <v>45392</v>
      </c>
      <c r="D598" s="6"/>
      <c r="E598" s="6" t="s">
        <v>882</v>
      </c>
      <c r="G598" s="6">
        <v>0</v>
      </c>
      <c r="H598" s="6" t="s">
        <v>76</v>
      </c>
      <c r="I598" s="9">
        <v>1.0499999999999998</v>
      </c>
      <c r="J598" s="9">
        <v>1.0499999999999998</v>
      </c>
      <c r="K598" s="9">
        <v>2.1</v>
      </c>
      <c r="L598" s="6">
        <v>3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6">
        <v>0</v>
      </c>
      <c r="Z598" s="6">
        <v>0</v>
      </c>
      <c r="AA598" s="6">
        <v>0</v>
      </c>
      <c r="AB598" s="6">
        <v>0</v>
      </c>
      <c r="AC598" s="6">
        <v>3</v>
      </c>
      <c r="AD598" s="6">
        <v>0</v>
      </c>
      <c r="AE598" s="6">
        <v>0</v>
      </c>
      <c r="AF598" s="6">
        <v>0</v>
      </c>
      <c r="AG598" s="6">
        <v>0</v>
      </c>
      <c r="AH598" s="6">
        <v>0</v>
      </c>
      <c r="AI598" s="6">
        <v>0</v>
      </c>
      <c r="AJ598" s="6">
        <v>0</v>
      </c>
      <c r="AK598" s="6">
        <v>0</v>
      </c>
      <c r="AL598" s="6">
        <v>0</v>
      </c>
      <c r="AM598" s="6">
        <v>0</v>
      </c>
      <c r="AN598" s="6">
        <v>0</v>
      </c>
      <c r="AO598" s="6">
        <v>0</v>
      </c>
      <c r="AP598" s="6">
        <v>0</v>
      </c>
      <c r="AQ598" s="6">
        <v>0</v>
      </c>
      <c r="AR598" s="6">
        <v>0</v>
      </c>
      <c r="AS598" s="6">
        <v>0</v>
      </c>
    </row>
    <row r="599" spans="1:45" x14ac:dyDescent="0.25">
      <c r="A599" s="6" t="s">
        <v>753</v>
      </c>
      <c r="B599" s="6" t="s">
        <v>176</v>
      </c>
      <c r="C599" s="14">
        <v>45359</v>
      </c>
      <c r="D599" s="6"/>
      <c r="E599" s="6" t="s">
        <v>413</v>
      </c>
      <c r="G599" s="6"/>
      <c r="H599" s="6" t="s">
        <v>76</v>
      </c>
      <c r="I599" s="9">
        <v>0.75</v>
      </c>
      <c r="J599" s="9">
        <v>1.5</v>
      </c>
      <c r="K599" s="9">
        <v>2.25</v>
      </c>
      <c r="L599" s="6">
        <v>0</v>
      </c>
      <c r="M599" s="6">
        <v>0</v>
      </c>
      <c r="N599" s="6">
        <v>1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  <c r="X599" s="6">
        <v>0</v>
      </c>
      <c r="Y599" s="6">
        <v>0</v>
      </c>
      <c r="Z599" s="6">
        <v>0</v>
      </c>
      <c r="AA599" s="6">
        <v>0</v>
      </c>
      <c r="AB599" s="6">
        <v>0</v>
      </c>
      <c r="AC599" s="6">
        <v>0</v>
      </c>
      <c r="AD599" s="6">
        <v>0</v>
      </c>
      <c r="AE599" s="6">
        <v>2</v>
      </c>
      <c r="AF599" s="6">
        <v>0</v>
      </c>
      <c r="AG599" s="6">
        <v>0</v>
      </c>
      <c r="AH599" s="6">
        <v>0</v>
      </c>
      <c r="AI599" s="6">
        <v>0</v>
      </c>
      <c r="AJ599" s="6">
        <v>0</v>
      </c>
      <c r="AK599" s="6">
        <v>0</v>
      </c>
      <c r="AL599" s="6">
        <v>0</v>
      </c>
      <c r="AM599" s="6">
        <v>0</v>
      </c>
      <c r="AN599" s="6">
        <v>0</v>
      </c>
      <c r="AO599" s="6">
        <v>0</v>
      </c>
      <c r="AP599" s="6">
        <v>0</v>
      </c>
      <c r="AQ599" s="6">
        <v>0</v>
      </c>
      <c r="AR599" s="6">
        <v>0</v>
      </c>
      <c r="AS599" s="6">
        <v>0</v>
      </c>
    </row>
    <row r="600" spans="1:45" x14ac:dyDescent="0.25">
      <c r="A600" s="6" t="s">
        <v>751</v>
      </c>
      <c r="B600" s="6" t="s">
        <v>745</v>
      </c>
      <c r="C600" s="14">
        <v>45238</v>
      </c>
      <c r="D600" s="6"/>
      <c r="E600" s="6" t="s">
        <v>177</v>
      </c>
      <c r="G600" s="6">
        <v>0</v>
      </c>
      <c r="H600" s="6" t="s">
        <v>76</v>
      </c>
      <c r="I600" s="9">
        <v>3.5</v>
      </c>
      <c r="J600" s="9">
        <v>3</v>
      </c>
      <c r="K600" s="9">
        <v>6.5</v>
      </c>
      <c r="L600" s="6">
        <v>0</v>
      </c>
      <c r="M600" s="6">
        <v>0</v>
      </c>
      <c r="N600" s="6">
        <v>0</v>
      </c>
      <c r="O600" s="6">
        <v>1</v>
      </c>
      <c r="P600" s="6">
        <v>0</v>
      </c>
      <c r="Q600" s="6">
        <v>0</v>
      </c>
      <c r="R600" s="6">
        <v>1</v>
      </c>
      <c r="S600" s="6">
        <v>0</v>
      </c>
      <c r="T600" s="6">
        <v>0</v>
      </c>
      <c r="U600" s="6">
        <v>0</v>
      </c>
      <c r="V600" s="6">
        <v>0</v>
      </c>
      <c r="W600" s="6">
        <v>0</v>
      </c>
      <c r="X600" s="6">
        <v>0</v>
      </c>
      <c r="Y600" s="6">
        <v>0</v>
      </c>
      <c r="Z600" s="6">
        <v>0</v>
      </c>
      <c r="AA600" s="6">
        <v>0</v>
      </c>
      <c r="AB600" s="6">
        <v>0</v>
      </c>
      <c r="AC600" s="6">
        <v>0</v>
      </c>
      <c r="AD600" s="6">
        <v>1</v>
      </c>
      <c r="AE600" s="6">
        <v>0</v>
      </c>
      <c r="AF600" s="6">
        <v>0</v>
      </c>
      <c r="AG600" s="6">
        <v>0</v>
      </c>
      <c r="AH600" s="6">
        <v>0</v>
      </c>
      <c r="AI600" s="6">
        <v>1</v>
      </c>
      <c r="AJ600" s="6">
        <v>0</v>
      </c>
      <c r="AK600" s="6">
        <v>0</v>
      </c>
      <c r="AL600" s="6">
        <v>0</v>
      </c>
      <c r="AM600" s="6">
        <v>0</v>
      </c>
      <c r="AN600" s="6">
        <v>0</v>
      </c>
      <c r="AO600" s="6">
        <v>0</v>
      </c>
      <c r="AP600" s="6">
        <v>0</v>
      </c>
      <c r="AQ600" s="6">
        <v>0</v>
      </c>
      <c r="AR600" s="6">
        <v>0</v>
      </c>
      <c r="AS600" s="6">
        <v>0</v>
      </c>
    </row>
    <row r="601" spans="1:45" x14ac:dyDescent="0.25">
      <c r="A601" s="6" t="s">
        <v>751</v>
      </c>
      <c r="B601" s="6" t="s">
        <v>178</v>
      </c>
      <c r="C601" s="14">
        <v>45366</v>
      </c>
      <c r="D601" s="6"/>
      <c r="E601" s="6" t="s">
        <v>420</v>
      </c>
      <c r="G601" s="6">
        <v>0</v>
      </c>
      <c r="H601" s="6" t="s">
        <v>59</v>
      </c>
      <c r="I601" s="9">
        <v>11</v>
      </c>
      <c r="J601" s="9">
        <v>0</v>
      </c>
      <c r="K601" s="9">
        <v>11</v>
      </c>
      <c r="L601" s="6">
        <v>0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  <c r="R601" s="6">
        <v>2</v>
      </c>
      <c r="S601" s="6">
        <v>2</v>
      </c>
      <c r="T601" s="6">
        <v>0</v>
      </c>
      <c r="U601" s="6">
        <v>0</v>
      </c>
      <c r="V601" s="6">
        <v>0</v>
      </c>
      <c r="W601" s="6">
        <v>0</v>
      </c>
      <c r="X601" s="6">
        <v>0</v>
      </c>
      <c r="Y601" s="6">
        <v>0</v>
      </c>
      <c r="Z601" s="6">
        <v>0</v>
      </c>
      <c r="AA601" s="6">
        <v>0</v>
      </c>
      <c r="AB601" s="6">
        <v>0</v>
      </c>
      <c r="AC601" s="6">
        <v>0</v>
      </c>
      <c r="AD601" s="6">
        <v>0</v>
      </c>
      <c r="AE601" s="6">
        <v>0</v>
      </c>
      <c r="AF601" s="6">
        <v>0</v>
      </c>
      <c r="AG601" s="6">
        <v>0</v>
      </c>
      <c r="AH601" s="6">
        <v>0</v>
      </c>
      <c r="AI601" s="6">
        <v>0</v>
      </c>
      <c r="AJ601" s="6">
        <v>0</v>
      </c>
      <c r="AK601" s="6">
        <v>0</v>
      </c>
      <c r="AL601" s="6">
        <v>0</v>
      </c>
      <c r="AM601" s="6">
        <v>0</v>
      </c>
      <c r="AN601" s="6">
        <v>0</v>
      </c>
      <c r="AO601" s="6">
        <v>0</v>
      </c>
      <c r="AP601" s="6">
        <v>0</v>
      </c>
      <c r="AQ601" s="6">
        <v>0</v>
      </c>
      <c r="AR601" s="6">
        <v>0</v>
      </c>
      <c r="AS601" s="6">
        <v>0</v>
      </c>
    </row>
    <row r="602" spans="1:45" x14ac:dyDescent="0.25">
      <c r="A602" s="6" t="s">
        <v>751</v>
      </c>
      <c r="B602" s="6" t="s">
        <v>179</v>
      </c>
      <c r="C602" s="14">
        <v>45394</v>
      </c>
      <c r="D602" s="6"/>
      <c r="E602" s="6" t="s">
        <v>419</v>
      </c>
      <c r="G602" s="6">
        <v>0</v>
      </c>
      <c r="H602" s="6" t="s">
        <v>59</v>
      </c>
      <c r="I602" s="9">
        <v>12.5</v>
      </c>
      <c r="J602" s="9">
        <v>0</v>
      </c>
      <c r="K602" s="9">
        <v>12.5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6">
        <v>5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>
        <v>0</v>
      </c>
      <c r="AB602" s="6">
        <v>0</v>
      </c>
      <c r="AC602" s="6">
        <v>0</v>
      </c>
      <c r="AD602" s="6">
        <v>0</v>
      </c>
      <c r="AE602" s="6">
        <v>0</v>
      </c>
      <c r="AF602" s="6">
        <v>0</v>
      </c>
      <c r="AG602" s="6">
        <v>0</v>
      </c>
      <c r="AH602" s="6">
        <v>0</v>
      </c>
      <c r="AI602" s="6">
        <v>0</v>
      </c>
      <c r="AJ602" s="6">
        <v>0</v>
      </c>
      <c r="AK602" s="6">
        <v>0</v>
      </c>
      <c r="AL602" s="6">
        <v>0</v>
      </c>
      <c r="AM602" s="6">
        <v>0</v>
      </c>
      <c r="AN602" s="6">
        <v>0</v>
      </c>
      <c r="AO602" s="6">
        <v>0</v>
      </c>
      <c r="AP602" s="6">
        <v>0</v>
      </c>
      <c r="AQ602" s="6">
        <v>0</v>
      </c>
      <c r="AR602" s="6">
        <v>0</v>
      </c>
      <c r="AS602" s="6">
        <v>0</v>
      </c>
    </row>
    <row r="603" spans="1:45" x14ac:dyDescent="0.25">
      <c r="A603" s="6" t="s">
        <v>751</v>
      </c>
      <c r="B603" s="6" t="s">
        <v>180</v>
      </c>
      <c r="C603" s="14">
        <v>45397</v>
      </c>
      <c r="D603" s="6"/>
      <c r="E603" s="6" t="s">
        <v>418</v>
      </c>
      <c r="G603" s="6">
        <v>0</v>
      </c>
      <c r="H603" s="6" t="s">
        <v>59</v>
      </c>
      <c r="I603" s="9">
        <v>15</v>
      </c>
      <c r="J603" s="9">
        <v>0</v>
      </c>
      <c r="K603" s="9">
        <v>15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6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  <c r="X603" s="6">
        <v>0</v>
      </c>
      <c r="Y603" s="6">
        <v>0</v>
      </c>
      <c r="Z603" s="6">
        <v>0</v>
      </c>
      <c r="AA603" s="6">
        <v>0</v>
      </c>
      <c r="AB603" s="6">
        <v>0</v>
      </c>
      <c r="AC603" s="6">
        <v>0</v>
      </c>
      <c r="AD603" s="6">
        <v>0</v>
      </c>
      <c r="AE603" s="6">
        <v>0</v>
      </c>
      <c r="AF603" s="6">
        <v>0</v>
      </c>
      <c r="AG603" s="6">
        <v>0</v>
      </c>
      <c r="AH603" s="6">
        <v>0</v>
      </c>
      <c r="AI603" s="6">
        <v>0</v>
      </c>
      <c r="AJ603" s="6">
        <v>0</v>
      </c>
      <c r="AK603" s="6">
        <v>0</v>
      </c>
      <c r="AL603" s="6">
        <v>0</v>
      </c>
      <c r="AM603" s="6">
        <v>0</v>
      </c>
      <c r="AN603" s="6">
        <v>0</v>
      </c>
      <c r="AO603" s="6">
        <v>0</v>
      </c>
      <c r="AP603" s="6">
        <v>0</v>
      </c>
      <c r="AQ603" s="6">
        <v>0</v>
      </c>
      <c r="AR603" s="6">
        <v>0</v>
      </c>
      <c r="AS603" s="6">
        <v>0</v>
      </c>
    </row>
    <row r="604" spans="1:45" x14ac:dyDescent="0.25">
      <c r="A604" s="6" t="s">
        <v>751</v>
      </c>
      <c r="B604" s="6" t="s">
        <v>181</v>
      </c>
      <c r="C604" s="14">
        <v>45363</v>
      </c>
      <c r="D604" s="6"/>
      <c r="E604" s="6" t="s">
        <v>883</v>
      </c>
      <c r="G604" s="6">
        <v>0</v>
      </c>
      <c r="H604" s="6" t="s">
        <v>59</v>
      </c>
      <c r="I604" s="9">
        <v>17.5</v>
      </c>
      <c r="J604" s="9">
        <v>0</v>
      </c>
      <c r="K604" s="9">
        <v>17.5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6">
        <v>7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  <c r="X604" s="6">
        <v>0</v>
      </c>
      <c r="Y604" s="6">
        <v>0</v>
      </c>
      <c r="Z604" s="6">
        <v>0</v>
      </c>
      <c r="AA604" s="6">
        <v>0</v>
      </c>
      <c r="AB604" s="6">
        <v>0</v>
      </c>
      <c r="AC604" s="6">
        <v>0</v>
      </c>
      <c r="AD604" s="6">
        <v>0</v>
      </c>
      <c r="AE604" s="6">
        <v>0</v>
      </c>
      <c r="AF604" s="6">
        <v>0</v>
      </c>
      <c r="AG604" s="6">
        <v>0</v>
      </c>
      <c r="AH604" s="6">
        <v>0</v>
      </c>
      <c r="AI604" s="6">
        <v>0</v>
      </c>
      <c r="AJ604" s="6">
        <v>0</v>
      </c>
      <c r="AK604" s="6">
        <v>0</v>
      </c>
      <c r="AL604" s="6">
        <v>0</v>
      </c>
      <c r="AM604" s="6">
        <v>0</v>
      </c>
      <c r="AN604" s="6">
        <v>0</v>
      </c>
      <c r="AO604" s="6">
        <v>0</v>
      </c>
      <c r="AP604" s="6">
        <v>0</v>
      </c>
      <c r="AQ604" s="6">
        <v>0</v>
      </c>
      <c r="AR604" s="6">
        <v>0</v>
      </c>
      <c r="AS604" s="6">
        <v>0</v>
      </c>
    </row>
    <row r="605" spans="1:45" x14ac:dyDescent="0.25">
      <c r="A605" s="6" t="s">
        <v>751</v>
      </c>
      <c r="B605" s="6" t="s">
        <v>182</v>
      </c>
      <c r="C605" s="14">
        <v>45393</v>
      </c>
      <c r="D605" s="6"/>
      <c r="E605" s="6" t="s">
        <v>421</v>
      </c>
      <c r="G605" s="6">
        <v>0</v>
      </c>
      <c r="H605" s="6" t="s">
        <v>59</v>
      </c>
      <c r="I605" s="9">
        <v>8</v>
      </c>
      <c r="J605" s="9">
        <v>0</v>
      </c>
      <c r="K605" s="9">
        <v>8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2</v>
      </c>
      <c r="S605" s="6">
        <v>1</v>
      </c>
      <c r="T605" s="6">
        <v>0</v>
      </c>
      <c r="U605" s="6">
        <v>0</v>
      </c>
      <c r="V605" s="6">
        <v>0</v>
      </c>
      <c r="W605" s="6">
        <v>0</v>
      </c>
      <c r="X605" s="6">
        <v>0</v>
      </c>
      <c r="Y605" s="6">
        <v>0</v>
      </c>
      <c r="Z605" s="6">
        <v>0</v>
      </c>
      <c r="AA605" s="6">
        <v>0</v>
      </c>
      <c r="AB605" s="6">
        <v>0</v>
      </c>
      <c r="AC605" s="6">
        <v>0</v>
      </c>
      <c r="AD605" s="6">
        <v>0</v>
      </c>
      <c r="AE605" s="6">
        <v>0</v>
      </c>
      <c r="AF605" s="6">
        <v>0</v>
      </c>
      <c r="AG605" s="6">
        <v>0</v>
      </c>
      <c r="AH605" s="6">
        <v>0</v>
      </c>
      <c r="AI605" s="6">
        <v>0</v>
      </c>
      <c r="AJ605" s="6">
        <v>0</v>
      </c>
      <c r="AK605" s="6">
        <v>0</v>
      </c>
      <c r="AL605" s="6">
        <v>0</v>
      </c>
      <c r="AM605" s="6">
        <v>0</v>
      </c>
      <c r="AN605" s="6">
        <v>0</v>
      </c>
      <c r="AO605" s="6">
        <v>0</v>
      </c>
      <c r="AP605" s="6">
        <v>0</v>
      </c>
      <c r="AQ605" s="6">
        <v>0</v>
      </c>
      <c r="AR605" s="6">
        <v>0</v>
      </c>
      <c r="AS605" s="6">
        <v>0</v>
      </c>
    </row>
    <row r="606" spans="1:45" x14ac:dyDescent="0.25">
      <c r="A606" s="6" t="s">
        <v>751</v>
      </c>
      <c r="B606" s="6" t="s">
        <v>183</v>
      </c>
      <c r="C606" s="14">
        <v>40026</v>
      </c>
      <c r="D606" s="6"/>
      <c r="E606" s="6" t="s">
        <v>184</v>
      </c>
      <c r="G606" s="6">
        <v>0</v>
      </c>
      <c r="H606" s="6" t="s">
        <v>82</v>
      </c>
      <c r="I606" s="9">
        <v>12.5</v>
      </c>
      <c r="J606" s="9">
        <v>0</v>
      </c>
      <c r="K606" s="9">
        <v>12.5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  <c r="Q606" s="6">
        <v>0</v>
      </c>
      <c r="R606" s="6">
        <v>5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  <c r="AC606" s="6">
        <v>0</v>
      </c>
      <c r="AD606" s="6">
        <v>0</v>
      </c>
      <c r="AE606" s="6">
        <v>0</v>
      </c>
      <c r="AF606" s="6">
        <v>0</v>
      </c>
      <c r="AG606" s="6">
        <v>0</v>
      </c>
      <c r="AH606" s="6">
        <v>0</v>
      </c>
      <c r="AI606" s="6">
        <v>0</v>
      </c>
      <c r="AJ606" s="6">
        <v>0</v>
      </c>
      <c r="AK606" s="6">
        <v>0</v>
      </c>
      <c r="AL606" s="6">
        <v>0</v>
      </c>
      <c r="AM606" s="6">
        <v>0</v>
      </c>
      <c r="AN606" s="6">
        <v>0</v>
      </c>
      <c r="AO606" s="6">
        <v>0</v>
      </c>
      <c r="AP606" s="6">
        <v>0</v>
      </c>
      <c r="AQ606" s="6">
        <v>0</v>
      </c>
      <c r="AR606" s="6">
        <v>0</v>
      </c>
      <c r="AS606" s="6">
        <v>0</v>
      </c>
    </row>
    <row r="607" spans="1:45" x14ac:dyDescent="0.25">
      <c r="A607" s="6" t="s">
        <v>751</v>
      </c>
      <c r="B607" s="6" t="s">
        <v>185</v>
      </c>
      <c r="C607" s="14">
        <v>40026</v>
      </c>
      <c r="D607" s="6"/>
      <c r="E607" s="6" t="s">
        <v>186</v>
      </c>
      <c r="G607" s="6">
        <v>0</v>
      </c>
      <c r="H607" s="6" t="s">
        <v>82</v>
      </c>
      <c r="I607" s="9">
        <v>0</v>
      </c>
      <c r="J607" s="9">
        <v>12</v>
      </c>
      <c r="K607" s="9">
        <v>12</v>
      </c>
      <c r="L607" s="6">
        <v>0</v>
      </c>
      <c r="M607" s="6">
        <v>0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  <c r="X607" s="6">
        <v>0</v>
      </c>
      <c r="Y607" s="6">
        <v>0</v>
      </c>
      <c r="Z607" s="6">
        <v>0</v>
      </c>
      <c r="AA607" s="6">
        <v>0</v>
      </c>
      <c r="AB607" s="6">
        <v>0</v>
      </c>
      <c r="AC607" s="6">
        <v>0</v>
      </c>
      <c r="AD607" s="6">
        <v>0</v>
      </c>
      <c r="AE607" s="6">
        <v>0</v>
      </c>
      <c r="AF607" s="6">
        <v>0</v>
      </c>
      <c r="AG607" s="6">
        <v>0</v>
      </c>
      <c r="AH607" s="6">
        <v>0</v>
      </c>
      <c r="AI607" s="6">
        <v>0</v>
      </c>
      <c r="AJ607" s="6">
        <v>4</v>
      </c>
      <c r="AK607" s="6">
        <v>0</v>
      </c>
      <c r="AL607" s="6">
        <v>0</v>
      </c>
      <c r="AM607" s="6">
        <v>0</v>
      </c>
      <c r="AN607" s="6">
        <v>0</v>
      </c>
      <c r="AO607" s="6">
        <v>0</v>
      </c>
      <c r="AP607" s="6">
        <v>0</v>
      </c>
      <c r="AQ607" s="6">
        <v>0</v>
      </c>
      <c r="AR607" s="6">
        <v>0</v>
      </c>
      <c r="AS607" s="6">
        <v>0</v>
      </c>
    </row>
    <row r="608" spans="1:45" x14ac:dyDescent="0.25">
      <c r="A608" s="6" t="s">
        <v>751</v>
      </c>
      <c r="B608" s="6" t="s">
        <v>187</v>
      </c>
      <c r="C608" s="14">
        <v>43479</v>
      </c>
      <c r="D608" s="6"/>
      <c r="E608" s="6" t="s">
        <v>188</v>
      </c>
      <c r="G608" s="6" t="s">
        <v>434</v>
      </c>
      <c r="H608" s="6" t="s">
        <v>99</v>
      </c>
      <c r="I608" s="9">
        <v>15</v>
      </c>
      <c r="J608" s="9">
        <v>0</v>
      </c>
      <c r="K608" s="9">
        <v>15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6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  <c r="AC608" s="6">
        <v>0</v>
      </c>
      <c r="AD608" s="6">
        <v>0</v>
      </c>
      <c r="AE608" s="6">
        <v>0</v>
      </c>
      <c r="AF608" s="6">
        <v>0</v>
      </c>
      <c r="AG608" s="6">
        <v>0</v>
      </c>
      <c r="AH608" s="6">
        <v>0</v>
      </c>
      <c r="AI608" s="6">
        <v>0</v>
      </c>
      <c r="AJ608" s="6">
        <v>0</v>
      </c>
      <c r="AK608" s="6">
        <v>0</v>
      </c>
      <c r="AL608" s="6">
        <v>0</v>
      </c>
      <c r="AM608" s="6">
        <v>0</v>
      </c>
      <c r="AN608" s="6">
        <v>0</v>
      </c>
      <c r="AO608" s="6">
        <v>0</v>
      </c>
      <c r="AP608" s="6">
        <v>0</v>
      </c>
      <c r="AQ608" s="6">
        <v>0</v>
      </c>
      <c r="AR608" s="6">
        <v>0</v>
      </c>
      <c r="AS608" s="6">
        <v>0</v>
      </c>
    </row>
    <row r="609" spans="1:45" x14ac:dyDescent="0.25">
      <c r="A609" s="6" t="s">
        <v>751</v>
      </c>
      <c r="B609" s="6" t="s">
        <v>189</v>
      </c>
      <c r="C609" s="14">
        <v>40026</v>
      </c>
      <c r="D609" s="6"/>
      <c r="E609" s="6" t="s">
        <v>190</v>
      </c>
      <c r="G609" s="6">
        <v>0</v>
      </c>
      <c r="H609" s="6" t="s">
        <v>82</v>
      </c>
      <c r="I609" s="9">
        <v>15</v>
      </c>
      <c r="J609" s="9">
        <v>0</v>
      </c>
      <c r="K609" s="9">
        <v>15</v>
      </c>
      <c r="L609" s="6">
        <v>0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6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  <c r="Y609" s="6">
        <v>0</v>
      </c>
      <c r="Z609" s="6">
        <v>0</v>
      </c>
      <c r="AA609" s="6">
        <v>0</v>
      </c>
      <c r="AB609" s="6">
        <v>0</v>
      </c>
      <c r="AC609" s="6">
        <v>0</v>
      </c>
      <c r="AD609" s="6">
        <v>0</v>
      </c>
      <c r="AE609" s="6">
        <v>0</v>
      </c>
      <c r="AF609" s="6">
        <v>0</v>
      </c>
      <c r="AG609" s="6">
        <v>0</v>
      </c>
      <c r="AH609" s="6">
        <v>0</v>
      </c>
      <c r="AI609" s="6">
        <v>0</v>
      </c>
      <c r="AJ609" s="6">
        <v>0</v>
      </c>
      <c r="AK609" s="6">
        <v>0</v>
      </c>
      <c r="AL609" s="6">
        <v>0</v>
      </c>
      <c r="AM609" s="6">
        <v>0</v>
      </c>
      <c r="AN609" s="6">
        <v>0</v>
      </c>
      <c r="AO609" s="6">
        <v>0</v>
      </c>
      <c r="AP609" s="6">
        <v>0</v>
      </c>
      <c r="AQ609" s="6">
        <v>0</v>
      </c>
      <c r="AR609" s="6">
        <v>0</v>
      </c>
      <c r="AS609" s="6">
        <v>0</v>
      </c>
    </row>
    <row r="610" spans="1:45" x14ac:dyDescent="0.25">
      <c r="A610" s="6" t="s">
        <v>751</v>
      </c>
      <c r="B610" s="6" t="s">
        <v>191</v>
      </c>
      <c r="C610" s="14">
        <v>40026</v>
      </c>
      <c r="D610" s="6"/>
      <c r="E610" s="6" t="s">
        <v>192</v>
      </c>
      <c r="G610" s="6" t="s">
        <v>434</v>
      </c>
      <c r="H610" s="6" t="s">
        <v>99</v>
      </c>
      <c r="I610" s="9">
        <v>17.5</v>
      </c>
      <c r="J610" s="9">
        <v>0</v>
      </c>
      <c r="K610" s="9">
        <v>17.5</v>
      </c>
      <c r="L610" s="6">
        <v>0</v>
      </c>
      <c r="M610" s="6">
        <v>0</v>
      </c>
      <c r="N610" s="6">
        <v>0</v>
      </c>
      <c r="O610" s="6">
        <v>0</v>
      </c>
      <c r="P610" s="6">
        <v>0</v>
      </c>
      <c r="Q610" s="6">
        <v>0</v>
      </c>
      <c r="R610" s="6">
        <v>7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  <c r="X610" s="6">
        <v>0</v>
      </c>
      <c r="Y610" s="6">
        <v>0</v>
      </c>
      <c r="Z610" s="6">
        <v>0</v>
      </c>
      <c r="AA610" s="6">
        <v>0</v>
      </c>
      <c r="AB610" s="6">
        <v>0</v>
      </c>
      <c r="AC610" s="6">
        <v>0</v>
      </c>
      <c r="AD610" s="6">
        <v>0</v>
      </c>
      <c r="AE610" s="6">
        <v>0</v>
      </c>
      <c r="AF610" s="6">
        <v>0</v>
      </c>
      <c r="AG610" s="6">
        <v>0</v>
      </c>
      <c r="AH610" s="6">
        <v>0</v>
      </c>
      <c r="AI610" s="6">
        <v>0</v>
      </c>
      <c r="AJ610" s="6">
        <v>0</v>
      </c>
      <c r="AK610" s="6">
        <v>0</v>
      </c>
      <c r="AL610" s="6">
        <v>0</v>
      </c>
      <c r="AM610" s="6">
        <v>0</v>
      </c>
      <c r="AN610" s="6">
        <v>0</v>
      </c>
      <c r="AO610" s="6">
        <v>0</v>
      </c>
      <c r="AP610" s="6">
        <v>0</v>
      </c>
      <c r="AQ610" s="6">
        <v>0</v>
      </c>
      <c r="AR610" s="6">
        <v>0</v>
      </c>
      <c r="AS610" s="6">
        <v>0</v>
      </c>
    </row>
    <row r="611" spans="1:45" x14ac:dyDescent="0.25">
      <c r="A611" s="6" t="s">
        <v>751</v>
      </c>
      <c r="B611" s="6" t="s">
        <v>193</v>
      </c>
      <c r="C611" s="14">
        <v>40057</v>
      </c>
      <c r="D611" s="6"/>
      <c r="E611" s="6" t="s">
        <v>194</v>
      </c>
      <c r="G611" s="6">
        <v>0</v>
      </c>
      <c r="H611" s="6" t="s">
        <v>82</v>
      </c>
      <c r="I611" s="9">
        <v>0</v>
      </c>
      <c r="J611" s="9">
        <v>9</v>
      </c>
      <c r="K611" s="9">
        <v>9</v>
      </c>
      <c r="L611" s="6">
        <v>0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  <c r="X611" s="6">
        <v>0</v>
      </c>
      <c r="Y611" s="6">
        <v>0</v>
      </c>
      <c r="Z611" s="6">
        <v>0</v>
      </c>
      <c r="AA611" s="6">
        <v>0</v>
      </c>
      <c r="AB611" s="6">
        <v>0</v>
      </c>
      <c r="AC611" s="6">
        <v>0</v>
      </c>
      <c r="AD611" s="6">
        <v>0</v>
      </c>
      <c r="AE611" s="6">
        <v>0</v>
      </c>
      <c r="AF611" s="6">
        <v>0</v>
      </c>
      <c r="AG611" s="6">
        <v>0</v>
      </c>
      <c r="AH611" s="6">
        <v>0</v>
      </c>
      <c r="AI611" s="6">
        <v>0</v>
      </c>
      <c r="AJ611" s="6">
        <v>3</v>
      </c>
      <c r="AK611" s="6">
        <v>0</v>
      </c>
      <c r="AL611" s="6">
        <v>0</v>
      </c>
      <c r="AM611" s="6">
        <v>0</v>
      </c>
      <c r="AN611" s="6">
        <v>0</v>
      </c>
      <c r="AO611" s="6">
        <v>0</v>
      </c>
      <c r="AP611" s="6">
        <v>0</v>
      </c>
      <c r="AQ611" s="6">
        <v>0</v>
      </c>
      <c r="AR611" s="6">
        <v>0</v>
      </c>
      <c r="AS611" s="6">
        <v>0</v>
      </c>
    </row>
    <row r="612" spans="1:45" x14ac:dyDescent="0.25">
      <c r="A612" s="6" t="s">
        <v>751</v>
      </c>
      <c r="B612" s="6" t="s">
        <v>195</v>
      </c>
      <c r="C612" s="14" t="s">
        <v>195</v>
      </c>
      <c r="D612" s="6"/>
      <c r="E612" s="6" t="s">
        <v>196</v>
      </c>
      <c r="G612" s="6">
        <v>0</v>
      </c>
      <c r="H612" s="6" t="s">
        <v>84</v>
      </c>
      <c r="I612" s="9">
        <v>0.7</v>
      </c>
      <c r="J612" s="9">
        <v>0.35</v>
      </c>
      <c r="K612" s="9">
        <v>1.05</v>
      </c>
      <c r="L612" s="6">
        <v>2</v>
      </c>
      <c r="M612" s="6">
        <v>0</v>
      </c>
      <c r="N612" s="6">
        <v>0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  <c r="X612" s="6">
        <v>0</v>
      </c>
      <c r="Y612" s="6">
        <v>0</v>
      </c>
      <c r="Z612" s="6">
        <v>0</v>
      </c>
      <c r="AA612" s="6">
        <v>0</v>
      </c>
      <c r="AB612" s="6">
        <v>0</v>
      </c>
      <c r="AC612" s="6">
        <v>1</v>
      </c>
      <c r="AD612" s="6">
        <v>0</v>
      </c>
      <c r="AE612" s="6">
        <v>0</v>
      </c>
      <c r="AF612" s="6">
        <v>0</v>
      </c>
      <c r="AG612" s="6">
        <v>0</v>
      </c>
      <c r="AH612" s="6">
        <v>0</v>
      </c>
      <c r="AI612" s="6">
        <v>0</v>
      </c>
      <c r="AJ612" s="6">
        <v>0</v>
      </c>
      <c r="AK612" s="6">
        <v>0</v>
      </c>
      <c r="AL612" s="6">
        <v>0</v>
      </c>
      <c r="AM612" s="6">
        <v>0</v>
      </c>
      <c r="AN612" s="6">
        <v>0</v>
      </c>
      <c r="AO612" s="6">
        <v>0</v>
      </c>
      <c r="AP612" s="6">
        <v>0</v>
      </c>
      <c r="AQ612" s="6">
        <v>0</v>
      </c>
      <c r="AR612" s="6">
        <v>0</v>
      </c>
      <c r="AS612" s="6">
        <v>0</v>
      </c>
    </row>
    <row r="613" spans="1:45" x14ac:dyDescent="0.25">
      <c r="A613" s="6" t="s">
        <v>751</v>
      </c>
      <c r="B613" s="6" t="s">
        <v>197</v>
      </c>
      <c r="C613" s="14">
        <v>43481</v>
      </c>
      <c r="D613" s="6"/>
      <c r="E613" s="6" t="s">
        <v>198</v>
      </c>
      <c r="G613" s="6">
        <v>0</v>
      </c>
      <c r="H613" s="6" t="s">
        <v>84</v>
      </c>
      <c r="I613" s="9">
        <v>0.35</v>
      </c>
      <c r="J613" s="9">
        <v>0.7</v>
      </c>
      <c r="K613" s="9">
        <v>1.05</v>
      </c>
      <c r="L613" s="6">
        <v>1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  <c r="Y613" s="6">
        <v>0</v>
      </c>
      <c r="Z613" s="6">
        <v>0</v>
      </c>
      <c r="AA613" s="6">
        <v>0</v>
      </c>
      <c r="AB613" s="6">
        <v>0</v>
      </c>
      <c r="AC613" s="6">
        <v>2</v>
      </c>
      <c r="AD613" s="6">
        <v>0</v>
      </c>
      <c r="AE613" s="6">
        <v>0</v>
      </c>
      <c r="AF613" s="6">
        <v>0</v>
      </c>
      <c r="AG613" s="6">
        <v>0</v>
      </c>
      <c r="AH613" s="6">
        <v>0</v>
      </c>
      <c r="AI613" s="6">
        <v>0</v>
      </c>
      <c r="AJ613" s="6">
        <v>0</v>
      </c>
      <c r="AK613" s="6">
        <v>0</v>
      </c>
      <c r="AL613" s="6">
        <v>0</v>
      </c>
      <c r="AM613" s="6">
        <v>0</v>
      </c>
      <c r="AN613" s="6">
        <v>0</v>
      </c>
      <c r="AO613" s="6">
        <v>0</v>
      </c>
      <c r="AP613" s="6">
        <v>0</v>
      </c>
      <c r="AQ613" s="6">
        <v>0</v>
      </c>
      <c r="AR613" s="6">
        <v>0</v>
      </c>
      <c r="AS613" s="6">
        <v>0</v>
      </c>
    </row>
    <row r="614" spans="1:45" x14ac:dyDescent="0.25">
      <c r="A614" s="6" t="s">
        <v>751</v>
      </c>
      <c r="B614" s="6" t="s">
        <v>199</v>
      </c>
      <c r="C614" s="14">
        <v>44791</v>
      </c>
      <c r="D614" s="6"/>
      <c r="E614" s="6" t="s">
        <v>200</v>
      </c>
      <c r="G614" s="6">
        <v>0</v>
      </c>
      <c r="H614" s="6" t="s">
        <v>84</v>
      </c>
      <c r="I614" s="9">
        <v>0.35</v>
      </c>
      <c r="J614" s="9">
        <v>0.7</v>
      </c>
      <c r="K614" s="9">
        <v>1.05</v>
      </c>
      <c r="L614" s="6">
        <v>1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  <c r="AA614" s="6">
        <v>0</v>
      </c>
      <c r="AB614" s="6">
        <v>0</v>
      </c>
      <c r="AC614" s="6">
        <v>2</v>
      </c>
      <c r="AD614" s="6">
        <v>0</v>
      </c>
      <c r="AE614" s="6">
        <v>0</v>
      </c>
      <c r="AF614" s="6">
        <v>0</v>
      </c>
      <c r="AG614" s="6">
        <v>0</v>
      </c>
      <c r="AH614" s="6">
        <v>0</v>
      </c>
      <c r="AI614" s="6">
        <v>0</v>
      </c>
      <c r="AJ614" s="6">
        <v>0</v>
      </c>
      <c r="AK614" s="6">
        <v>0</v>
      </c>
      <c r="AL614" s="6">
        <v>0</v>
      </c>
      <c r="AM614" s="6">
        <v>0</v>
      </c>
      <c r="AN614" s="6">
        <v>0</v>
      </c>
      <c r="AO614" s="6">
        <v>0</v>
      </c>
      <c r="AP614" s="6">
        <v>0</v>
      </c>
      <c r="AQ614" s="6">
        <v>0</v>
      </c>
      <c r="AR614" s="6">
        <v>0</v>
      </c>
      <c r="AS614" s="6">
        <v>0</v>
      </c>
    </row>
    <row r="615" spans="1:45" x14ac:dyDescent="0.25">
      <c r="A615" s="6" t="s">
        <v>751</v>
      </c>
      <c r="B615" s="6" t="s">
        <v>201</v>
      </c>
      <c r="C615" s="14">
        <v>44791</v>
      </c>
      <c r="D615" s="6"/>
      <c r="E615" s="6" t="s">
        <v>202</v>
      </c>
      <c r="G615" s="6">
        <v>0</v>
      </c>
      <c r="H615" s="6" t="s">
        <v>84</v>
      </c>
      <c r="I615" s="9">
        <v>0.7</v>
      </c>
      <c r="J615" s="9">
        <v>0.5</v>
      </c>
      <c r="K615" s="9">
        <v>1.2</v>
      </c>
      <c r="L615" s="6">
        <v>2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  <c r="X615" s="6">
        <v>0</v>
      </c>
      <c r="Y615" s="6">
        <v>0</v>
      </c>
      <c r="Z615" s="6">
        <v>0</v>
      </c>
      <c r="AA615" s="6">
        <v>0</v>
      </c>
      <c r="AB615" s="6">
        <v>0</v>
      </c>
      <c r="AC615" s="6">
        <v>0</v>
      </c>
      <c r="AD615" s="6">
        <v>1</v>
      </c>
      <c r="AE615" s="6">
        <v>0</v>
      </c>
      <c r="AF615" s="6">
        <v>0</v>
      </c>
      <c r="AG615" s="6">
        <v>0</v>
      </c>
      <c r="AH615" s="6">
        <v>0</v>
      </c>
      <c r="AI615" s="6">
        <v>0</v>
      </c>
      <c r="AJ615" s="6">
        <v>0</v>
      </c>
      <c r="AK615" s="6">
        <v>0</v>
      </c>
      <c r="AL615" s="6">
        <v>0</v>
      </c>
      <c r="AM615" s="6">
        <v>0</v>
      </c>
      <c r="AN615" s="6">
        <v>0</v>
      </c>
      <c r="AO615" s="6">
        <v>0</v>
      </c>
      <c r="AP615" s="6">
        <v>0</v>
      </c>
      <c r="AQ615" s="6">
        <v>0</v>
      </c>
      <c r="AR615" s="6">
        <v>0</v>
      </c>
      <c r="AS615" s="6">
        <v>0</v>
      </c>
    </row>
    <row r="616" spans="1:45" x14ac:dyDescent="0.25">
      <c r="A616" s="6" t="s">
        <v>751</v>
      </c>
      <c r="B616" s="6" t="s">
        <v>203</v>
      </c>
      <c r="C616" s="14">
        <v>43479</v>
      </c>
      <c r="D616" s="6"/>
      <c r="E616" s="6" t="s">
        <v>204</v>
      </c>
      <c r="G616" s="6">
        <v>0</v>
      </c>
      <c r="H616" s="6" t="s">
        <v>84</v>
      </c>
      <c r="I616" s="9">
        <v>0.35</v>
      </c>
      <c r="J616" s="9">
        <v>1</v>
      </c>
      <c r="K616" s="9">
        <v>1.35</v>
      </c>
      <c r="L616" s="6">
        <v>1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  <c r="X616" s="6">
        <v>0</v>
      </c>
      <c r="Y616" s="6">
        <v>0</v>
      </c>
      <c r="Z616" s="6">
        <v>0</v>
      </c>
      <c r="AA616" s="6">
        <v>0</v>
      </c>
      <c r="AB616" s="6">
        <v>0</v>
      </c>
      <c r="AC616" s="6">
        <v>0</v>
      </c>
      <c r="AD616" s="6">
        <v>2</v>
      </c>
      <c r="AE616" s="6">
        <v>0</v>
      </c>
      <c r="AF616" s="6">
        <v>0</v>
      </c>
      <c r="AG616" s="6">
        <v>0</v>
      </c>
      <c r="AH616" s="6">
        <v>0</v>
      </c>
      <c r="AI616" s="6">
        <v>0</v>
      </c>
      <c r="AJ616" s="6">
        <v>0</v>
      </c>
      <c r="AK616" s="6">
        <v>0</v>
      </c>
      <c r="AL616" s="6">
        <v>0</v>
      </c>
      <c r="AM616" s="6">
        <v>0</v>
      </c>
      <c r="AN616" s="6">
        <v>0</v>
      </c>
      <c r="AO616" s="6">
        <v>0</v>
      </c>
      <c r="AP616" s="6">
        <v>0</v>
      </c>
      <c r="AQ616" s="6">
        <v>0</v>
      </c>
      <c r="AR616" s="6">
        <v>0</v>
      </c>
      <c r="AS616" s="6">
        <v>0</v>
      </c>
    </row>
    <row r="617" spans="1:45" x14ac:dyDescent="0.25">
      <c r="A617" s="6" t="s">
        <v>751</v>
      </c>
      <c r="B617" s="6" t="s">
        <v>205</v>
      </c>
      <c r="C617" s="14">
        <v>44792</v>
      </c>
      <c r="D617" s="6"/>
      <c r="E617" s="6" t="s">
        <v>206</v>
      </c>
      <c r="G617" s="6">
        <v>0</v>
      </c>
      <c r="H617" s="6" t="s">
        <v>84</v>
      </c>
      <c r="I617" s="9">
        <v>0.35</v>
      </c>
      <c r="J617" s="9">
        <v>1</v>
      </c>
      <c r="K617" s="9">
        <v>1.35</v>
      </c>
      <c r="L617" s="6">
        <v>1</v>
      </c>
      <c r="M617" s="6">
        <v>0</v>
      </c>
      <c r="N617" s="6">
        <v>0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  <c r="X617" s="6">
        <v>0</v>
      </c>
      <c r="Y617" s="6">
        <v>0</v>
      </c>
      <c r="Z617" s="6">
        <v>0</v>
      </c>
      <c r="AA617" s="6">
        <v>0</v>
      </c>
      <c r="AB617" s="6">
        <v>0</v>
      </c>
      <c r="AC617" s="6">
        <v>0</v>
      </c>
      <c r="AD617" s="6">
        <v>2</v>
      </c>
      <c r="AE617" s="6">
        <v>0</v>
      </c>
      <c r="AF617" s="6">
        <v>0</v>
      </c>
      <c r="AG617" s="6">
        <v>0</v>
      </c>
      <c r="AH617" s="6">
        <v>0</v>
      </c>
      <c r="AI617" s="6">
        <v>0</v>
      </c>
      <c r="AJ617" s="6">
        <v>0</v>
      </c>
      <c r="AK617" s="6">
        <v>0</v>
      </c>
      <c r="AL617" s="6">
        <v>0</v>
      </c>
      <c r="AM617" s="6">
        <v>0</v>
      </c>
      <c r="AN617" s="6">
        <v>0</v>
      </c>
      <c r="AO617" s="6">
        <v>0</v>
      </c>
      <c r="AP617" s="6">
        <v>0</v>
      </c>
      <c r="AQ617" s="6">
        <v>0</v>
      </c>
      <c r="AR617" s="6">
        <v>0</v>
      </c>
      <c r="AS617" s="6">
        <v>0</v>
      </c>
    </row>
    <row r="618" spans="1:45" x14ac:dyDescent="0.25">
      <c r="A618" s="6" t="s">
        <v>751</v>
      </c>
      <c r="B618" s="6" t="s">
        <v>207</v>
      </c>
      <c r="C618" s="14">
        <v>43481</v>
      </c>
      <c r="D618" s="6"/>
      <c r="E618" s="6" t="s">
        <v>208</v>
      </c>
      <c r="G618" s="6">
        <v>0</v>
      </c>
      <c r="H618" s="6" t="s">
        <v>84</v>
      </c>
      <c r="I618" s="9">
        <v>0.5</v>
      </c>
      <c r="J618" s="9">
        <v>0.85</v>
      </c>
      <c r="K618" s="9">
        <v>1.35</v>
      </c>
      <c r="L618" s="6">
        <v>0</v>
      </c>
      <c r="M618" s="6">
        <v>1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6">
        <v>0</v>
      </c>
      <c r="AA618" s="6">
        <v>0</v>
      </c>
      <c r="AB618" s="6">
        <v>0</v>
      </c>
      <c r="AC618" s="6">
        <v>1</v>
      </c>
      <c r="AD618" s="6">
        <v>1</v>
      </c>
      <c r="AE618" s="6">
        <v>0</v>
      </c>
      <c r="AF618" s="6">
        <v>0</v>
      </c>
      <c r="AG618" s="6">
        <v>0</v>
      </c>
      <c r="AH618" s="6">
        <v>0</v>
      </c>
      <c r="AI618" s="6">
        <v>0</v>
      </c>
      <c r="AJ618" s="6">
        <v>0</v>
      </c>
      <c r="AK618" s="6">
        <v>0</v>
      </c>
      <c r="AL618" s="6">
        <v>0</v>
      </c>
      <c r="AM618" s="6">
        <v>0</v>
      </c>
      <c r="AN618" s="6">
        <v>0</v>
      </c>
      <c r="AO618" s="6">
        <v>0</v>
      </c>
      <c r="AP618" s="6">
        <v>0</v>
      </c>
      <c r="AQ618" s="6">
        <v>0</v>
      </c>
      <c r="AR618" s="6">
        <v>0</v>
      </c>
      <c r="AS618" s="6">
        <v>0</v>
      </c>
    </row>
    <row r="619" spans="1:45" x14ac:dyDescent="0.25">
      <c r="A619" s="6" t="s">
        <v>751</v>
      </c>
      <c r="B619" s="6" t="s">
        <v>209</v>
      </c>
      <c r="C619" s="14">
        <v>43479</v>
      </c>
      <c r="D619" s="6"/>
      <c r="E619" s="6" t="s">
        <v>210</v>
      </c>
      <c r="G619" s="6">
        <v>0</v>
      </c>
      <c r="H619" s="6" t="s">
        <v>84</v>
      </c>
      <c r="I619" s="9">
        <v>0.35</v>
      </c>
      <c r="J619" s="9">
        <v>1.0499999999999998</v>
      </c>
      <c r="K619" s="9">
        <v>1.4</v>
      </c>
      <c r="L619" s="6">
        <v>1</v>
      </c>
      <c r="M619" s="6">
        <v>0</v>
      </c>
      <c r="N619" s="6">
        <v>0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  <c r="X619" s="6">
        <v>0</v>
      </c>
      <c r="Y619" s="6">
        <v>0</v>
      </c>
      <c r="Z619" s="6">
        <v>0</v>
      </c>
      <c r="AA619" s="6">
        <v>0</v>
      </c>
      <c r="AB619" s="6">
        <v>0</v>
      </c>
      <c r="AC619" s="6">
        <v>3</v>
      </c>
      <c r="AD619" s="6">
        <v>0</v>
      </c>
      <c r="AE619" s="6">
        <v>0</v>
      </c>
      <c r="AF619" s="6">
        <v>0</v>
      </c>
      <c r="AG619" s="6">
        <v>0</v>
      </c>
      <c r="AH619" s="6">
        <v>0</v>
      </c>
      <c r="AI619" s="6">
        <v>0</v>
      </c>
      <c r="AJ619" s="6">
        <v>0</v>
      </c>
      <c r="AK619" s="6">
        <v>0</v>
      </c>
      <c r="AL619" s="6">
        <v>0</v>
      </c>
      <c r="AM619" s="6">
        <v>0</v>
      </c>
      <c r="AN619" s="6">
        <v>0</v>
      </c>
      <c r="AO619" s="6">
        <v>0</v>
      </c>
      <c r="AP619" s="6">
        <v>0</v>
      </c>
      <c r="AQ619" s="6">
        <v>0</v>
      </c>
      <c r="AR619" s="6">
        <v>0</v>
      </c>
      <c r="AS619" s="6">
        <v>0</v>
      </c>
    </row>
    <row r="620" spans="1:45" x14ac:dyDescent="0.25">
      <c r="A620" s="6" t="s">
        <v>751</v>
      </c>
      <c r="B620" s="6" t="s">
        <v>211</v>
      </c>
      <c r="C620" s="14">
        <v>43479</v>
      </c>
      <c r="D620" s="6"/>
      <c r="E620" s="6" t="s">
        <v>212</v>
      </c>
      <c r="G620" s="6">
        <v>0</v>
      </c>
      <c r="H620" s="6" t="s">
        <v>84</v>
      </c>
      <c r="I620" s="9">
        <v>1.5</v>
      </c>
      <c r="J620" s="9">
        <v>0</v>
      </c>
      <c r="K620" s="9">
        <v>1.5</v>
      </c>
      <c r="L620" s="6">
        <v>0</v>
      </c>
      <c r="M620" s="6">
        <v>3</v>
      </c>
      <c r="N620" s="6">
        <v>0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  <c r="X620" s="6">
        <v>0</v>
      </c>
      <c r="Y620" s="6">
        <v>0</v>
      </c>
      <c r="Z620" s="6">
        <v>0</v>
      </c>
      <c r="AA620" s="6">
        <v>0</v>
      </c>
      <c r="AB620" s="6">
        <v>0</v>
      </c>
      <c r="AC620" s="6">
        <v>0</v>
      </c>
      <c r="AD620" s="6">
        <v>0</v>
      </c>
      <c r="AE620" s="6">
        <v>0</v>
      </c>
      <c r="AF620" s="6">
        <v>0</v>
      </c>
      <c r="AG620" s="6">
        <v>0</v>
      </c>
      <c r="AH620" s="6">
        <v>0</v>
      </c>
      <c r="AI620" s="6">
        <v>0</v>
      </c>
      <c r="AJ620" s="6">
        <v>0</v>
      </c>
      <c r="AK620" s="6">
        <v>0</v>
      </c>
      <c r="AL620" s="6">
        <v>0</v>
      </c>
      <c r="AM620" s="6">
        <v>0</v>
      </c>
      <c r="AN620" s="6">
        <v>0</v>
      </c>
      <c r="AO620" s="6">
        <v>0</v>
      </c>
      <c r="AP620" s="6">
        <v>0</v>
      </c>
      <c r="AQ620" s="6">
        <v>0</v>
      </c>
      <c r="AR620" s="6">
        <v>0</v>
      </c>
      <c r="AS620" s="6">
        <v>0</v>
      </c>
    </row>
    <row r="621" spans="1:45" x14ac:dyDescent="0.25">
      <c r="A621" s="6" t="s">
        <v>751</v>
      </c>
      <c r="B621" s="6" t="s">
        <v>213</v>
      </c>
      <c r="C621" s="14">
        <v>43481</v>
      </c>
      <c r="D621" s="6"/>
      <c r="E621" s="6" t="s">
        <v>214</v>
      </c>
      <c r="G621" s="6">
        <v>0</v>
      </c>
      <c r="H621" s="6" t="s">
        <v>84</v>
      </c>
      <c r="I621" s="9">
        <v>0</v>
      </c>
      <c r="J621" s="9">
        <v>1.5</v>
      </c>
      <c r="K621" s="9">
        <v>1.5</v>
      </c>
      <c r="L621" s="6">
        <v>0</v>
      </c>
      <c r="M621" s="6">
        <v>0</v>
      </c>
      <c r="N621" s="6">
        <v>0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  <c r="X621" s="6">
        <v>0</v>
      </c>
      <c r="Y621" s="6">
        <v>0</v>
      </c>
      <c r="Z621" s="6">
        <v>0</v>
      </c>
      <c r="AA621" s="6">
        <v>0</v>
      </c>
      <c r="AB621" s="6">
        <v>0</v>
      </c>
      <c r="AC621" s="6">
        <v>0</v>
      </c>
      <c r="AD621" s="6">
        <v>3</v>
      </c>
      <c r="AE621" s="6">
        <v>0</v>
      </c>
      <c r="AF621" s="6">
        <v>0</v>
      </c>
      <c r="AG621" s="6">
        <v>0</v>
      </c>
      <c r="AH621" s="6">
        <v>0</v>
      </c>
      <c r="AI621" s="6">
        <v>0</v>
      </c>
      <c r="AJ621" s="6">
        <v>0</v>
      </c>
      <c r="AK621" s="6">
        <v>0</v>
      </c>
      <c r="AL621" s="6">
        <v>0</v>
      </c>
      <c r="AM621" s="6">
        <v>0</v>
      </c>
      <c r="AN621" s="6">
        <v>0</v>
      </c>
      <c r="AO621" s="6">
        <v>0</v>
      </c>
      <c r="AP621" s="6">
        <v>0</v>
      </c>
      <c r="AQ621" s="6">
        <v>0</v>
      </c>
      <c r="AR621" s="6">
        <v>0</v>
      </c>
      <c r="AS621" s="6">
        <v>0</v>
      </c>
    </row>
    <row r="622" spans="1:45" x14ac:dyDescent="0.25">
      <c r="A622" s="6" t="s">
        <v>751</v>
      </c>
      <c r="B622" s="6" t="s">
        <v>215</v>
      </c>
      <c r="C622" s="14">
        <v>39995</v>
      </c>
      <c r="D622" s="6"/>
      <c r="E622" s="6" t="s">
        <v>216</v>
      </c>
      <c r="G622" s="6">
        <v>0</v>
      </c>
      <c r="H622" s="6" t="s">
        <v>84</v>
      </c>
      <c r="I622" s="9">
        <v>1.0499999999999998</v>
      </c>
      <c r="J622" s="9">
        <v>0.5</v>
      </c>
      <c r="K622" s="9">
        <v>1.55</v>
      </c>
      <c r="L622" s="6">
        <v>3</v>
      </c>
      <c r="M622" s="6">
        <v>0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  <c r="AC622" s="6">
        <v>0</v>
      </c>
      <c r="AD622" s="6">
        <v>1</v>
      </c>
      <c r="AE622" s="6">
        <v>0</v>
      </c>
      <c r="AF622" s="6">
        <v>0</v>
      </c>
      <c r="AG622" s="6">
        <v>0</v>
      </c>
      <c r="AH622" s="6">
        <v>0</v>
      </c>
      <c r="AI622" s="6">
        <v>0</v>
      </c>
      <c r="AJ622" s="6">
        <v>0</v>
      </c>
      <c r="AK622" s="6">
        <v>0</v>
      </c>
      <c r="AL622" s="6">
        <v>0</v>
      </c>
      <c r="AM622" s="6">
        <v>0</v>
      </c>
      <c r="AN622" s="6">
        <v>0</v>
      </c>
      <c r="AO622" s="6">
        <v>0</v>
      </c>
      <c r="AP622" s="6">
        <v>0</v>
      </c>
      <c r="AQ622" s="6">
        <v>0</v>
      </c>
      <c r="AR622" s="6">
        <v>0</v>
      </c>
      <c r="AS622" s="6">
        <v>0</v>
      </c>
    </row>
    <row r="623" spans="1:45" x14ac:dyDescent="0.25">
      <c r="A623" s="6" t="s">
        <v>751</v>
      </c>
      <c r="B623" s="6" t="s">
        <v>217</v>
      </c>
      <c r="C623" s="14">
        <v>43482</v>
      </c>
      <c r="D623" s="6"/>
      <c r="E623" s="6" t="s">
        <v>218</v>
      </c>
      <c r="G623" s="6">
        <v>0</v>
      </c>
      <c r="H623" s="6" t="s">
        <v>84</v>
      </c>
      <c r="I623" s="9">
        <v>0.85</v>
      </c>
      <c r="J623" s="9">
        <v>0.85</v>
      </c>
      <c r="K623" s="9">
        <v>1.7</v>
      </c>
      <c r="L623" s="6">
        <v>1</v>
      </c>
      <c r="M623" s="6">
        <v>1</v>
      </c>
      <c r="N623" s="6">
        <v>0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  <c r="Z623" s="6">
        <v>0</v>
      </c>
      <c r="AA623" s="6">
        <v>0</v>
      </c>
      <c r="AB623" s="6">
        <v>0</v>
      </c>
      <c r="AC623" s="6">
        <v>1</v>
      </c>
      <c r="AD623" s="6">
        <v>1</v>
      </c>
      <c r="AE623" s="6">
        <v>0</v>
      </c>
      <c r="AF623" s="6">
        <v>0</v>
      </c>
      <c r="AG623" s="6">
        <v>0</v>
      </c>
      <c r="AH623" s="6">
        <v>0</v>
      </c>
      <c r="AI623" s="6">
        <v>0</v>
      </c>
      <c r="AJ623" s="6">
        <v>0</v>
      </c>
      <c r="AK623" s="6">
        <v>0</v>
      </c>
      <c r="AL623" s="6">
        <v>0</v>
      </c>
      <c r="AM623" s="6">
        <v>0</v>
      </c>
      <c r="AN623" s="6">
        <v>0</v>
      </c>
      <c r="AO623" s="6">
        <v>0</v>
      </c>
      <c r="AP623" s="6">
        <v>0</v>
      </c>
      <c r="AQ623" s="6">
        <v>0</v>
      </c>
      <c r="AR623" s="6">
        <v>0</v>
      </c>
      <c r="AS623" s="6">
        <v>0</v>
      </c>
    </row>
    <row r="624" spans="1:45" x14ac:dyDescent="0.25">
      <c r="A624" s="6" t="s">
        <v>751</v>
      </c>
      <c r="B624" s="6" t="s">
        <v>219</v>
      </c>
      <c r="C624" s="14">
        <v>43482</v>
      </c>
      <c r="D624" s="6"/>
      <c r="E624" s="6" t="s">
        <v>220</v>
      </c>
      <c r="G624" s="6">
        <v>0</v>
      </c>
      <c r="H624" s="6" t="s">
        <v>84</v>
      </c>
      <c r="I624" s="9">
        <v>1</v>
      </c>
      <c r="J624" s="9">
        <v>0.85</v>
      </c>
      <c r="K624" s="9">
        <v>1.85</v>
      </c>
      <c r="L624" s="6">
        <v>0</v>
      </c>
      <c r="M624" s="6">
        <v>2</v>
      </c>
      <c r="N624" s="6">
        <v>0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  <c r="X624" s="6">
        <v>0</v>
      </c>
      <c r="Y624" s="6">
        <v>0</v>
      </c>
      <c r="Z624" s="6">
        <v>0</v>
      </c>
      <c r="AA624" s="6">
        <v>0</v>
      </c>
      <c r="AB624" s="6">
        <v>0</v>
      </c>
      <c r="AC624" s="6">
        <v>1</v>
      </c>
      <c r="AD624" s="6">
        <v>1</v>
      </c>
      <c r="AE624" s="6">
        <v>0</v>
      </c>
      <c r="AF624" s="6">
        <v>0</v>
      </c>
      <c r="AG624" s="6">
        <v>0</v>
      </c>
      <c r="AH624" s="6">
        <v>0</v>
      </c>
      <c r="AI624" s="6">
        <v>0</v>
      </c>
      <c r="AJ624" s="6">
        <v>0</v>
      </c>
      <c r="AK624" s="6">
        <v>0</v>
      </c>
      <c r="AL624" s="6">
        <v>0</v>
      </c>
      <c r="AM624" s="6">
        <v>0</v>
      </c>
      <c r="AN624" s="6">
        <v>0</v>
      </c>
      <c r="AO624" s="6">
        <v>0</v>
      </c>
      <c r="AP624" s="6">
        <v>0</v>
      </c>
      <c r="AQ624" s="6">
        <v>0</v>
      </c>
      <c r="AR624" s="6">
        <v>0</v>
      </c>
      <c r="AS624" s="6">
        <v>0</v>
      </c>
    </row>
    <row r="625" spans="1:45" x14ac:dyDescent="0.25">
      <c r="A625" s="6" t="s">
        <v>751</v>
      </c>
      <c r="B625" s="6" t="s">
        <v>103</v>
      </c>
      <c r="C625" s="14">
        <v>39995</v>
      </c>
      <c r="D625" s="6"/>
      <c r="E625" s="6" t="s">
        <v>221</v>
      </c>
      <c r="G625" s="6">
        <v>0</v>
      </c>
      <c r="H625" s="6" t="s">
        <v>84</v>
      </c>
      <c r="I625" s="9">
        <v>0.5</v>
      </c>
      <c r="J625" s="9">
        <v>1.75</v>
      </c>
      <c r="K625" s="9">
        <v>2.25</v>
      </c>
      <c r="L625" s="6">
        <v>0</v>
      </c>
      <c r="M625" s="6">
        <v>1</v>
      </c>
      <c r="N625" s="6">
        <v>0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  <c r="X625" s="6">
        <v>0</v>
      </c>
      <c r="Y625" s="6">
        <v>0</v>
      </c>
      <c r="Z625" s="6">
        <v>0</v>
      </c>
      <c r="AA625" s="6">
        <v>0</v>
      </c>
      <c r="AB625" s="6">
        <v>0</v>
      </c>
      <c r="AC625" s="6">
        <v>5</v>
      </c>
      <c r="AD625" s="6">
        <v>0</v>
      </c>
      <c r="AE625" s="6">
        <v>0</v>
      </c>
      <c r="AF625" s="6">
        <v>0</v>
      </c>
      <c r="AG625" s="6">
        <v>0</v>
      </c>
      <c r="AH625" s="6">
        <v>0</v>
      </c>
      <c r="AI625" s="6">
        <v>0</v>
      </c>
      <c r="AJ625" s="6">
        <v>0</v>
      </c>
      <c r="AK625" s="6">
        <v>0</v>
      </c>
      <c r="AL625" s="6">
        <v>0</v>
      </c>
      <c r="AM625" s="6">
        <v>0</v>
      </c>
      <c r="AN625" s="6">
        <v>0</v>
      </c>
      <c r="AO625" s="6">
        <v>0</v>
      </c>
      <c r="AP625" s="6">
        <v>0</v>
      </c>
      <c r="AQ625" s="6">
        <v>0</v>
      </c>
      <c r="AR625" s="6">
        <v>0</v>
      </c>
      <c r="AS625" s="6">
        <v>0</v>
      </c>
    </row>
    <row r="626" spans="1:45" x14ac:dyDescent="0.25">
      <c r="A626" s="6" t="s">
        <v>747</v>
      </c>
      <c r="B626" s="6" t="s">
        <v>746</v>
      </c>
      <c r="C626" s="14">
        <v>45758</v>
      </c>
      <c r="D626" s="6"/>
      <c r="E626" s="6" t="s">
        <v>411</v>
      </c>
      <c r="G626" s="6">
        <v>0</v>
      </c>
      <c r="H626" s="6" t="s">
        <v>76</v>
      </c>
      <c r="I626" s="9">
        <v>1.0499999999999998</v>
      </c>
      <c r="J626" s="9">
        <v>1.4</v>
      </c>
      <c r="K626" s="9">
        <v>2.4500000000000002</v>
      </c>
      <c r="L626" s="6">
        <v>3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  <c r="Y626" s="6">
        <v>0</v>
      </c>
      <c r="Z626" s="6">
        <v>0</v>
      </c>
      <c r="AA626" s="6">
        <v>0</v>
      </c>
      <c r="AB626" s="6">
        <v>0</v>
      </c>
      <c r="AC626" s="6">
        <v>4</v>
      </c>
      <c r="AD626" s="6">
        <v>0</v>
      </c>
      <c r="AE626" s="6">
        <v>0</v>
      </c>
      <c r="AF626" s="6">
        <v>0</v>
      </c>
      <c r="AG626" s="6">
        <v>0</v>
      </c>
      <c r="AH626" s="6">
        <v>0</v>
      </c>
      <c r="AI626" s="6">
        <v>0</v>
      </c>
      <c r="AJ626" s="6">
        <v>0</v>
      </c>
      <c r="AK626" s="6">
        <v>0</v>
      </c>
      <c r="AL626" s="6">
        <v>0</v>
      </c>
      <c r="AM626" s="6">
        <v>0</v>
      </c>
      <c r="AN626" s="6">
        <v>0</v>
      </c>
      <c r="AO626" s="6">
        <v>0</v>
      </c>
      <c r="AP626" s="6">
        <v>0</v>
      </c>
      <c r="AQ626" s="6">
        <v>0</v>
      </c>
      <c r="AR626" s="6">
        <v>0</v>
      </c>
      <c r="AS626" s="6">
        <v>0</v>
      </c>
    </row>
    <row r="627" spans="1:45" x14ac:dyDescent="0.25">
      <c r="A627" s="6" t="s">
        <v>751</v>
      </c>
      <c r="B627" s="6" t="s">
        <v>222</v>
      </c>
      <c r="C627" s="14">
        <v>43479</v>
      </c>
      <c r="D627" s="6"/>
      <c r="E627" s="6" t="s">
        <v>223</v>
      </c>
      <c r="G627" s="6">
        <v>0</v>
      </c>
      <c r="H627" s="6" t="s">
        <v>84</v>
      </c>
      <c r="I627" s="9">
        <v>2.2999999999999998</v>
      </c>
      <c r="J627" s="9">
        <v>0.35</v>
      </c>
      <c r="K627" s="9">
        <v>2.65</v>
      </c>
      <c r="L627" s="6">
        <v>3</v>
      </c>
      <c r="M627" s="6">
        <v>1</v>
      </c>
      <c r="N627" s="6">
        <v>1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6">
        <v>0</v>
      </c>
      <c r="Y627" s="6">
        <v>0</v>
      </c>
      <c r="Z627" s="6">
        <v>0</v>
      </c>
      <c r="AA627" s="6">
        <v>0</v>
      </c>
      <c r="AB627" s="6">
        <v>0</v>
      </c>
      <c r="AC627" s="6">
        <v>1</v>
      </c>
      <c r="AD627" s="6">
        <v>0</v>
      </c>
      <c r="AE627" s="6">
        <v>0</v>
      </c>
      <c r="AF627" s="6">
        <v>0</v>
      </c>
      <c r="AG627" s="6">
        <v>0</v>
      </c>
      <c r="AH627" s="6">
        <v>0</v>
      </c>
      <c r="AI627" s="6">
        <v>0</v>
      </c>
      <c r="AJ627" s="6">
        <v>0</v>
      </c>
      <c r="AK627" s="6">
        <v>0</v>
      </c>
      <c r="AL627" s="6">
        <v>0</v>
      </c>
      <c r="AM627" s="6">
        <v>0</v>
      </c>
      <c r="AN627" s="6">
        <v>0</v>
      </c>
      <c r="AO627" s="6">
        <v>0</v>
      </c>
      <c r="AP627" s="6">
        <v>0</v>
      </c>
      <c r="AQ627" s="6">
        <v>0</v>
      </c>
      <c r="AR627" s="6">
        <v>0</v>
      </c>
      <c r="AS627" s="6">
        <v>0</v>
      </c>
    </row>
    <row r="628" spans="1:45" x14ac:dyDescent="0.25">
      <c r="A628" s="6" t="s">
        <v>751</v>
      </c>
      <c r="B628" s="6" t="s">
        <v>224</v>
      </c>
      <c r="C628" s="14">
        <v>43482</v>
      </c>
      <c r="D628" s="6"/>
      <c r="E628" s="6" t="s">
        <v>225</v>
      </c>
      <c r="G628" s="6" t="s">
        <v>434</v>
      </c>
      <c r="H628" s="6" t="s">
        <v>84</v>
      </c>
      <c r="I628" s="9">
        <v>1</v>
      </c>
      <c r="J628" s="9">
        <v>1</v>
      </c>
      <c r="K628" s="9">
        <v>2</v>
      </c>
      <c r="L628" s="6">
        <v>0</v>
      </c>
      <c r="M628" s="6">
        <v>2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  <c r="X628" s="6">
        <v>0</v>
      </c>
      <c r="Y628" s="6">
        <v>0</v>
      </c>
      <c r="Z628" s="6">
        <v>0</v>
      </c>
      <c r="AA628" s="6">
        <v>0</v>
      </c>
      <c r="AB628" s="6">
        <v>0</v>
      </c>
      <c r="AC628" s="6">
        <v>0</v>
      </c>
      <c r="AD628" s="6">
        <v>2</v>
      </c>
      <c r="AE628" s="6">
        <v>0</v>
      </c>
      <c r="AF628" s="6">
        <v>0</v>
      </c>
      <c r="AG628" s="6">
        <v>0</v>
      </c>
      <c r="AH628" s="6">
        <v>0</v>
      </c>
      <c r="AI628" s="6">
        <v>0</v>
      </c>
      <c r="AJ628" s="6">
        <v>0</v>
      </c>
      <c r="AK628" s="6">
        <v>0</v>
      </c>
      <c r="AL628" s="6">
        <v>0</v>
      </c>
      <c r="AM628" s="6">
        <v>0</v>
      </c>
      <c r="AN628" s="6">
        <v>0</v>
      </c>
      <c r="AO628" s="6">
        <v>0</v>
      </c>
      <c r="AP628" s="6">
        <v>0</v>
      </c>
      <c r="AQ628" s="6">
        <v>0</v>
      </c>
      <c r="AR628" s="6">
        <v>0</v>
      </c>
      <c r="AS628" s="6">
        <v>0</v>
      </c>
    </row>
    <row r="629" spans="1:45" x14ac:dyDescent="0.25">
      <c r="A629" s="6" t="s">
        <v>751</v>
      </c>
      <c r="B629" s="6" t="s">
        <v>226</v>
      </c>
      <c r="C629" s="14">
        <v>43482</v>
      </c>
      <c r="D629" s="6"/>
      <c r="E629" s="6" t="s">
        <v>227</v>
      </c>
      <c r="G629" s="6" t="s">
        <v>434</v>
      </c>
      <c r="H629" s="6" t="s">
        <v>84</v>
      </c>
      <c r="I629" s="9">
        <v>1</v>
      </c>
      <c r="J629" s="9">
        <v>1</v>
      </c>
      <c r="K629" s="9">
        <v>2</v>
      </c>
      <c r="L629" s="6">
        <v>0</v>
      </c>
      <c r="M629" s="6">
        <v>2</v>
      </c>
      <c r="N629" s="6">
        <v>0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6">
        <v>0</v>
      </c>
      <c r="Z629" s="6">
        <v>0</v>
      </c>
      <c r="AA629" s="6">
        <v>0</v>
      </c>
      <c r="AB629" s="6">
        <v>0</v>
      </c>
      <c r="AC629" s="6">
        <v>0</v>
      </c>
      <c r="AD629" s="6">
        <v>2</v>
      </c>
      <c r="AE629" s="6">
        <v>0</v>
      </c>
      <c r="AF629" s="6">
        <v>0</v>
      </c>
      <c r="AG629" s="6">
        <v>0</v>
      </c>
      <c r="AH629" s="6">
        <v>0</v>
      </c>
      <c r="AI629" s="6">
        <v>0</v>
      </c>
      <c r="AJ629" s="6">
        <v>0</v>
      </c>
      <c r="AK629" s="6">
        <v>0</v>
      </c>
      <c r="AL629" s="6">
        <v>0</v>
      </c>
      <c r="AM629" s="6">
        <v>0</v>
      </c>
      <c r="AN629" s="6">
        <v>0</v>
      </c>
      <c r="AO629" s="6">
        <v>0</v>
      </c>
      <c r="AP629" s="6">
        <v>0</v>
      </c>
      <c r="AQ629" s="6">
        <v>0</v>
      </c>
      <c r="AR629" s="6">
        <v>0</v>
      </c>
      <c r="AS629" s="6">
        <v>0</v>
      </c>
    </row>
    <row r="630" spans="1:45" x14ac:dyDescent="0.25">
      <c r="A630" s="6" t="s">
        <v>751</v>
      </c>
      <c r="B630" s="6" t="s">
        <v>228</v>
      </c>
      <c r="C630" s="14">
        <v>43482</v>
      </c>
      <c r="D630" s="6"/>
      <c r="E630" s="6" t="s">
        <v>218</v>
      </c>
      <c r="G630" s="6" t="s">
        <v>434</v>
      </c>
      <c r="H630" s="6" t="s">
        <v>84</v>
      </c>
      <c r="I630" s="9">
        <v>1</v>
      </c>
      <c r="J630" s="9">
        <v>1</v>
      </c>
      <c r="K630" s="9">
        <v>2</v>
      </c>
      <c r="L630" s="6">
        <v>0</v>
      </c>
      <c r="M630" s="6">
        <v>2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  <c r="X630" s="6">
        <v>0</v>
      </c>
      <c r="Y630" s="6">
        <v>0</v>
      </c>
      <c r="Z630" s="6">
        <v>0</v>
      </c>
      <c r="AA630" s="6">
        <v>0</v>
      </c>
      <c r="AB630" s="6">
        <v>0</v>
      </c>
      <c r="AC630" s="6">
        <v>0</v>
      </c>
      <c r="AD630" s="6">
        <v>2</v>
      </c>
      <c r="AE630" s="6">
        <v>0</v>
      </c>
      <c r="AF630" s="6">
        <v>0</v>
      </c>
      <c r="AG630" s="6">
        <v>0</v>
      </c>
      <c r="AH630" s="6">
        <v>0</v>
      </c>
      <c r="AI630" s="6">
        <v>0</v>
      </c>
      <c r="AJ630" s="6">
        <v>0</v>
      </c>
      <c r="AK630" s="6">
        <v>0</v>
      </c>
      <c r="AL630" s="6">
        <v>0</v>
      </c>
      <c r="AM630" s="6">
        <v>0</v>
      </c>
      <c r="AN630" s="6">
        <v>0</v>
      </c>
      <c r="AO630" s="6">
        <v>0</v>
      </c>
      <c r="AP630" s="6">
        <v>0</v>
      </c>
      <c r="AQ630" s="6">
        <v>0</v>
      </c>
      <c r="AR630" s="6">
        <v>0</v>
      </c>
      <c r="AS630" s="6">
        <v>0</v>
      </c>
    </row>
    <row r="631" spans="1:45" x14ac:dyDescent="0.25">
      <c r="A631" s="6" t="s">
        <v>751</v>
      </c>
      <c r="B631" s="6" t="s">
        <v>229</v>
      </c>
      <c r="C631" s="14">
        <v>43482</v>
      </c>
      <c r="D631" s="6"/>
      <c r="E631" s="6" t="s">
        <v>225</v>
      </c>
      <c r="G631" s="6" t="s">
        <v>434</v>
      </c>
      <c r="H631" s="6" t="s">
        <v>84</v>
      </c>
      <c r="I631" s="9">
        <v>1.5</v>
      </c>
      <c r="J631" s="9">
        <v>0.5</v>
      </c>
      <c r="K631" s="9">
        <v>2</v>
      </c>
      <c r="L631" s="6">
        <v>0</v>
      </c>
      <c r="M631" s="6">
        <v>3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6">
        <v>0</v>
      </c>
      <c r="Y631" s="6">
        <v>0</v>
      </c>
      <c r="Z631" s="6">
        <v>0</v>
      </c>
      <c r="AA631" s="6">
        <v>0</v>
      </c>
      <c r="AB631" s="6">
        <v>0</v>
      </c>
      <c r="AC631" s="6">
        <v>0</v>
      </c>
      <c r="AD631" s="6">
        <v>1</v>
      </c>
      <c r="AE631" s="6">
        <v>0</v>
      </c>
      <c r="AF631" s="6">
        <v>0</v>
      </c>
      <c r="AG631" s="6">
        <v>0</v>
      </c>
      <c r="AH631" s="6">
        <v>0</v>
      </c>
      <c r="AI631" s="6">
        <v>0</v>
      </c>
      <c r="AJ631" s="6">
        <v>0</v>
      </c>
      <c r="AK631" s="6">
        <v>0</v>
      </c>
      <c r="AL631" s="6">
        <v>0</v>
      </c>
      <c r="AM631" s="6">
        <v>0</v>
      </c>
      <c r="AN631" s="6">
        <v>0</v>
      </c>
      <c r="AO631" s="6">
        <v>0</v>
      </c>
      <c r="AP631" s="6">
        <v>0</v>
      </c>
      <c r="AQ631" s="6">
        <v>0</v>
      </c>
      <c r="AR631" s="6">
        <v>0</v>
      </c>
      <c r="AS631" s="6">
        <v>0</v>
      </c>
    </row>
    <row r="632" spans="1:45" x14ac:dyDescent="0.25">
      <c r="A632" s="6" t="s">
        <v>751</v>
      </c>
      <c r="B632" s="6" t="s">
        <v>230</v>
      </c>
      <c r="C632" s="14">
        <v>40026</v>
      </c>
      <c r="D632" s="6"/>
      <c r="E632" s="6" t="s">
        <v>231</v>
      </c>
      <c r="G632" s="6">
        <v>0</v>
      </c>
      <c r="H632" s="6" t="s">
        <v>84</v>
      </c>
      <c r="I632" s="9">
        <v>2.65</v>
      </c>
      <c r="J632" s="9">
        <v>0.35</v>
      </c>
      <c r="K632" s="9">
        <v>3</v>
      </c>
      <c r="L632" s="6">
        <v>4</v>
      </c>
      <c r="M632" s="6">
        <v>1</v>
      </c>
      <c r="N632" s="6">
        <v>1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  <c r="X632" s="6">
        <v>0</v>
      </c>
      <c r="Y632" s="6">
        <v>0</v>
      </c>
      <c r="Z632" s="6">
        <v>0</v>
      </c>
      <c r="AA632" s="6">
        <v>0</v>
      </c>
      <c r="AB632" s="6">
        <v>0</v>
      </c>
      <c r="AC632" s="6">
        <v>1</v>
      </c>
      <c r="AD632" s="6">
        <v>0</v>
      </c>
      <c r="AE632" s="6">
        <v>0</v>
      </c>
      <c r="AF632" s="6">
        <v>0</v>
      </c>
      <c r="AG632" s="6">
        <v>0</v>
      </c>
      <c r="AH632" s="6">
        <v>0</v>
      </c>
      <c r="AI632" s="6">
        <v>0</v>
      </c>
      <c r="AJ632" s="6">
        <v>0</v>
      </c>
      <c r="AK632" s="6">
        <v>0</v>
      </c>
      <c r="AL632" s="6">
        <v>0</v>
      </c>
      <c r="AM632" s="6">
        <v>0</v>
      </c>
      <c r="AN632" s="6">
        <v>0</v>
      </c>
      <c r="AO632" s="6">
        <v>0</v>
      </c>
      <c r="AP632" s="6">
        <v>0</v>
      </c>
      <c r="AQ632" s="6">
        <v>0</v>
      </c>
      <c r="AR632" s="6">
        <v>0</v>
      </c>
      <c r="AS632" s="6">
        <v>0</v>
      </c>
    </row>
    <row r="633" spans="1:45" x14ac:dyDescent="0.25">
      <c r="A633" s="6" t="s">
        <v>751</v>
      </c>
      <c r="B633" s="6" t="s">
        <v>232</v>
      </c>
      <c r="C633" s="14">
        <v>43482</v>
      </c>
      <c r="D633" s="6"/>
      <c r="E633" s="6" t="s">
        <v>233</v>
      </c>
      <c r="G633" s="6">
        <v>0</v>
      </c>
      <c r="H633" s="6" t="s">
        <v>84</v>
      </c>
      <c r="I633" s="9">
        <v>2</v>
      </c>
      <c r="J633" s="9">
        <v>2</v>
      </c>
      <c r="K633" s="9">
        <v>4</v>
      </c>
      <c r="L633" s="6">
        <v>0</v>
      </c>
      <c r="M633" s="6">
        <v>0</v>
      </c>
      <c r="N633" s="6">
        <v>0</v>
      </c>
      <c r="O633" s="6">
        <v>2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  <c r="X633" s="6">
        <v>0</v>
      </c>
      <c r="Y633" s="6">
        <v>0</v>
      </c>
      <c r="Z633" s="6">
        <v>0</v>
      </c>
      <c r="AA633" s="6">
        <v>0</v>
      </c>
      <c r="AB633" s="6">
        <v>0</v>
      </c>
      <c r="AC633" s="6">
        <v>0</v>
      </c>
      <c r="AD633" s="6">
        <v>0</v>
      </c>
      <c r="AE633" s="6">
        <v>0</v>
      </c>
      <c r="AF633" s="6">
        <v>2</v>
      </c>
      <c r="AG633" s="6">
        <v>0</v>
      </c>
      <c r="AH633" s="6">
        <v>0</v>
      </c>
      <c r="AI633" s="6">
        <v>0</v>
      </c>
      <c r="AJ633" s="6">
        <v>0</v>
      </c>
      <c r="AK633" s="6">
        <v>0</v>
      </c>
      <c r="AL633" s="6">
        <v>0</v>
      </c>
      <c r="AM633" s="6">
        <v>0</v>
      </c>
      <c r="AN633" s="6">
        <v>0</v>
      </c>
      <c r="AO633" s="6">
        <v>0</v>
      </c>
      <c r="AP633" s="6">
        <v>0</v>
      </c>
      <c r="AQ633" s="6">
        <v>0</v>
      </c>
      <c r="AR633" s="6">
        <v>0</v>
      </c>
      <c r="AS633" s="6">
        <v>0</v>
      </c>
    </row>
    <row r="634" spans="1:45" x14ac:dyDescent="0.25">
      <c r="A634" s="6" t="s">
        <v>751</v>
      </c>
      <c r="B634" s="6" t="s">
        <v>234</v>
      </c>
      <c r="C634" s="14">
        <v>43482</v>
      </c>
      <c r="D634" s="6"/>
      <c r="E634" s="6" t="s">
        <v>233</v>
      </c>
      <c r="G634" s="6">
        <v>0</v>
      </c>
      <c r="H634" s="6" t="s">
        <v>84</v>
      </c>
      <c r="I634" s="9">
        <v>3</v>
      </c>
      <c r="J634" s="9">
        <v>1</v>
      </c>
      <c r="K634" s="9">
        <v>4</v>
      </c>
      <c r="L634" s="6">
        <v>0</v>
      </c>
      <c r="M634" s="6">
        <v>0</v>
      </c>
      <c r="N634" s="6">
        <v>0</v>
      </c>
      <c r="O634" s="6">
        <v>3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  <c r="X634" s="6">
        <v>0</v>
      </c>
      <c r="Y634" s="6">
        <v>0</v>
      </c>
      <c r="Z634" s="6">
        <v>0</v>
      </c>
      <c r="AA634" s="6">
        <v>0</v>
      </c>
      <c r="AB634" s="6">
        <v>0</v>
      </c>
      <c r="AC634" s="6">
        <v>0</v>
      </c>
      <c r="AD634" s="6">
        <v>0</v>
      </c>
      <c r="AE634" s="6">
        <v>0</v>
      </c>
      <c r="AF634" s="6">
        <v>1</v>
      </c>
      <c r="AG634" s="6">
        <v>0</v>
      </c>
      <c r="AH634" s="6">
        <v>0</v>
      </c>
      <c r="AI634" s="6">
        <v>0</v>
      </c>
      <c r="AJ634" s="6">
        <v>0</v>
      </c>
      <c r="AK634" s="6">
        <v>0</v>
      </c>
      <c r="AL634" s="6">
        <v>0</v>
      </c>
      <c r="AM634" s="6">
        <v>0</v>
      </c>
      <c r="AN634" s="6">
        <v>0</v>
      </c>
      <c r="AO634" s="6">
        <v>0</v>
      </c>
      <c r="AP634" s="6">
        <v>0</v>
      </c>
      <c r="AQ634" s="6">
        <v>0</v>
      </c>
      <c r="AR634" s="6">
        <v>0</v>
      </c>
      <c r="AS634" s="6">
        <v>0</v>
      </c>
    </row>
    <row r="635" spans="1:45" x14ac:dyDescent="0.25">
      <c r="A635" s="6" t="s">
        <v>751</v>
      </c>
      <c r="B635" s="6" t="s">
        <v>108</v>
      </c>
      <c r="C635" s="14">
        <v>39995</v>
      </c>
      <c r="D635" s="6"/>
      <c r="E635" s="6" t="s">
        <v>235</v>
      </c>
      <c r="G635" s="6">
        <v>0</v>
      </c>
      <c r="H635" s="6" t="s">
        <v>84</v>
      </c>
      <c r="I635" s="9">
        <v>0</v>
      </c>
      <c r="J635" s="9">
        <v>4</v>
      </c>
      <c r="K635" s="9">
        <v>4</v>
      </c>
      <c r="L635" s="6">
        <v>0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  <c r="Z635" s="6">
        <v>0</v>
      </c>
      <c r="AA635" s="6">
        <v>0</v>
      </c>
      <c r="AB635" s="6">
        <v>0</v>
      </c>
      <c r="AC635" s="6">
        <v>0</v>
      </c>
      <c r="AD635" s="6">
        <v>0</v>
      </c>
      <c r="AE635" s="6">
        <v>0</v>
      </c>
      <c r="AF635" s="6">
        <v>4</v>
      </c>
      <c r="AG635" s="6">
        <v>0</v>
      </c>
      <c r="AH635" s="6">
        <v>0</v>
      </c>
      <c r="AI635" s="6">
        <v>0</v>
      </c>
      <c r="AJ635" s="6">
        <v>0</v>
      </c>
      <c r="AK635" s="6">
        <v>0</v>
      </c>
      <c r="AL635" s="6">
        <v>0</v>
      </c>
      <c r="AM635" s="6">
        <v>0</v>
      </c>
      <c r="AN635" s="6">
        <v>0</v>
      </c>
      <c r="AO635" s="6">
        <v>0</v>
      </c>
      <c r="AP635" s="6">
        <v>0</v>
      </c>
      <c r="AQ635" s="6">
        <v>0</v>
      </c>
      <c r="AR635" s="6">
        <v>0</v>
      </c>
      <c r="AS635" s="6">
        <v>0</v>
      </c>
    </row>
    <row r="636" spans="1:45" x14ac:dyDescent="0.25">
      <c r="A636" s="6" t="s">
        <v>751</v>
      </c>
      <c r="B636" s="6" t="s">
        <v>236</v>
      </c>
      <c r="C636" s="14">
        <v>43482</v>
      </c>
      <c r="D636" s="6"/>
      <c r="E636" s="6" t="s">
        <v>237</v>
      </c>
      <c r="G636" s="6">
        <v>0</v>
      </c>
      <c r="H636" s="6" t="s">
        <v>84</v>
      </c>
      <c r="I636" s="9">
        <v>3</v>
      </c>
      <c r="J636" s="9">
        <v>2.5</v>
      </c>
      <c r="K636" s="9">
        <v>5.5</v>
      </c>
      <c r="L636" s="6">
        <v>0</v>
      </c>
      <c r="M636" s="6">
        <v>0</v>
      </c>
      <c r="N636" s="6">
        <v>0</v>
      </c>
      <c r="O636" s="6">
        <v>3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  <c r="X636" s="6">
        <v>0</v>
      </c>
      <c r="Y636" s="6">
        <v>0</v>
      </c>
      <c r="Z636" s="6">
        <v>0</v>
      </c>
      <c r="AA636" s="6">
        <v>0</v>
      </c>
      <c r="AB636" s="6">
        <v>0</v>
      </c>
      <c r="AC636" s="6">
        <v>0</v>
      </c>
      <c r="AD636" s="6">
        <v>3</v>
      </c>
      <c r="AE636" s="6">
        <v>0</v>
      </c>
      <c r="AF636" s="6">
        <v>1</v>
      </c>
      <c r="AG636" s="6">
        <v>0</v>
      </c>
      <c r="AH636" s="6">
        <v>0</v>
      </c>
      <c r="AI636" s="6">
        <v>0</v>
      </c>
      <c r="AJ636" s="6">
        <v>0</v>
      </c>
      <c r="AK636" s="6">
        <v>0</v>
      </c>
      <c r="AL636" s="6">
        <v>0</v>
      </c>
      <c r="AM636" s="6">
        <v>0</v>
      </c>
      <c r="AN636" s="6">
        <v>0</v>
      </c>
      <c r="AO636" s="6">
        <v>0</v>
      </c>
      <c r="AP636" s="6">
        <v>0</v>
      </c>
      <c r="AQ636" s="6">
        <v>0</v>
      </c>
      <c r="AR636" s="6">
        <v>0</v>
      </c>
      <c r="AS636" s="6">
        <v>0</v>
      </c>
    </row>
    <row r="637" spans="1:45" x14ac:dyDescent="0.25">
      <c r="A637" s="6" t="s">
        <v>751</v>
      </c>
      <c r="B637" s="6" t="s">
        <v>238</v>
      </c>
      <c r="C637" s="14">
        <v>43482</v>
      </c>
      <c r="D637" s="6"/>
      <c r="E637" s="6" t="s">
        <v>239</v>
      </c>
      <c r="G637" s="6">
        <v>0</v>
      </c>
      <c r="H637" s="6" t="s">
        <v>84</v>
      </c>
      <c r="I637" s="9">
        <v>3.25</v>
      </c>
      <c r="J637" s="9">
        <v>3</v>
      </c>
      <c r="K637" s="9">
        <v>6.25</v>
      </c>
      <c r="L637" s="6">
        <v>0</v>
      </c>
      <c r="M637" s="6">
        <v>0</v>
      </c>
      <c r="N637" s="6">
        <v>3</v>
      </c>
      <c r="O637" s="6">
        <v>1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  <c r="X637" s="6">
        <v>0</v>
      </c>
      <c r="Y637" s="6">
        <v>0</v>
      </c>
      <c r="Z637" s="6">
        <v>0</v>
      </c>
      <c r="AA637" s="6">
        <v>0</v>
      </c>
      <c r="AB637" s="6">
        <v>0</v>
      </c>
      <c r="AC637" s="6">
        <v>0</v>
      </c>
      <c r="AD637" s="6">
        <v>0</v>
      </c>
      <c r="AE637" s="6">
        <v>0</v>
      </c>
      <c r="AF637" s="6">
        <v>3</v>
      </c>
      <c r="AG637" s="6">
        <v>0</v>
      </c>
      <c r="AH637" s="6">
        <v>0</v>
      </c>
      <c r="AI637" s="6">
        <v>0</v>
      </c>
      <c r="AJ637" s="6">
        <v>0</v>
      </c>
      <c r="AK637" s="6">
        <v>0</v>
      </c>
      <c r="AL637" s="6">
        <v>0</v>
      </c>
      <c r="AM637" s="6">
        <v>0</v>
      </c>
      <c r="AN637" s="6">
        <v>0</v>
      </c>
      <c r="AO637" s="6">
        <v>0</v>
      </c>
      <c r="AP637" s="6">
        <v>0</v>
      </c>
      <c r="AQ637" s="6">
        <v>0</v>
      </c>
      <c r="AR637" s="6">
        <v>0</v>
      </c>
      <c r="AS637" s="6">
        <v>0</v>
      </c>
    </row>
    <row r="638" spans="1:45" x14ac:dyDescent="0.25">
      <c r="A638" s="6" t="s">
        <v>751</v>
      </c>
      <c r="B638" s="6" t="s">
        <v>240</v>
      </c>
      <c r="C638" s="14">
        <v>40026</v>
      </c>
      <c r="D638" s="6"/>
      <c r="E638" s="6" t="s">
        <v>241</v>
      </c>
      <c r="G638" s="6">
        <v>0</v>
      </c>
      <c r="H638" s="6" t="s">
        <v>84</v>
      </c>
      <c r="I638" s="9">
        <v>5</v>
      </c>
      <c r="J638" s="9">
        <v>1</v>
      </c>
      <c r="K638" s="9">
        <v>6</v>
      </c>
      <c r="L638" s="6">
        <v>0</v>
      </c>
      <c r="M638" s="6">
        <v>0</v>
      </c>
      <c r="N638" s="6">
        <v>0</v>
      </c>
      <c r="O638" s="6">
        <v>2</v>
      </c>
      <c r="P638" s="6">
        <v>0</v>
      </c>
      <c r="Q638" s="6">
        <v>0</v>
      </c>
      <c r="R638" s="6">
        <v>0</v>
      </c>
      <c r="S638" s="6">
        <v>1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6">
        <v>0</v>
      </c>
      <c r="Z638" s="6">
        <v>0</v>
      </c>
      <c r="AA638" s="6">
        <v>0</v>
      </c>
      <c r="AB638" s="6">
        <v>0</v>
      </c>
      <c r="AC638" s="6">
        <v>0</v>
      </c>
      <c r="AD638" s="6">
        <v>2</v>
      </c>
      <c r="AE638" s="6">
        <v>0</v>
      </c>
      <c r="AF638" s="6">
        <v>0</v>
      </c>
      <c r="AG638" s="6">
        <v>0</v>
      </c>
      <c r="AH638" s="6">
        <v>0</v>
      </c>
      <c r="AI638" s="6">
        <v>0</v>
      </c>
      <c r="AJ638" s="6">
        <v>0</v>
      </c>
      <c r="AK638" s="6">
        <v>0</v>
      </c>
      <c r="AL638" s="6">
        <v>0</v>
      </c>
      <c r="AM638" s="6">
        <v>0</v>
      </c>
      <c r="AN638" s="6">
        <v>0</v>
      </c>
      <c r="AO638" s="6">
        <v>0</v>
      </c>
      <c r="AP638" s="6">
        <v>0</v>
      </c>
      <c r="AQ638" s="6">
        <v>0</v>
      </c>
      <c r="AR638" s="6">
        <v>0</v>
      </c>
      <c r="AS638" s="6">
        <v>0</v>
      </c>
    </row>
    <row r="639" spans="1:45" x14ac:dyDescent="0.25">
      <c r="A639" s="6" t="s">
        <v>751</v>
      </c>
      <c r="B639" s="6" t="s">
        <v>242</v>
      </c>
      <c r="C639" s="14">
        <v>43482</v>
      </c>
      <c r="D639" s="6"/>
      <c r="E639" s="6" t="s">
        <v>243</v>
      </c>
      <c r="G639" s="6" t="s">
        <v>92</v>
      </c>
      <c r="H639" s="6"/>
      <c r="I639" s="9">
        <v>0.7</v>
      </c>
      <c r="J639" s="9">
        <v>0</v>
      </c>
      <c r="K639" s="9">
        <v>0.7</v>
      </c>
      <c r="L639" s="6">
        <v>2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  <c r="X639" s="6">
        <v>0</v>
      </c>
      <c r="Y639" s="6">
        <v>0</v>
      </c>
      <c r="Z639" s="6">
        <v>0</v>
      </c>
      <c r="AA639" s="6">
        <v>0</v>
      </c>
      <c r="AB639" s="6">
        <v>0</v>
      </c>
      <c r="AC639" s="6">
        <v>0</v>
      </c>
      <c r="AD639" s="6">
        <v>0</v>
      </c>
      <c r="AE639" s="6">
        <v>0</v>
      </c>
      <c r="AF639" s="6">
        <v>0</v>
      </c>
      <c r="AG639" s="6">
        <v>0</v>
      </c>
      <c r="AH639" s="6">
        <v>0</v>
      </c>
      <c r="AI639" s="6">
        <v>0</v>
      </c>
      <c r="AJ639" s="6">
        <v>0</v>
      </c>
      <c r="AK639" s="6">
        <v>0</v>
      </c>
      <c r="AL639" s="6">
        <v>0</v>
      </c>
      <c r="AM639" s="6">
        <v>0</v>
      </c>
      <c r="AN639" s="6">
        <v>0</v>
      </c>
      <c r="AO639" s="6">
        <v>0</v>
      </c>
      <c r="AP639" s="6">
        <v>0</v>
      </c>
      <c r="AQ639" s="6">
        <v>0</v>
      </c>
      <c r="AR639" s="6">
        <v>0</v>
      </c>
      <c r="AS639" s="6">
        <v>0</v>
      </c>
    </row>
    <row r="640" spans="1:45" x14ac:dyDescent="0.25">
      <c r="A640" s="6" t="s">
        <v>751</v>
      </c>
      <c r="B640" s="6" t="s">
        <v>244</v>
      </c>
      <c r="C640" s="14">
        <v>43482</v>
      </c>
      <c r="D640" s="6"/>
      <c r="E640" s="6" t="s">
        <v>245</v>
      </c>
      <c r="G640" s="6">
        <v>0</v>
      </c>
      <c r="H640" s="6" t="s">
        <v>92</v>
      </c>
      <c r="I640" s="9">
        <v>3</v>
      </c>
      <c r="J640" s="9">
        <v>1</v>
      </c>
      <c r="K640" s="9">
        <v>4</v>
      </c>
      <c r="L640" s="6">
        <v>0</v>
      </c>
      <c r="M640" s="6">
        <v>6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  <c r="X640" s="6">
        <v>0</v>
      </c>
      <c r="Y640" s="6">
        <v>0</v>
      </c>
      <c r="Z640" s="6">
        <v>0</v>
      </c>
      <c r="AA640" s="6">
        <v>0</v>
      </c>
      <c r="AB640" s="6">
        <v>0</v>
      </c>
      <c r="AC640" s="6">
        <v>0</v>
      </c>
      <c r="AD640" s="6">
        <v>2</v>
      </c>
      <c r="AE640" s="6">
        <v>0</v>
      </c>
      <c r="AF640" s="6">
        <v>0</v>
      </c>
      <c r="AG640" s="6">
        <v>0</v>
      </c>
      <c r="AH640" s="6">
        <v>0</v>
      </c>
      <c r="AI640" s="6">
        <v>0</v>
      </c>
      <c r="AJ640" s="6">
        <v>0</v>
      </c>
      <c r="AK640" s="6">
        <v>0</v>
      </c>
      <c r="AL640" s="6">
        <v>0</v>
      </c>
      <c r="AM640" s="6">
        <v>0</v>
      </c>
      <c r="AN640" s="6">
        <v>0</v>
      </c>
      <c r="AO640" s="6">
        <v>0</v>
      </c>
      <c r="AP640" s="6">
        <v>0</v>
      </c>
      <c r="AQ640" s="6">
        <v>0</v>
      </c>
      <c r="AR640" s="6">
        <v>0</v>
      </c>
      <c r="AS640" s="6">
        <v>0</v>
      </c>
    </row>
    <row r="641" spans="1:45" x14ac:dyDescent="0.25">
      <c r="A641" s="6" t="s">
        <v>751</v>
      </c>
      <c r="B641" s="6" t="s">
        <v>246</v>
      </c>
      <c r="C641" s="14">
        <v>40057</v>
      </c>
      <c r="D641" s="6"/>
      <c r="E641" s="6" t="s">
        <v>247</v>
      </c>
      <c r="G641" s="6">
        <v>0</v>
      </c>
      <c r="H641" s="6" t="s">
        <v>92</v>
      </c>
      <c r="I641" s="9">
        <v>5.75</v>
      </c>
      <c r="J641" s="9">
        <v>0.5</v>
      </c>
      <c r="K641" s="9">
        <v>6.25</v>
      </c>
      <c r="L641" s="6">
        <v>0</v>
      </c>
      <c r="M641" s="6">
        <v>1</v>
      </c>
      <c r="N641" s="6">
        <v>1</v>
      </c>
      <c r="O641" s="6">
        <v>1</v>
      </c>
      <c r="P641" s="6">
        <v>1</v>
      </c>
      <c r="Q641" s="6">
        <v>1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  <c r="X641" s="6">
        <v>0</v>
      </c>
      <c r="Y641" s="6">
        <v>0</v>
      </c>
      <c r="Z641" s="6">
        <v>0</v>
      </c>
      <c r="AA641" s="6">
        <v>0</v>
      </c>
      <c r="AB641" s="6">
        <v>0</v>
      </c>
      <c r="AC641" s="6">
        <v>0</v>
      </c>
      <c r="AD641" s="6">
        <v>1</v>
      </c>
      <c r="AE641" s="6">
        <v>0</v>
      </c>
      <c r="AF641" s="6">
        <v>0</v>
      </c>
      <c r="AG641" s="6">
        <v>0</v>
      </c>
      <c r="AH641" s="6">
        <v>0</v>
      </c>
      <c r="AI641" s="6">
        <v>0</v>
      </c>
      <c r="AJ641" s="6">
        <v>0</v>
      </c>
      <c r="AK641" s="6">
        <v>0</v>
      </c>
      <c r="AL641" s="6">
        <v>0</v>
      </c>
      <c r="AM641" s="6">
        <v>0</v>
      </c>
      <c r="AN641" s="6">
        <v>0</v>
      </c>
      <c r="AO641" s="6">
        <v>0</v>
      </c>
      <c r="AP641" s="6">
        <v>0</v>
      </c>
      <c r="AQ641" s="6">
        <v>0</v>
      </c>
      <c r="AR641" s="6">
        <v>0</v>
      </c>
      <c r="AS641" s="6">
        <v>0</v>
      </c>
    </row>
    <row r="642" spans="1:45" x14ac:dyDescent="0.25">
      <c r="A642" s="6" t="s">
        <v>751</v>
      </c>
      <c r="B642" s="6" t="s">
        <v>248</v>
      </c>
      <c r="C642" s="14">
        <v>43479</v>
      </c>
      <c r="D642" s="6"/>
      <c r="E642" s="6" t="s">
        <v>249</v>
      </c>
      <c r="G642" s="6">
        <v>0</v>
      </c>
      <c r="H642" s="6" t="s">
        <v>94</v>
      </c>
      <c r="I642" s="9">
        <v>0.7</v>
      </c>
      <c r="J642" s="9">
        <v>0.35</v>
      </c>
      <c r="K642" s="9">
        <v>1.05</v>
      </c>
      <c r="L642" s="6">
        <v>2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6">
        <v>0</v>
      </c>
      <c r="AC642" s="6">
        <v>1</v>
      </c>
      <c r="AD642" s="6">
        <v>0</v>
      </c>
      <c r="AE642" s="6">
        <v>0</v>
      </c>
      <c r="AF642" s="6">
        <v>0</v>
      </c>
      <c r="AG642" s="6">
        <v>0</v>
      </c>
      <c r="AH642" s="6">
        <v>0</v>
      </c>
      <c r="AI642" s="6">
        <v>0</v>
      </c>
      <c r="AJ642" s="6">
        <v>0</v>
      </c>
      <c r="AK642" s="6">
        <v>0</v>
      </c>
      <c r="AL642" s="6">
        <v>0</v>
      </c>
      <c r="AM642" s="6">
        <v>0</v>
      </c>
      <c r="AN642" s="6">
        <v>0</v>
      </c>
      <c r="AO642" s="6">
        <v>0</v>
      </c>
      <c r="AP642" s="6">
        <v>0</v>
      </c>
      <c r="AQ642" s="6">
        <v>0</v>
      </c>
      <c r="AR642" s="6">
        <v>0</v>
      </c>
      <c r="AS642" s="6">
        <v>0</v>
      </c>
    </row>
    <row r="643" spans="1:45" x14ac:dyDescent="0.25">
      <c r="A643" s="6" t="s">
        <v>751</v>
      </c>
      <c r="B643" s="6" t="s">
        <v>250</v>
      </c>
      <c r="C643" s="14">
        <v>43479</v>
      </c>
      <c r="D643" s="6"/>
      <c r="E643" s="6" t="s">
        <v>251</v>
      </c>
      <c r="G643" s="6">
        <v>0</v>
      </c>
      <c r="H643" s="6" t="s">
        <v>252</v>
      </c>
      <c r="I643" s="9">
        <v>0.7</v>
      </c>
      <c r="J643" s="9">
        <v>0.35</v>
      </c>
      <c r="K643" s="9">
        <v>1.05</v>
      </c>
      <c r="L643" s="6">
        <v>2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  <c r="X643" s="6">
        <v>0</v>
      </c>
      <c r="Y643" s="6">
        <v>0</v>
      </c>
      <c r="Z643" s="6">
        <v>0</v>
      </c>
      <c r="AA643" s="6">
        <v>0</v>
      </c>
      <c r="AB643" s="6">
        <v>0</v>
      </c>
      <c r="AC643" s="6">
        <v>1</v>
      </c>
      <c r="AD643" s="6">
        <v>0</v>
      </c>
      <c r="AE643" s="6">
        <v>0</v>
      </c>
      <c r="AF643" s="6">
        <v>0</v>
      </c>
      <c r="AG643" s="6">
        <v>0</v>
      </c>
      <c r="AH643" s="6">
        <v>0</v>
      </c>
      <c r="AI643" s="6">
        <v>0</v>
      </c>
      <c r="AJ643" s="6">
        <v>0</v>
      </c>
      <c r="AK643" s="6">
        <v>0</v>
      </c>
      <c r="AL643" s="6">
        <v>0</v>
      </c>
      <c r="AM643" s="6">
        <v>0</v>
      </c>
      <c r="AN643" s="6">
        <v>0</v>
      </c>
      <c r="AO643" s="6">
        <v>0</v>
      </c>
      <c r="AP643" s="6">
        <v>0</v>
      </c>
      <c r="AQ643" s="6">
        <v>0</v>
      </c>
      <c r="AR643" s="6">
        <v>0</v>
      </c>
      <c r="AS643" s="6">
        <v>0</v>
      </c>
    </row>
    <row r="644" spans="1:45" x14ac:dyDescent="0.25">
      <c r="A644" s="6" t="s">
        <v>751</v>
      </c>
      <c r="B644" s="6" t="s">
        <v>253</v>
      </c>
      <c r="C644" s="14">
        <v>43480</v>
      </c>
      <c r="D644" s="6"/>
      <c r="E644" s="6" t="s">
        <v>254</v>
      </c>
      <c r="G644" s="6">
        <v>0</v>
      </c>
      <c r="H644" s="6" t="s">
        <v>252</v>
      </c>
      <c r="I644" s="9">
        <v>0.35</v>
      </c>
      <c r="J644" s="9">
        <v>0.7</v>
      </c>
      <c r="K644" s="9">
        <v>1.05</v>
      </c>
      <c r="L644" s="6">
        <v>1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  <c r="X644" s="6">
        <v>0</v>
      </c>
      <c r="Y644" s="6">
        <v>0</v>
      </c>
      <c r="Z644" s="6">
        <v>0</v>
      </c>
      <c r="AA644" s="6">
        <v>0</v>
      </c>
      <c r="AB644" s="6">
        <v>0</v>
      </c>
      <c r="AC644" s="6">
        <v>2</v>
      </c>
      <c r="AD644" s="6">
        <v>0</v>
      </c>
      <c r="AE644" s="6">
        <v>0</v>
      </c>
      <c r="AF644" s="6">
        <v>0</v>
      </c>
      <c r="AG644" s="6">
        <v>0</v>
      </c>
      <c r="AH644" s="6">
        <v>0</v>
      </c>
      <c r="AI644" s="6">
        <v>0</v>
      </c>
      <c r="AJ644" s="6">
        <v>0</v>
      </c>
      <c r="AK644" s="6">
        <v>0</v>
      </c>
      <c r="AL644" s="6">
        <v>0</v>
      </c>
      <c r="AM644" s="6">
        <v>0</v>
      </c>
      <c r="AN644" s="6">
        <v>0</v>
      </c>
      <c r="AO644" s="6">
        <v>0</v>
      </c>
      <c r="AP644" s="6">
        <v>0</v>
      </c>
      <c r="AQ644" s="6">
        <v>0</v>
      </c>
      <c r="AR644" s="6">
        <v>0</v>
      </c>
      <c r="AS644" s="6">
        <v>0</v>
      </c>
    </row>
    <row r="645" spans="1:45" x14ac:dyDescent="0.25">
      <c r="A645" s="6" t="s">
        <v>751</v>
      </c>
      <c r="B645" s="6" t="s">
        <v>255</v>
      </c>
      <c r="C645" s="14">
        <v>43480</v>
      </c>
      <c r="D645" s="6"/>
      <c r="E645" s="6" t="s">
        <v>256</v>
      </c>
      <c r="G645" s="6">
        <v>0</v>
      </c>
      <c r="H645" s="6" t="s">
        <v>252</v>
      </c>
      <c r="I645" s="9">
        <v>0.35</v>
      </c>
      <c r="J645" s="9">
        <v>0.7</v>
      </c>
      <c r="K645" s="9">
        <v>1.05</v>
      </c>
      <c r="L645" s="6">
        <v>1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  <c r="X645" s="6">
        <v>0</v>
      </c>
      <c r="Y645" s="6">
        <v>0</v>
      </c>
      <c r="Z645" s="6">
        <v>0</v>
      </c>
      <c r="AA645" s="6">
        <v>0</v>
      </c>
      <c r="AB645" s="6">
        <v>0</v>
      </c>
      <c r="AC645" s="6">
        <v>2</v>
      </c>
      <c r="AD645" s="6">
        <v>0</v>
      </c>
      <c r="AE645" s="6">
        <v>0</v>
      </c>
      <c r="AF645" s="6">
        <v>0</v>
      </c>
      <c r="AG645" s="6">
        <v>0</v>
      </c>
      <c r="AH645" s="6">
        <v>0</v>
      </c>
      <c r="AI645" s="6">
        <v>0</v>
      </c>
      <c r="AJ645" s="6">
        <v>0</v>
      </c>
      <c r="AK645" s="6">
        <v>0</v>
      </c>
      <c r="AL645" s="6">
        <v>0</v>
      </c>
      <c r="AM645" s="6">
        <v>0</v>
      </c>
      <c r="AN645" s="6">
        <v>0</v>
      </c>
      <c r="AO645" s="6">
        <v>0</v>
      </c>
      <c r="AP645" s="6">
        <v>0</v>
      </c>
      <c r="AQ645" s="6">
        <v>0</v>
      </c>
      <c r="AR645" s="6">
        <v>0</v>
      </c>
      <c r="AS645" s="6">
        <v>0</v>
      </c>
    </row>
    <row r="646" spans="1:45" x14ac:dyDescent="0.25">
      <c r="A646" s="6" t="s">
        <v>751</v>
      </c>
      <c r="B646" s="6" t="s">
        <v>257</v>
      </c>
      <c r="C646" s="14">
        <v>43480</v>
      </c>
      <c r="D646" s="6"/>
      <c r="E646" s="6" t="s">
        <v>258</v>
      </c>
      <c r="G646" s="6">
        <v>0</v>
      </c>
      <c r="H646" s="6" t="s">
        <v>252</v>
      </c>
      <c r="I646" s="9">
        <v>0.7</v>
      </c>
      <c r="J646" s="9">
        <v>0.35</v>
      </c>
      <c r="K646" s="9">
        <v>1.05</v>
      </c>
      <c r="L646" s="6">
        <v>2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  <c r="X646" s="6">
        <v>0</v>
      </c>
      <c r="Y646" s="6">
        <v>0</v>
      </c>
      <c r="Z646" s="6">
        <v>0</v>
      </c>
      <c r="AA646" s="6">
        <v>0</v>
      </c>
      <c r="AB646" s="6">
        <v>0</v>
      </c>
      <c r="AC646" s="6">
        <v>1</v>
      </c>
      <c r="AD646" s="6">
        <v>0</v>
      </c>
      <c r="AE646" s="6">
        <v>0</v>
      </c>
      <c r="AF646" s="6">
        <v>0</v>
      </c>
      <c r="AG646" s="6">
        <v>0</v>
      </c>
      <c r="AH646" s="6">
        <v>0</v>
      </c>
      <c r="AI646" s="6">
        <v>0</v>
      </c>
      <c r="AJ646" s="6">
        <v>0</v>
      </c>
      <c r="AK646" s="6">
        <v>0</v>
      </c>
      <c r="AL646" s="6">
        <v>0</v>
      </c>
      <c r="AM646" s="6">
        <v>0</v>
      </c>
      <c r="AN646" s="6">
        <v>0</v>
      </c>
      <c r="AO646" s="6">
        <v>0</v>
      </c>
      <c r="AP646" s="6">
        <v>0</v>
      </c>
      <c r="AQ646" s="6">
        <v>0</v>
      </c>
      <c r="AR646" s="6">
        <v>0</v>
      </c>
      <c r="AS646" s="6">
        <v>0</v>
      </c>
    </row>
    <row r="647" spans="1:45" x14ac:dyDescent="0.25">
      <c r="A647" s="6" t="s">
        <v>751</v>
      </c>
      <c r="B647" s="6" t="s">
        <v>259</v>
      </c>
      <c r="C647" s="14">
        <v>43481</v>
      </c>
      <c r="D647" s="6"/>
      <c r="E647" s="6" t="s">
        <v>260</v>
      </c>
      <c r="G647" s="6">
        <v>0</v>
      </c>
      <c r="H647" s="6" t="s">
        <v>252</v>
      </c>
      <c r="I647" s="9">
        <v>0.7</v>
      </c>
      <c r="J647" s="9">
        <v>0.35</v>
      </c>
      <c r="K647" s="9">
        <v>1.05</v>
      </c>
      <c r="L647" s="6">
        <v>2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6">
        <v>0</v>
      </c>
      <c r="AA647" s="6">
        <v>0</v>
      </c>
      <c r="AB647" s="6">
        <v>0</v>
      </c>
      <c r="AC647" s="6">
        <v>1</v>
      </c>
      <c r="AD647" s="6">
        <v>0</v>
      </c>
      <c r="AE647" s="6">
        <v>0</v>
      </c>
      <c r="AF647" s="6">
        <v>0</v>
      </c>
      <c r="AG647" s="6">
        <v>0</v>
      </c>
      <c r="AH647" s="6">
        <v>0</v>
      </c>
      <c r="AI647" s="6">
        <v>0</v>
      </c>
      <c r="AJ647" s="6">
        <v>0</v>
      </c>
      <c r="AK647" s="6">
        <v>0</v>
      </c>
      <c r="AL647" s="6">
        <v>0</v>
      </c>
      <c r="AM647" s="6">
        <v>0</v>
      </c>
      <c r="AN647" s="6">
        <v>0</v>
      </c>
      <c r="AO647" s="6">
        <v>0</v>
      </c>
      <c r="AP647" s="6">
        <v>0</v>
      </c>
      <c r="AQ647" s="6">
        <v>0</v>
      </c>
      <c r="AR647" s="6">
        <v>0</v>
      </c>
      <c r="AS647" s="6">
        <v>0</v>
      </c>
    </row>
    <row r="648" spans="1:45" x14ac:dyDescent="0.25">
      <c r="A648" s="6" t="s">
        <v>751</v>
      </c>
      <c r="B648" s="6" t="s">
        <v>261</v>
      </c>
      <c r="C648" s="14">
        <v>43482</v>
      </c>
      <c r="D648" s="6"/>
      <c r="E648" s="6" t="s">
        <v>262</v>
      </c>
      <c r="G648" s="6">
        <v>0</v>
      </c>
      <c r="H648" s="6" t="s">
        <v>252</v>
      </c>
      <c r="I648" s="9">
        <v>0.7</v>
      </c>
      <c r="J648" s="9">
        <v>0.35</v>
      </c>
      <c r="K648" s="9">
        <v>1.05</v>
      </c>
      <c r="L648" s="6">
        <v>2</v>
      </c>
      <c r="M648" s="6">
        <v>0</v>
      </c>
      <c r="N648" s="6">
        <v>0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6">
        <v>0</v>
      </c>
      <c r="AC648" s="6">
        <v>1</v>
      </c>
      <c r="AD648" s="6">
        <v>0</v>
      </c>
      <c r="AE648" s="6">
        <v>0</v>
      </c>
      <c r="AF648" s="6">
        <v>0</v>
      </c>
      <c r="AG648" s="6">
        <v>0</v>
      </c>
      <c r="AH648" s="6">
        <v>0</v>
      </c>
      <c r="AI648" s="6">
        <v>0</v>
      </c>
      <c r="AJ648" s="6">
        <v>0</v>
      </c>
      <c r="AK648" s="6">
        <v>0</v>
      </c>
      <c r="AL648" s="6">
        <v>0</v>
      </c>
      <c r="AM648" s="6">
        <v>0</v>
      </c>
      <c r="AN648" s="6">
        <v>0</v>
      </c>
      <c r="AO648" s="6">
        <v>0</v>
      </c>
      <c r="AP648" s="6">
        <v>0</v>
      </c>
      <c r="AQ648" s="6">
        <v>0</v>
      </c>
      <c r="AR648" s="6">
        <v>0</v>
      </c>
      <c r="AS648" s="6">
        <v>0</v>
      </c>
    </row>
    <row r="649" spans="1:45" x14ac:dyDescent="0.25">
      <c r="A649" s="6" t="s">
        <v>751</v>
      </c>
      <c r="B649" s="6" t="s">
        <v>263</v>
      </c>
      <c r="C649" s="14">
        <v>43482</v>
      </c>
      <c r="D649" s="6"/>
      <c r="E649" s="6" t="s">
        <v>264</v>
      </c>
      <c r="G649" s="6">
        <v>0</v>
      </c>
      <c r="H649" s="6" t="s">
        <v>252</v>
      </c>
      <c r="I649" s="9">
        <v>0.7</v>
      </c>
      <c r="J649" s="9">
        <v>0.35</v>
      </c>
      <c r="K649" s="9">
        <v>1.05</v>
      </c>
      <c r="L649" s="6">
        <v>2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  <c r="X649" s="6">
        <v>0</v>
      </c>
      <c r="Y649" s="6">
        <v>0</v>
      </c>
      <c r="Z649" s="6">
        <v>0</v>
      </c>
      <c r="AA649" s="6">
        <v>0</v>
      </c>
      <c r="AB649" s="6">
        <v>0</v>
      </c>
      <c r="AC649" s="6">
        <v>1</v>
      </c>
      <c r="AD649" s="6">
        <v>0</v>
      </c>
      <c r="AE649" s="6">
        <v>0</v>
      </c>
      <c r="AF649" s="6">
        <v>0</v>
      </c>
      <c r="AG649" s="6">
        <v>0</v>
      </c>
      <c r="AH649" s="6">
        <v>0</v>
      </c>
      <c r="AI649" s="6">
        <v>0</v>
      </c>
      <c r="AJ649" s="6">
        <v>0</v>
      </c>
      <c r="AK649" s="6">
        <v>0</v>
      </c>
      <c r="AL649" s="6">
        <v>0</v>
      </c>
      <c r="AM649" s="6">
        <v>0</v>
      </c>
      <c r="AN649" s="6">
        <v>0</v>
      </c>
      <c r="AO649" s="6">
        <v>0</v>
      </c>
      <c r="AP649" s="6">
        <v>0</v>
      </c>
      <c r="AQ649" s="6">
        <v>0</v>
      </c>
      <c r="AR649" s="6">
        <v>0</v>
      </c>
      <c r="AS649" s="6">
        <v>0</v>
      </c>
    </row>
    <row r="650" spans="1:45" x14ac:dyDescent="0.25">
      <c r="A650" s="6" t="s">
        <v>751</v>
      </c>
      <c r="B650" s="6" t="s">
        <v>265</v>
      </c>
      <c r="C650" s="14">
        <v>40026</v>
      </c>
      <c r="D650" s="6"/>
      <c r="E650" s="6" t="s">
        <v>266</v>
      </c>
      <c r="G650" s="6">
        <v>0</v>
      </c>
      <c r="H650" s="6" t="s">
        <v>252</v>
      </c>
      <c r="I650" s="9">
        <v>1.1000000000000001</v>
      </c>
      <c r="J650" s="9">
        <v>0</v>
      </c>
      <c r="K650" s="9">
        <v>1.1000000000000001</v>
      </c>
      <c r="L650" s="6">
        <v>1</v>
      </c>
      <c r="M650" s="6">
        <v>0</v>
      </c>
      <c r="N650" s="6">
        <v>1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  <c r="X650" s="6">
        <v>0</v>
      </c>
      <c r="Y650" s="6">
        <v>0</v>
      </c>
      <c r="Z650" s="6">
        <v>0</v>
      </c>
      <c r="AA650" s="6">
        <v>0</v>
      </c>
      <c r="AB650" s="6">
        <v>0</v>
      </c>
      <c r="AC650" s="6">
        <v>0</v>
      </c>
      <c r="AD650" s="6">
        <v>0</v>
      </c>
      <c r="AE650" s="6">
        <v>0</v>
      </c>
      <c r="AF650" s="6">
        <v>0</v>
      </c>
      <c r="AG650" s="6">
        <v>0</v>
      </c>
      <c r="AH650" s="6">
        <v>0</v>
      </c>
      <c r="AI650" s="6">
        <v>0</v>
      </c>
      <c r="AJ650" s="6">
        <v>0</v>
      </c>
      <c r="AK650" s="6">
        <v>0</v>
      </c>
      <c r="AL650" s="6">
        <v>0</v>
      </c>
      <c r="AM650" s="6">
        <v>0</v>
      </c>
      <c r="AN650" s="6">
        <v>0</v>
      </c>
      <c r="AO650" s="6">
        <v>0</v>
      </c>
      <c r="AP650" s="6">
        <v>0</v>
      </c>
      <c r="AQ650" s="6">
        <v>0</v>
      </c>
      <c r="AR650" s="6">
        <v>0</v>
      </c>
      <c r="AS650" s="6">
        <v>0</v>
      </c>
    </row>
    <row r="651" spans="1:45" x14ac:dyDescent="0.25">
      <c r="A651" s="6" t="s">
        <v>751</v>
      </c>
      <c r="B651" s="6" t="s">
        <v>267</v>
      </c>
      <c r="C651" s="14">
        <v>43480</v>
      </c>
      <c r="D651" s="6"/>
      <c r="E651" s="6" t="s">
        <v>268</v>
      </c>
      <c r="G651" s="6">
        <v>0</v>
      </c>
      <c r="H651" s="6" t="s">
        <v>252</v>
      </c>
      <c r="I651" s="9">
        <v>0.85</v>
      </c>
      <c r="J651" s="9">
        <v>0.35</v>
      </c>
      <c r="K651" s="9">
        <v>1.2</v>
      </c>
      <c r="L651" s="6">
        <v>1</v>
      </c>
      <c r="M651" s="6">
        <v>1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  <c r="X651" s="6">
        <v>0</v>
      </c>
      <c r="Y651" s="6">
        <v>0</v>
      </c>
      <c r="Z651" s="6">
        <v>0</v>
      </c>
      <c r="AA651" s="6">
        <v>0</v>
      </c>
      <c r="AB651" s="6">
        <v>0</v>
      </c>
      <c r="AC651" s="6">
        <v>1</v>
      </c>
      <c r="AD651" s="6">
        <v>0</v>
      </c>
      <c r="AE651" s="6">
        <v>0</v>
      </c>
      <c r="AF651" s="6">
        <v>0</v>
      </c>
      <c r="AG651" s="6">
        <v>0</v>
      </c>
      <c r="AH651" s="6">
        <v>0</v>
      </c>
      <c r="AI651" s="6">
        <v>0</v>
      </c>
      <c r="AJ651" s="6">
        <v>0</v>
      </c>
      <c r="AK651" s="6">
        <v>0</v>
      </c>
      <c r="AL651" s="6">
        <v>0</v>
      </c>
      <c r="AM651" s="6">
        <v>0</v>
      </c>
      <c r="AN651" s="6">
        <v>0</v>
      </c>
      <c r="AO651" s="6">
        <v>0</v>
      </c>
      <c r="AP651" s="6">
        <v>0</v>
      </c>
      <c r="AQ651" s="6">
        <v>0</v>
      </c>
      <c r="AR651" s="6">
        <v>0</v>
      </c>
      <c r="AS651" s="6">
        <v>0</v>
      </c>
    </row>
    <row r="652" spans="1:45" x14ac:dyDescent="0.25">
      <c r="A652" s="6" t="s">
        <v>751</v>
      </c>
      <c r="B652" s="6" t="s">
        <v>269</v>
      </c>
      <c r="C652" s="14">
        <v>43481</v>
      </c>
      <c r="D652" s="6"/>
      <c r="E652" s="6" t="s">
        <v>270</v>
      </c>
      <c r="G652" s="6">
        <v>0</v>
      </c>
      <c r="H652" s="6" t="s">
        <v>252</v>
      </c>
      <c r="I652" s="9">
        <v>0.5</v>
      </c>
      <c r="J652" s="9">
        <v>0.7</v>
      </c>
      <c r="K652" s="9">
        <v>1.2</v>
      </c>
      <c r="L652" s="6">
        <v>0</v>
      </c>
      <c r="M652" s="6">
        <v>1</v>
      </c>
      <c r="N652" s="6">
        <v>0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  <c r="X652" s="6">
        <v>0</v>
      </c>
      <c r="Y652" s="6">
        <v>0</v>
      </c>
      <c r="Z652" s="6">
        <v>0</v>
      </c>
      <c r="AA652" s="6">
        <v>0</v>
      </c>
      <c r="AB652" s="6">
        <v>0</v>
      </c>
      <c r="AC652" s="6">
        <v>2</v>
      </c>
      <c r="AD652" s="6">
        <v>0</v>
      </c>
      <c r="AE652" s="6">
        <v>0</v>
      </c>
      <c r="AF652" s="6">
        <v>0</v>
      </c>
      <c r="AG652" s="6">
        <v>0</v>
      </c>
      <c r="AH652" s="6">
        <v>0</v>
      </c>
      <c r="AI652" s="6">
        <v>0</v>
      </c>
      <c r="AJ652" s="6">
        <v>0</v>
      </c>
      <c r="AK652" s="6">
        <v>0</v>
      </c>
      <c r="AL652" s="6">
        <v>0</v>
      </c>
      <c r="AM652" s="6">
        <v>0</v>
      </c>
      <c r="AN652" s="6">
        <v>0</v>
      </c>
      <c r="AO652" s="6">
        <v>0</v>
      </c>
      <c r="AP652" s="6">
        <v>0</v>
      </c>
      <c r="AQ652" s="6">
        <v>0</v>
      </c>
      <c r="AR652" s="6">
        <v>0</v>
      </c>
      <c r="AS652" s="6">
        <v>0</v>
      </c>
    </row>
    <row r="653" spans="1:45" x14ac:dyDescent="0.25">
      <c r="A653" s="6" t="s">
        <v>751</v>
      </c>
      <c r="B653" s="6" t="s">
        <v>271</v>
      </c>
      <c r="C653" s="14">
        <v>43481</v>
      </c>
      <c r="D653" s="6"/>
      <c r="E653" s="6" t="s">
        <v>272</v>
      </c>
      <c r="G653" s="6">
        <v>0</v>
      </c>
      <c r="H653" s="6" t="s">
        <v>252</v>
      </c>
      <c r="I653" s="9">
        <v>0.7</v>
      </c>
      <c r="J653" s="9">
        <v>0.5</v>
      </c>
      <c r="K653" s="9">
        <v>1.2</v>
      </c>
      <c r="L653" s="6">
        <v>2</v>
      </c>
      <c r="M653" s="6">
        <v>0</v>
      </c>
      <c r="N653" s="6">
        <v>0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  <c r="X653" s="6">
        <v>0</v>
      </c>
      <c r="Y653" s="6">
        <v>0</v>
      </c>
      <c r="Z653" s="6">
        <v>0</v>
      </c>
      <c r="AA653" s="6">
        <v>0</v>
      </c>
      <c r="AB653" s="6">
        <v>0</v>
      </c>
      <c r="AC653" s="6">
        <v>0</v>
      </c>
      <c r="AD653" s="6">
        <v>1</v>
      </c>
      <c r="AE653" s="6">
        <v>0</v>
      </c>
      <c r="AF653" s="6">
        <v>0</v>
      </c>
      <c r="AG653" s="6">
        <v>0</v>
      </c>
      <c r="AH653" s="6">
        <v>0</v>
      </c>
      <c r="AI653" s="6">
        <v>0</v>
      </c>
      <c r="AJ653" s="6">
        <v>0</v>
      </c>
      <c r="AK653" s="6">
        <v>0</v>
      </c>
      <c r="AL653" s="6">
        <v>0</v>
      </c>
      <c r="AM653" s="6">
        <v>0</v>
      </c>
      <c r="AN653" s="6">
        <v>0</v>
      </c>
      <c r="AO653" s="6">
        <v>0</v>
      </c>
      <c r="AP653" s="6">
        <v>0</v>
      </c>
      <c r="AQ653" s="6">
        <v>0</v>
      </c>
      <c r="AR653" s="6">
        <v>0</v>
      </c>
      <c r="AS653" s="6">
        <v>0</v>
      </c>
    </row>
    <row r="654" spans="1:45" x14ac:dyDescent="0.25">
      <c r="A654" s="6" t="s">
        <v>751</v>
      </c>
      <c r="B654" s="6" t="s">
        <v>273</v>
      </c>
      <c r="C654" s="14">
        <v>43481</v>
      </c>
      <c r="D654" s="6"/>
      <c r="E654" s="6" t="s">
        <v>274</v>
      </c>
      <c r="G654" s="6">
        <v>0</v>
      </c>
      <c r="H654" s="6" t="s">
        <v>252</v>
      </c>
      <c r="I654" s="9">
        <v>0.5</v>
      </c>
      <c r="J654" s="9">
        <v>0.85</v>
      </c>
      <c r="K654" s="9">
        <v>1.35</v>
      </c>
      <c r="L654" s="6">
        <v>0</v>
      </c>
      <c r="M654" s="6">
        <v>1</v>
      </c>
      <c r="N654" s="6">
        <v>0</v>
      </c>
      <c r="O654" s="6">
        <v>0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  <c r="X654" s="6">
        <v>0</v>
      </c>
      <c r="Y654" s="6">
        <v>0</v>
      </c>
      <c r="Z654" s="6">
        <v>0</v>
      </c>
      <c r="AA654" s="6">
        <v>0</v>
      </c>
      <c r="AB654" s="6">
        <v>0</v>
      </c>
      <c r="AC654" s="6">
        <v>1</v>
      </c>
      <c r="AD654" s="6">
        <v>1</v>
      </c>
      <c r="AE654" s="6">
        <v>0</v>
      </c>
      <c r="AF654" s="6">
        <v>0</v>
      </c>
      <c r="AG654" s="6">
        <v>0</v>
      </c>
      <c r="AH654" s="6">
        <v>0</v>
      </c>
      <c r="AI654" s="6">
        <v>0</v>
      </c>
      <c r="AJ654" s="6">
        <v>0</v>
      </c>
      <c r="AK654" s="6">
        <v>0</v>
      </c>
      <c r="AL654" s="6">
        <v>0</v>
      </c>
      <c r="AM654" s="6">
        <v>0</v>
      </c>
      <c r="AN654" s="6">
        <v>0</v>
      </c>
      <c r="AO654" s="6">
        <v>0</v>
      </c>
      <c r="AP654" s="6">
        <v>0</v>
      </c>
      <c r="AQ654" s="6">
        <v>0</v>
      </c>
      <c r="AR654" s="6">
        <v>0</v>
      </c>
      <c r="AS654" s="6">
        <v>0</v>
      </c>
    </row>
    <row r="655" spans="1:45" x14ac:dyDescent="0.25">
      <c r="A655" s="6" t="s">
        <v>751</v>
      </c>
      <c r="B655" s="6" t="s">
        <v>275</v>
      </c>
      <c r="C655" s="14">
        <v>43482</v>
      </c>
      <c r="D655" s="6"/>
      <c r="E655" s="6" t="s">
        <v>218</v>
      </c>
      <c r="G655" s="6">
        <v>0</v>
      </c>
      <c r="H655" s="6" t="s">
        <v>252</v>
      </c>
      <c r="I655" s="9">
        <v>0.7</v>
      </c>
      <c r="J655" s="9">
        <v>0.7</v>
      </c>
      <c r="K655" s="9">
        <v>1.4</v>
      </c>
      <c r="L655" s="6">
        <v>2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  <c r="X655" s="6">
        <v>0</v>
      </c>
      <c r="Y655" s="6">
        <v>0</v>
      </c>
      <c r="Z655" s="6">
        <v>0</v>
      </c>
      <c r="AA655" s="6">
        <v>0</v>
      </c>
      <c r="AB655" s="6">
        <v>0</v>
      </c>
      <c r="AC655" s="6">
        <v>2</v>
      </c>
      <c r="AD655" s="6">
        <v>0</v>
      </c>
      <c r="AE655" s="6">
        <v>0</v>
      </c>
      <c r="AF655" s="6">
        <v>0</v>
      </c>
      <c r="AG655" s="6">
        <v>0</v>
      </c>
      <c r="AH655" s="6">
        <v>0</v>
      </c>
      <c r="AI655" s="6">
        <v>0</v>
      </c>
      <c r="AJ655" s="6">
        <v>0</v>
      </c>
      <c r="AK655" s="6">
        <v>0</v>
      </c>
      <c r="AL655" s="6">
        <v>0</v>
      </c>
      <c r="AM655" s="6">
        <v>0</v>
      </c>
      <c r="AN655" s="6">
        <v>0</v>
      </c>
      <c r="AO655" s="6">
        <v>0</v>
      </c>
      <c r="AP655" s="6">
        <v>0</v>
      </c>
      <c r="AQ655" s="6">
        <v>0</v>
      </c>
      <c r="AR655" s="6">
        <v>0</v>
      </c>
      <c r="AS655" s="6">
        <v>0</v>
      </c>
    </row>
    <row r="656" spans="1:45" x14ac:dyDescent="0.25">
      <c r="A656" s="6" t="s">
        <v>751</v>
      </c>
      <c r="B656" s="6" t="s">
        <v>276</v>
      </c>
      <c r="C656" s="14">
        <v>43482</v>
      </c>
      <c r="D656" s="6"/>
      <c r="E656" s="6" t="s">
        <v>277</v>
      </c>
      <c r="G656" s="6">
        <v>0</v>
      </c>
      <c r="H656" s="6" t="s">
        <v>252</v>
      </c>
      <c r="I656" s="9">
        <v>0.7</v>
      </c>
      <c r="J656" s="9">
        <v>0.7</v>
      </c>
      <c r="K656" s="9">
        <v>1.4</v>
      </c>
      <c r="L656" s="6">
        <v>2</v>
      </c>
      <c r="M656" s="6">
        <v>0</v>
      </c>
      <c r="N656" s="6">
        <v>0</v>
      </c>
      <c r="O656" s="6">
        <v>0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  <c r="X656" s="6">
        <v>0</v>
      </c>
      <c r="Y656" s="6">
        <v>0</v>
      </c>
      <c r="Z656" s="6">
        <v>0</v>
      </c>
      <c r="AA656" s="6">
        <v>0</v>
      </c>
      <c r="AB656" s="6">
        <v>0</v>
      </c>
      <c r="AC656" s="6">
        <v>2</v>
      </c>
      <c r="AD656" s="6">
        <v>0</v>
      </c>
      <c r="AE656" s="6">
        <v>0</v>
      </c>
      <c r="AF656" s="6">
        <v>0</v>
      </c>
      <c r="AG656" s="6">
        <v>0</v>
      </c>
      <c r="AH656" s="6">
        <v>0</v>
      </c>
      <c r="AI656" s="6">
        <v>0</v>
      </c>
      <c r="AJ656" s="6">
        <v>0</v>
      </c>
      <c r="AK656" s="6">
        <v>0</v>
      </c>
      <c r="AL656" s="6">
        <v>0</v>
      </c>
      <c r="AM656" s="6">
        <v>0</v>
      </c>
      <c r="AN656" s="6">
        <v>0</v>
      </c>
      <c r="AO656" s="6">
        <v>0</v>
      </c>
      <c r="AP656" s="6">
        <v>0</v>
      </c>
      <c r="AQ656" s="6">
        <v>0</v>
      </c>
      <c r="AR656" s="6">
        <v>0</v>
      </c>
      <c r="AS656" s="6">
        <v>0</v>
      </c>
    </row>
    <row r="657" spans="1:45" x14ac:dyDescent="0.25">
      <c r="A657" s="6" t="s">
        <v>751</v>
      </c>
      <c r="B657" s="6" t="s">
        <v>278</v>
      </c>
      <c r="C657" s="14">
        <v>44782</v>
      </c>
      <c r="D657" s="6"/>
      <c r="E657" s="6" t="s">
        <v>279</v>
      </c>
      <c r="G657" s="6">
        <v>0</v>
      </c>
      <c r="H657" s="6" t="s">
        <v>252</v>
      </c>
      <c r="I657" s="9">
        <v>1.0499999999999998</v>
      </c>
      <c r="J657" s="9">
        <v>0.35</v>
      </c>
      <c r="K657" s="9">
        <v>1.4</v>
      </c>
      <c r="L657" s="6">
        <v>3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  <c r="X657" s="6">
        <v>0</v>
      </c>
      <c r="Y657" s="6">
        <v>0</v>
      </c>
      <c r="Z657" s="6">
        <v>0</v>
      </c>
      <c r="AA657" s="6">
        <v>0</v>
      </c>
      <c r="AB657" s="6">
        <v>0</v>
      </c>
      <c r="AC657" s="6">
        <v>1</v>
      </c>
      <c r="AD657" s="6">
        <v>0</v>
      </c>
      <c r="AE657" s="6">
        <v>0</v>
      </c>
      <c r="AF657" s="6">
        <v>0</v>
      </c>
      <c r="AG657" s="6">
        <v>0</v>
      </c>
      <c r="AH657" s="6">
        <v>0</v>
      </c>
      <c r="AI657" s="6">
        <v>0</v>
      </c>
      <c r="AJ657" s="6">
        <v>0</v>
      </c>
      <c r="AK657" s="6">
        <v>0</v>
      </c>
      <c r="AL657" s="6">
        <v>0</v>
      </c>
      <c r="AM657" s="6">
        <v>0</v>
      </c>
      <c r="AN657" s="6">
        <v>0</v>
      </c>
      <c r="AO657" s="6">
        <v>0</v>
      </c>
      <c r="AP657" s="6">
        <v>0</v>
      </c>
      <c r="AQ657" s="6">
        <v>0</v>
      </c>
      <c r="AR657" s="6">
        <v>0</v>
      </c>
      <c r="AS657" s="6">
        <v>0</v>
      </c>
    </row>
    <row r="658" spans="1:45" x14ac:dyDescent="0.25">
      <c r="A658" s="6" t="s">
        <v>751</v>
      </c>
      <c r="B658" s="6" t="s">
        <v>280</v>
      </c>
      <c r="C658" s="14">
        <v>43479</v>
      </c>
      <c r="D658" s="6"/>
      <c r="E658" s="6" t="s">
        <v>281</v>
      </c>
      <c r="G658" s="6">
        <v>0</v>
      </c>
      <c r="H658" s="6" t="s">
        <v>252</v>
      </c>
      <c r="I658" s="9">
        <v>1.0499999999999998</v>
      </c>
      <c r="J658" s="9">
        <v>0.35</v>
      </c>
      <c r="K658" s="9">
        <v>1.4</v>
      </c>
      <c r="L658" s="6">
        <v>3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  <c r="X658" s="6">
        <v>0</v>
      </c>
      <c r="Y658" s="6">
        <v>0</v>
      </c>
      <c r="Z658" s="6">
        <v>0</v>
      </c>
      <c r="AA658" s="6">
        <v>0</v>
      </c>
      <c r="AB658" s="6">
        <v>0</v>
      </c>
      <c r="AC658" s="6">
        <v>1</v>
      </c>
      <c r="AD658" s="6">
        <v>0</v>
      </c>
      <c r="AE658" s="6">
        <v>0</v>
      </c>
      <c r="AF658" s="6">
        <v>0</v>
      </c>
      <c r="AG658" s="6">
        <v>0</v>
      </c>
      <c r="AH658" s="6">
        <v>0</v>
      </c>
      <c r="AI658" s="6">
        <v>0</v>
      </c>
      <c r="AJ658" s="6">
        <v>0</v>
      </c>
      <c r="AK658" s="6">
        <v>0</v>
      </c>
      <c r="AL658" s="6">
        <v>0</v>
      </c>
      <c r="AM658" s="6">
        <v>0</v>
      </c>
      <c r="AN658" s="6">
        <v>0</v>
      </c>
      <c r="AO658" s="6">
        <v>0</v>
      </c>
      <c r="AP658" s="6">
        <v>0</v>
      </c>
      <c r="AQ658" s="6">
        <v>0</v>
      </c>
      <c r="AR658" s="6">
        <v>0</v>
      </c>
      <c r="AS658" s="6">
        <v>0</v>
      </c>
    </row>
    <row r="659" spans="1:45" x14ac:dyDescent="0.25">
      <c r="A659" s="6" t="s">
        <v>751</v>
      </c>
      <c r="B659" s="6" t="s">
        <v>282</v>
      </c>
      <c r="C659" s="14">
        <v>43480</v>
      </c>
      <c r="D659" s="6"/>
      <c r="E659" s="6" t="s">
        <v>283</v>
      </c>
      <c r="G659" s="6">
        <v>0</v>
      </c>
      <c r="H659" s="6" t="s">
        <v>252</v>
      </c>
      <c r="I659" s="9">
        <v>0.35</v>
      </c>
      <c r="J659" s="9">
        <v>1.0499999999999998</v>
      </c>
      <c r="K659" s="9">
        <v>1.4</v>
      </c>
      <c r="L659" s="6">
        <v>1</v>
      </c>
      <c r="M659" s="6">
        <v>0</v>
      </c>
      <c r="N659" s="6">
        <v>0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  <c r="X659" s="6">
        <v>0</v>
      </c>
      <c r="Y659" s="6">
        <v>0</v>
      </c>
      <c r="Z659" s="6">
        <v>0</v>
      </c>
      <c r="AA659" s="6">
        <v>0</v>
      </c>
      <c r="AB659" s="6">
        <v>0</v>
      </c>
      <c r="AC659" s="6">
        <v>3</v>
      </c>
      <c r="AD659" s="6">
        <v>0</v>
      </c>
      <c r="AE659" s="6">
        <v>0</v>
      </c>
      <c r="AF659" s="6">
        <v>0</v>
      </c>
      <c r="AG659" s="6">
        <v>0</v>
      </c>
      <c r="AH659" s="6">
        <v>0</v>
      </c>
      <c r="AI659" s="6">
        <v>0</v>
      </c>
      <c r="AJ659" s="6">
        <v>0</v>
      </c>
      <c r="AK659" s="6">
        <v>0</v>
      </c>
      <c r="AL659" s="6">
        <v>0</v>
      </c>
      <c r="AM659" s="6">
        <v>0</v>
      </c>
      <c r="AN659" s="6">
        <v>0</v>
      </c>
      <c r="AO659" s="6">
        <v>0</v>
      </c>
      <c r="AP659" s="6">
        <v>0</v>
      </c>
      <c r="AQ659" s="6">
        <v>0</v>
      </c>
      <c r="AR659" s="6">
        <v>0</v>
      </c>
      <c r="AS659" s="6">
        <v>0</v>
      </c>
    </row>
    <row r="660" spans="1:45" x14ac:dyDescent="0.25">
      <c r="A660" s="6" t="s">
        <v>751</v>
      </c>
      <c r="B660" s="6" t="s">
        <v>284</v>
      </c>
      <c r="C660" s="14">
        <v>43482</v>
      </c>
      <c r="D660" s="6"/>
      <c r="E660" s="6" t="s">
        <v>285</v>
      </c>
      <c r="G660" s="6">
        <v>0</v>
      </c>
      <c r="H660" s="6" t="s">
        <v>252</v>
      </c>
      <c r="I660" s="9">
        <v>1.0499999999999998</v>
      </c>
      <c r="J660" s="9">
        <v>0.35</v>
      </c>
      <c r="K660" s="9">
        <v>1.4</v>
      </c>
      <c r="L660" s="6">
        <v>3</v>
      </c>
      <c r="M660" s="6">
        <v>0</v>
      </c>
      <c r="N660" s="6">
        <v>0</v>
      </c>
      <c r="O660" s="6">
        <v>0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  <c r="X660" s="6">
        <v>0</v>
      </c>
      <c r="Y660" s="6">
        <v>0</v>
      </c>
      <c r="Z660" s="6">
        <v>0</v>
      </c>
      <c r="AA660" s="6">
        <v>0</v>
      </c>
      <c r="AB660" s="6">
        <v>0</v>
      </c>
      <c r="AC660" s="6">
        <v>1</v>
      </c>
      <c r="AD660" s="6">
        <v>0</v>
      </c>
      <c r="AE660" s="6">
        <v>0</v>
      </c>
      <c r="AF660" s="6">
        <v>0</v>
      </c>
      <c r="AG660" s="6">
        <v>0</v>
      </c>
      <c r="AH660" s="6">
        <v>0</v>
      </c>
      <c r="AI660" s="6">
        <v>0</v>
      </c>
      <c r="AJ660" s="6">
        <v>0</v>
      </c>
      <c r="AK660" s="6">
        <v>0</v>
      </c>
      <c r="AL660" s="6">
        <v>0</v>
      </c>
      <c r="AM660" s="6">
        <v>0</v>
      </c>
      <c r="AN660" s="6">
        <v>0</v>
      </c>
      <c r="AO660" s="6">
        <v>0</v>
      </c>
      <c r="AP660" s="6">
        <v>0</v>
      </c>
      <c r="AQ660" s="6">
        <v>0</v>
      </c>
      <c r="AR660" s="6">
        <v>0</v>
      </c>
      <c r="AS660" s="6">
        <v>0</v>
      </c>
    </row>
    <row r="661" spans="1:45" x14ac:dyDescent="0.25">
      <c r="A661" s="6" t="s">
        <v>751</v>
      </c>
      <c r="B661" s="6" t="s">
        <v>286</v>
      </c>
      <c r="C661" s="14">
        <v>40118</v>
      </c>
      <c r="D661" s="6"/>
      <c r="E661" s="6" t="s">
        <v>287</v>
      </c>
      <c r="G661" s="6">
        <v>0</v>
      </c>
      <c r="H661" s="6" t="s">
        <v>252</v>
      </c>
      <c r="I661" s="9">
        <v>1</v>
      </c>
      <c r="J661" s="9">
        <v>0.5</v>
      </c>
      <c r="K661" s="9">
        <v>1.5</v>
      </c>
      <c r="L661" s="6">
        <v>0</v>
      </c>
      <c r="M661" s="6">
        <v>2</v>
      </c>
      <c r="N661" s="6">
        <v>0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  <c r="X661" s="6">
        <v>0</v>
      </c>
      <c r="Y661" s="6">
        <v>0</v>
      </c>
      <c r="Z661" s="6">
        <v>0</v>
      </c>
      <c r="AA661" s="6">
        <v>0</v>
      </c>
      <c r="AB661" s="6">
        <v>0</v>
      </c>
      <c r="AC661" s="6">
        <v>0</v>
      </c>
      <c r="AD661" s="6">
        <v>1</v>
      </c>
      <c r="AE661" s="6">
        <v>0</v>
      </c>
      <c r="AF661" s="6">
        <v>0</v>
      </c>
      <c r="AG661" s="6">
        <v>0</v>
      </c>
      <c r="AH661" s="6">
        <v>0</v>
      </c>
      <c r="AI661" s="6">
        <v>0</v>
      </c>
      <c r="AJ661" s="6">
        <v>0</v>
      </c>
      <c r="AK661" s="6">
        <v>0</v>
      </c>
      <c r="AL661" s="6">
        <v>0</v>
      </c>
      <c r="AM661" s="6">
        <v>0</v>
      </c>
      <c r="AN661" s="6">
        <v>0</v>
      </c>
      <c r="AO661" s="6">
        <v>0</v>
      </c>
      <c r="AP661" s="6">
        <v>0</v>
      </c>
      <c r="AQ661" s="6">
        <v>0</v>
      </c>
      <c r="AR661" s="6">
        <v>0</v>
      </c>
      <c r="AS661" s="6">
        <v>0</v>
      </c>
    </row>
    <row r="662" spans="1:45" x14ac:dyDescent="0.25">
      <c r="A662" s="6" t="s">
        <v>751</v>
      </c>
      <c r="B662" s="6" t="s">
        <v>288</v>
      </c>
      <c r="C662" s="14">
        <v>43479</v>
      </c>
      <c r="D662" s="6"/>
      <c r="E662" s="6" t="s">
        <v>289</v>
      </c>
      <c r="G662" s="6">
        <v>0</v>
      </c>
      <c r="H662" s="6" t="s">
        <v>252</v>
      </c>
      <c r="I662" s="9">
        <v>1</v>
      </c>
      <c r="J662" s="9">
        <v>0.5</v>
      </c>
      <c r="K662" s="9">
        <v>1.5</v>
      </c>
      <c r="L662" s="6">
        <v>0</v>
      </c>
      <c r="M662" s="6">
        <v>2</v>
      </c>
      <c r="N662" s="6">
        <v>0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  <c r="X662" s="6">
        <v>0</v>
      </c>
      <c r="Y662" s="6">
        <v>0</v>
      </c>
      <c r="Z662" s="6">
        <v>0</v>
      </c>
      <c r="AA662" s="6">
        <v>0</v>
      </c>
      <c r="AB662" s="6">
        <v>0</v>
      </c>
      <c r="AC662" s="6">
        <v>0</v>
      </c>
      <c r="AD662" s="6">
        <v>1</v>
      </c>
      <c r="AE662" s="6">
        <v>0</v>
      </c>
      <c r="AF662" s="6">
        <v>0</v>
      </c>
      <c r="AG662" s="6">
        <v>0</v>
      </c>
      <c r="AH662" s="6">
        <v>0</v>
      </c>
      <c r="AI662" s="6">
        <v>0</v>
      </c>
      <c r="AJ662" s="6">
        <v>0</v>
      </c>
      <c r="AK662" s="6">
        <v>0</v>
      </c>
      <c r="AL662" s="6">
        <v>0</v>
      </c>
      <c r="AM662" s="6">
        <v>0</v>
      </c>
      <c r="AN662" s="6">
        <v>0</v>
      </c>
      <c r="AO662" s="6">
        <v>0</v>
      </c>
      <c r="AP662" s="6">
        <v>0</v>
      </c>
      <c r="AQ662" s="6">
        <v>0</v>
      </c>
      <c r="AR662" s="6">
        <v>0</v>
      </c>
      <c r="AS662" s="6">
        <v>0</v>
      </c>
    </row>
    <row r="663" spans="1:45" x14ac:dyDescent="0.25">
      <c r="B663" s="8"/>
      <c r="G663" s="8"/>
      <c r="H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</row>
    <row r="664" spans="1:45" x14ac:dyDescent="0.25">
      <c r="B664" s="8"/>
      <c r="G664" s="8"/>
      <c r="H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</row>
    <row r="665" spans="1:45" x14ac:dyDescent="0.25">
      <c r="B665" s="8"/>
      <c r="G665" s="8"/>
      <c r="H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</row>
    <row r="666" spans="1:45" x14ac:dyDescent="0.25">
      <c r="B666" s="8"/>
      <c r="G666" s="8"/>
      <c r="H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</row>
    <row r="667" spans="1:45" x14ac:dyDescent="0.25">
      <c r="B667" s="8"/>
      <c r="G667" s="8"/>
      <c r="H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</row>
    <row r="668" spans="1:45" x14ac:dyDescent="0.25">
      <c r="B668" s="8"/>
      <c r="G668" s="8"/>
      <c r="H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</row>
    <row r="669" spans="1:45" x14ac:dyDescent="0.25">
      <c r="B669" s="8"/>
      <c r="G669" s="8"/>
      <c r="H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</row>
    <row r="670" spans="1:45" x14ac:dyDescent="0.25">
      <c r="B670" s="8"/>
      <c r="G670" s="8"/>
      <c r="H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</row>
    <row r="671" spans="1:45" x14ac:dyDescent="0.25">
      <c r="B671" s="8"/>
      <c r="G671" s="8"/>
      <c r="H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</row>
    <row r="672" spans="1:45" x14ac:dyDescent="0.25">
      <c r="B672" s="8"/>
      <c r="G672" s="8"/>
      <c r="H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</row>
    <row r="673" spans="2:45" x14ac:dyDescent="0.25">
      <c r="B673" s="8"/>
      <c r="G673" s="8"/>
      <c r="H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</row>
    <row r="674" spans="2:45" x14ac:dyDescent="0.25">
      <c r="B674" s="8"/>
      <c r="G674" s="8"/>
      <c r="H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</row>
    <row r="675" spans="2:45" x14ac:dyDescent="0.25">
      <c r="B675" s="8"/>
      <c r="G675" s="8"/>
      <c r="H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</row>
    <row r="676" spans="2:45" x14ac:dyDescent="0.25">
      <c r="B676" s="8"/>
      <c r="G676" s="8"/>
      <c r="H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</row>
    <row r="677" spans="2:45" x14ac:dyDescent="0.25">
      <c r="B677" s="8"/>
      <c r="G677" s="8"/>
      <c r="H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</row>
    <row r="678" spans="2:45" x14ac:dyDescent="0.25">
      <c r="B678" s="8"/>
      <c r="G678" s="8"/>
      <c r="H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</row>
    <row r="679" spans="2:45" x14ac:dyDescent="0.25">
      <c r="B679" s="8"/>
      <c r="G679" s="8"/>
      <c r="H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</row>
    <row r="680" spans="2:45" x14ac:dyDescent="0.25">
      <c r="B680" s="8"/>
      <c r="G680" s="8"/>
      <c r="H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</row>
    <row r="681" spans="2:45" x14ac:dyDescent="0.25">
      <c r="B681" s="8"/>
      <c r="G681" s="8"/>
      <c r="H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</row>
    <row r="682" spans="2:45" x14ac:dyDescent="0.25">
      <c r="B682" s="8"/>
      <c r="G682" s="8"/>
      <c r="H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</row>
    <row r="683" spans="2:45" x14ac:dyDescent="0.25">
      <c r="B683" s="8"/>
      <c r="G683" s="8"/>
      <c r="H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</row>
    <row r="684" spans="2:45" x14ac:dyDescent="0.25">
      <c r="B684" s="8"/>
      <c r="G684" s="8"/>
      <c r="H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</row>
    <row r="685" spans="2:45" x14ac:dyDescent="0.25">
      <c r="B685" s="8"/>
      <c r="G685" s="8"/>
      <c r="H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</row>
    <row r="686" spans="2:45" x14ac:dyDescent="0.25">
      <c r="B686" s="8"/>
      <c r="G686" s="8"/>
      <c r="H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</row>
    <row r="687" spans="2:45" x14ac:dyDescent="0.25">
      <c r="B687" s="8"/>
      <c r="G687" s="8"/>
      <c r="H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</row>
    <row r="688" spans="2:45" x14ac:dyDescent="0.25">
      <c r="B688" s="8"/>
      <c r="G688" s="8"/>
      <c r="H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</row>
    <row r="689" spans="7:45" x14ac:dyDescent="0.25">
      <c r="G689" s="8"/>
      <c r="H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</row>
    <row r="690" spans="7:45" x14ac:dyDescent="0.25">
      <c r="G690" s="8"/>
      <c r="H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</row>
    <row r="691" spans="7:45" x14ac:dyDescent="0.25">
      <c r="G691" s="8"/>
      <c r="H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</row>
    <row r="692" spans="7:45" x14ac:dyDescent="0.25">
      <c r="G692" s="8"/>
      <c r="H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</row>
    <row r="693" spans="7:45" x14ac:dyDescent="0.25">
      <c r="G693" s="8"/>
      <c r="H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</row>
    <row r="694" spans="7:45" x14ac:dyDescent="0.25">
      <c r="G694" s="8"/>
      <c r="H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</row>
    <row r="695" spans="7:45" x14ac:dyDescent="0.25">
      <c r="G695" s="8"/>
      <c r="H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</row>
    <row r="696" spans="7:45" x14ac:dyDescent="0.25">
      <c r="G696" s="8"/>
      <c r="H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</row>
    <row r="697" spans="7:45" x14ac:dyDescent="0.25">
      <c r="G697" s="8"/>
      <c r="H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</row>
    <row r="698" spans="7:45" x14ac:dyDescent="0.25">
      <c r="G698" s="8"/>
      <c r="H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</row>
    <row r="699" spans="7:45" x14ac:dyDescent="0.25">
      <c r="G699" s="8"/>
      <c r="H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</row>
    <row r="700" spans="7:45" x14ac:dyDescent="0.25">
      <c r="G700" s="8"/>
      <c r="H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</row>
    <row r="701" spans="7:45" x14ac:dyDescent="0.25">
      <c r="G701" s="8"/>
      <c r="H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</row>
    <row r="702" spans="7:45" x14ac:dyDescent="0.25">
      <c r="G702" s="8"/>
      <c r="H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</row>
    <row r="703" spans="7:45" x14ac:dyDescent="0.25">
      <c r="G703" s="8"/>
      <c r="H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</row>
    <row r="704" spans="7:45" x14ac:dyDescent="0.25">
      <c r="G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</row>
    <row r="705" spans="7:45" x14ac:dyDescent="0.25">
      <c r="G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</row>
    <row r="706" spans="7:45" x14ac:dyDescent="0.25">
      <c r="G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</row>
    <row r="707" spans="7:45" x14ac:dyDescent="0.25">
      <c r="G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</row>
    <row r="708" spans="7:45" x14ac:dyDescent="0.25">
      <c r="G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</row>
    <row r="709" spans="7:45" x14ac:dyDescent="0.25">
      <c r="G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</row>
    <row r="710" spans="7:45" x14ac:dyDescent="0.25">
      <c r="G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</row>
    <row r="711" spans="7:45" x14ac:dyDescent="0.25">
      <c r="G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</row>
    <row r="712" spans="7:45" x14ac:dyDescent="0.25">
      <c r="G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</row>
    <row r="713" spans="7:45" x14ac:dyDescent="0.25">
      <c r="G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</row>
    <row r="714" spans="7:45" x14ac:dyDescent="0.25">
      <c r="G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</row>
    <row r="715" spans="7:45" x14ac:dyDescent="0.25">
      <c r="G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</row>
    <row r="716" spans="7:45" x14ac:dyDescent="0.25">
      <c r="G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</row>
    <row r="717" spans="7:45" x14ac:dyDescent="0.25">
      <c r="G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</row>
    <row r="718" spans="7:45" x14ac:dyDescent="0.25">
      <c r="G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</row>
    <row r="719" spans="7:45" x14ac:dyDescent="0.25">
      <c r="G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</row>
    <row r="720" spans="7:45" x14ac:dyDescent="0.25">
      <c r="G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</row>
    <row r="721" spans="7:45" x14ac:dyDescent="0.25">
      <c r="G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</row>
    <row r="722" spans="7:45" x14ac:dyDescent="0.25">
      <c r="G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</row>
    <row r="723" spans="7:45" x14ac:dyDescent="0.25">
      <c r="G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</row>
    <row r="724" spans="7:45" x14ac:dyDescent="0.25">
      <c r="G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</row>
    <row r="725" spans="7:45" x14ac:dyDescent="0.25">
      <c r="G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</row>
    <row r="726" spans="7:45" x14ac:dyDescent="0.25">
      <c r="G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</row>
    <row r="727" spans="7:45" x14ac:dyDescent="0.25">
      <c r="G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</row>
    <row r="728" spans="7:45" x14ac:dyDescent="0.25">
      <c r="G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</row>
    <row r="729" spans="7:45" x14ac:dyDescent="0.25">
      <c r="G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</row>
    <row r="730" spans="7:45" x14ac:dyDescent="0.25">
      <c r="G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</row>
    <row r="731" spans="7:45" x14ac:dyDescent="0.25">
      <c r="G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</row>
    <row r="732" spans="7:45" x14ac:dyDescent="0.25">
      <c r="G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</row>
    <row r="733" spans="7:45" x14ac:dyDescent="0.25">
      <c r="G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</row>
    <row r="734" spans="7:45" x14ac:dyDescent="0.25">
      <c r="G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</row>
    <row r="735" spans="7:45" x14ac:dyDescent="0.25">
      <c r="G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</row>
    <row r="736" spans="7:45" x14ac:dyDescent="0.25">
      <c r="G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</row>
    <row r="737" spans="7:45" x14ac:dyDescent="0.25">
      <c r="G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</row>
    <row r="738" spans="7:45" x14ac:dyDescent="0.25">
      <c r="G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</row>
    <row r="739" spans="7:45" x14ac:dyDescent="0.25">
      <c r="G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</row>
    <row r="740" spans="7:45" x14ac:dyDescent="0.25">
      <c r="G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</row>
    <row r="741" spans="7:45" x14ac:dyDescent="0.25">
      <c r="G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</row>
    <row r="742" spans="7:45" x14ac:dyDescent="0.25">
      <c r="G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</row>
    <row r="743" spans="7:45" x14ac:dyDescent="0.25">
      <c r="G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</row>
    <row r="744" spans="7:45" x14ac:dyDescent="0.25">
      <c r="G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</row>
    <row r="745" spans="7:45" x14ac:dyDescent="0.25">
      <c r="G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</row>
    <row r="746" spans="7:45" x14ac:dyDescent="0.25">
      <c r="G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</row>
    <row r="747" spans="7:45" x14ac:dyDescent="0.25">
      <c r="G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</row>
    <row r="748" spans="7:45" x14ac:dyDescent="0.25">
      <c r="G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</row>
    <row r="749" spans="7:45" x14ac:dyDescent="0.25">
      <c r="G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</row>
    <row r="750" spans="7:45" x14ac:dyDescent="0.25">
      <c r="G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</row>
    <row r="751" spans="7:45" x14ac:dyDescent="0.25">
      <c r="G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</row>
    <row r="752" spans="7:45" x14ac:dyDescent="0.25">
      <c r="G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</row>
    <row r="753" spans="7:45" x14ac:dyDescent="0.25">
      <c r="G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</row>
    <row r="754" spans="7:45" x14ac:dyDescent="0.25">
      <c r="G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</row>
    <row r="755" spans="7:45" x14ac:dyDescent="0.25">
      <c r="G755" s="8"/>
    </row>
    <row r="756" spans="7:45" x14ac:dyDescent="0.25">
      <c r="G756" s="8"/>
    </row>
    <row r="757" spans="7:45" x14ac:dyDescent="0.25">
      <c r="G757" s="8"/>
    </row>
    <row r="758" spans="7:45" x14ac:dyDescent="0.25">
      <c r="G758" s="8"/>
    </row>
    <row r="759" spans="7:45" x14ac:dyDescent="0.25">
      <c r="G759" s="8"/>
    </row>
    <row r="760" spans="7:45" x14ac:dyDescent="0.25">
      <c r="G760" s="8"/>
    </row>
    <row r="761" spans="7:45" x14ac:dyDescent="0.25">
      <c r="G761" s="8"/>
    </row>
    <row r="762" spans="7:45" x14ac:dyDescent="0.25">
      <c r="G762" s="8"/>
    </row>
    <row r="763" spans="7:45" x14ac:dyDescent="0.25">
      <c r="G763" s="8"/>
    </row>
    <row r="764" spans="7:45" x14ac:dyDescent="0.25">
      <c r="G764" s="8"/>
    </row>
    <row r="765" spans="7:45" x14ac:dyDescent="0.25">
      <c r="G765" s="8"/>
    </row>
    <row r="766" spans="7:45" x14ac:dyDescent="0.25">
      <c r="G766" s="8"/>
    </row>
    <row r="767" spans="7:45" x14ac:dyDescent="0.25">
      <c r="G767" s="8"/>
    </row>
    <row r="768" spans="7:45" x14ac:dyDescent="0.25">
      <c r="G768" s="8"/>
    </row>
    <row r="769" spans="7:7" x14ac:dyDescent="0.25">
      <c r="G769" s="8"/>
    </row>
    <row r="770" spans="7:7" x14ac:dyDescent="0.25">
      <c r="G770" s="8"/>
    </row>
    <row r="771" spans="7:7" x14ac:dyDescent="0.25">
      <c r="G771" s="8"/>
    </row>
    <row r="772" spans="7:7" x14ac:dyDescent="0.25">
      <c r="G772" s="8"/>
    </row>
    <row r="773" spans="7:7" x14ac:dyDescent="0.25">
      <c r="G773" s="8"/>
    </row>
    <row r="774" spans="7:7" x14ac:dyDescent="0.25">
      <c r="G774" s="8"/>
    </row>
    <row r="775" spans="7:7" x14ac:dyDescent="0.25">
      <c r="G775" s="8"/>
    </row>
    <row r="776" spans="7:7" x14ac:dyDescent="0.25">
      <c r="G776" s="8"/>
    </row>
    <row r="777" spans="7:7" x14ac:dyDescent="0.25">
      <c r="G777" s="8"/>
    </row>
    <row r="778" spans="7:7" x14ac:dyDescent="0.25">
      <c r="G778" s="8"/>
    </row>
    <row r="779" spans="7:7" x14ac:dyDescent="0.25">
      <c r="G779" s="8"/>
    </row>
    <row r="780" spans="7:7" x14ac:dyDescent="0.25">
      <c r="G780" s="8"/>
    </row>
    <row r="781" spans="7:7" x14ac:dyDescent="0.25">
      <c r="G781" s="8"/>
    </row>
    <row r="782" spans="7:7" x14ac:dyDescent="0.25">
      <c r="G782" s="8"/>
    </row>
    <row r="783" spans="7:7" x14ac:dyDescent="0.25">
      <c r="G783" s="8"/>
    </row>
    <row r="784" spans="7:7" x14ac:dyDescent="0.25">
      <c r="G784" s="8"/>
    </row>
    <row r="785" spans="7:7" x14ac:dyDescent="0.25">
      <c r="G785" s="8"/>
    </row>
    <row r="786" spans="7:7" x14ac:dyDescent="0.25">
      <c r="G786" s="8"/>
    </row>
    <row r="787" spans="7:7" x14ac:dyDescent="0.25">
      <c r="G787" s="8"/>
    </row>
    <row r="788" spans="7:7" x14ac:dyDescent="0.25">
      <c r="G788" s="8"/>
    </row>
    <row r="789" spans="7:7" x14ac:dyDescent="0.25">
      <c r="G789" s="8"/>
    </row>
    <row r="790" spans="7:7" x14ac:dyDescent="0.25">
      <c r="G790" s="8"/>
    </row>
    <row r="791" spans="7:7" x14ac:dyDescent="0.25">
      <c r="G791" s="8"/>
    </row>
    <row r="792" spans="7:7" x14ac:dyDescent="0.25">
      <c r="G792" s="8"/>
    </row>
    <row r="793" spans="7:7" x14ac:dyDescent="0.25">
      <c r="G793" s="8"/>
    </row>
    <row r="794" spans="7:7" x14ac:dyDescent="0.25">
      <c r="G794" s="8"/>
    </row>
    <row r="795" spans="7:7" x14ac:dyDescent="0.25">
      <c r="G795" s="8"/>
    </row>
    <row r="796" spans="7:7" x14ac:dyDescent="0.25">
      <c r="G796" s="8"/>
    </row>
    <row r="797" spans="7:7" x14ac:dyDescent="0.25">
      <c r="G797" s="8"/>
    </row>
    <row r="798" spans="7:7" x14ac:dyDescent="0.25">
      <c r="G798" s="8"/>
    </row>
    <row r="799" spans="7:7" x14ac:dyDescent="0.25">
      <c r="G799" s="8"/>
    </row>
    <row r="800" spans="7:7" x14ac:dyDescent="0.25">
      <c r="G800" s="8"/>
    </row>
    <row r="801" spans="7:7" x14ac:dyDescent="0.25">
      <c r="G801" s="8"/>
    </row>
    <row r="802" spans="7:7" x14ac:dyDescent="0.25">
      <c r="G802" s="8"/>
    </row>
    <row r="803" spans="7:7" x14ac:dyDescent="0.25">
      <c r="G803" s="8"/>
    </row>
    <row r="804" spans="7:7" x14ac:dyDescent="0.25">
      <c r="G804" s="8"/>
    </row>
    <row r="805" spans="7:7" x14ac:dyDescent="0.25">
      <c r="G805" s="8"/>
    </row>
    <row r="806" spans="7:7" x14ac:dyDescent="0.25">
      <c r="G806" s="8"/>
    </row>
    <row r="807" spans="7:7" x14ac:dyDescent="0.25">
      <c r="G807" s="8"/>
    </row>
    <row r="808" spans="7:7" x14ac:dyDescent="0.25">
      <c r="G808" s="8"/>
    </row>
    <row r="809" spans="7:7" x14ac:dyDescent="0.25">
      <c r="G809" s="8"/>
    </row>
    <row r="810" spans="7:7" x14ac:dyDescent="0.25">
      <c r="G810" s="8"/>
    </row>
    <row r="811" spans="7:7" x14ac:dyDescent="0.25">
      <c r="G811" s="8"/>
    </row>
    <row r="812" spans="7:7" x14ac:dyDescent="0.25">
      <c r="G812" s="8"/>
    </row>
    <row r="813" spans="7:7" x14ac:dyDescent="0.25">
      <c r="G813" s="8"/>
    </row>
    <row r="814" spans="7:7" x14ac:dyDescent="0.25">
      <c r="G814" s="8"/>
    </row>
    <row r="815" spans="7:7" x14ac:dyDescent="0.25">
      <c r="G815" s="8"/>
    </row>
    <row r="816" spans="7:7" x14ac:dyDescent="0.25">
      <c r="G816" s="8"/>
    </row>
    <row r="817" spans="7:7" x14ac:dyDescent="0.25">
      <c r="G817" s="8"/>
    </row>
    <row r="818" spans="7:7" x14ac:dyDescent="0.25">
      <c r="G818" s="8"/>
    </row>
    <row r="819" spans="7:7" x14ac:dyDescent="0.25">
      <c r="G819" s="8"/>
    </row>
    <row r="820" spans="7:7" x14ac:dyDescent="0.25">
      <c r="G820" s="8"/>
    </row>
    <row r="821" spans="7:7" x14ac:dyDescent="0.25">
      <c r="G821" s="8"/>
    </row>
    <row r="822" spans="7:7" x14ac:dyDescent="0.25">
      <c r="G822" s="8"/>
    </row>
    <row r="823" spans="7:7" x14ac:dyDescent="0.25">
      <c r="G823" s="8"/>
    </row>
    <row r="824" spans="7:7" x14ac:dyDescent="0.25">
      <c r="G824" s="8"/>
    </row>
    <row r="825" spans="7:7" x14ac:dyDescent="0.25">
      <c r="G825" s="8"/>
    </row>
    <row r="826" spans="7:7" x14ac:dyDescent="0.25">
      <c r="G826" s="8"/>
    </row>
    <row r="827" spans="7:7" x14ac:dyDescent="0.25">
      <c r="G827" s="8"/>
    </row>
    <row r="828" spans="7:7" x14ac:dyDescent="0.25">
      <c r="G828" s="8"/>
    </row>
    <row r="829" spans="7:7" x14ac:dyDescent="0.25">
      <c r="G829" s="8"/>
    </row>
    <row r="830" spans="7:7" x14ac:dyDescent="0.25">
      <c r="G830" s="8"/>
    </row>
    <row r="831" spans="7:7" x14ac:dyDescent="0.25">
      <c r="G831" s="8"/>
    </row>
    <row r="832" spans="7:7" x14ac:dyDescent="0.25">
      <c r="G832" s="8"/>
    </row>
    <row r="833" spans="7:7" x14ac:dyDescent="0.25">
      <c r="G833" s="8"/>
    </row>
    <row r="834" spans="7:7" x14ac:dyDescent="0.25">
      <c r="G834" s="8"/>
    </row>
    <row r="835" spans="7:7" x14ac:dyDescent="0.25">
      <c r="G835" s="8"/>
    </row>
    <row r="836" spans="7:7" x14ac:dyDescent="0.25">
      <c r="G836" s="8"/>
    </row>
    <row r="837" spans="7:7" x14ac:dyDescent="0.25">
      <c r="G837" s="8"/>
    </row>
    <row r="838" spans="7:7" x14ac:dyDescent="0.25">
      <c r="G838" s="8"/>
    </row>
    <row r="839" spans="7:7" x14ac:dyDescent="0.25">
      <c r="G839" s="8"/>
    </row>
    <row r="840" spans="7:7" x14ac:dyDescent="0.25">
      <c r="G840" s="8"/>
    </row>
    <row r="841" spans="7:7" x14ac:dyDescent="0.25">
      <c r="G841" s="8"/>
    </row>
    <row r="842" spans="7:7" x14ac:dyDescent="0.25">
      <c r="G842" s="8"/>
    </row>
    <row r="843" spans="7:7" x14ac:dyDescent="0.25">
      <c r="G843" s="8"/>
    </row>
    <row r="844" spans="7:7" x14ac:dyDescent="0.25">
      <c r="G844" s="8"/>
    </row>
    <row r="845" spans="7:7" x14ac:dyDescent="0.25">
      <c r="G845" s="8"/>
    </row>
    <row r="846" spans="7:7" x14ac:dyDescent="0.25">
      <c r="G846" s="8"/>
    </row>
    <row r="847" spans="7:7" x14ac:dyDescent="0.25">
      <c r="G847" s="8"/>
    </row>
    <row r="848" spans="7:7" x14ac:dyDescent="0.25">
      <c r="G848" s="8"/>
    </row>
    <row r="849" spans="7:7" x14ac:dyDescent="0.25">
      <c r="G849" s="8"/>
    </row>
    <row r="850" spans="7:7" x14ac:dyDescent="0.25">
      <c r="G850" s="8"/>
    </row>
    <row r="851" spans="7:7" x14ac:dyDescent="0.25">
      <c r="G851" s="8"/>
    </row>
    <row r="852" spans="7:7" x14ac:dyDescent="0.25">
      <c r="G852" s="8"/>
    </row>
    <row r="853" spans="7:7" x14ac:dyDescent="0.25">
      <c r="G853" s="8"/>
    </row>
    <row r="854" spans="7:7" x14ac:dyDescent="0.25">
      <c r="G854" s="8"/>
    </row>
    <row r="855" spans="7:7" x14ac:dyDescent="0.25">
      <c r="G855" s="8"/>
    </row>
    <row r="856" spans="7:7" x14ac:dyDescent="0.25">
      <c r="G856" s="8"/>
    </row>
    <row r="857" spans="7:7" x14ac:dyDescent="0.25">
      <c r="G857" s="8"/>
    </row>
    <row r="858" spans="7:7" x14ac:dyDescent="0.25">
      <c r="G858" s="8"/>
    </row>
    <row r="859" spans="7:7" x14ac:dyDescent="0.25">
      <c r="G859" s="8"/>
    </row>
    <row r="860" spans="7:7" x14ac:dyDescent="0.25">
      <c r="G860" s="8"/>
    </row>
    <row r="861" spans="7:7" x14ac:dyDescent="0.25">
      <c r="G861" s="8"/>
    </row>
    <row r="862" spans="7:7" x14ac:dyDescent="0.25">
      <c r="G862" s="8"/>
    </row>
    <row r="863" spans="7:7" x14ac:dyDescent="0.25">
      <c r="G863" s="8"/>
    </row>
    <row r="864" spans="7:7" x14ac:dyDescent="0.25">
      <c r="G864" s="8"/>
    </row>
    <row r="865" spans="7:7" x14ac:dyDescent="0.25">
      <c r="G865" s="8"/>
    </row>
    <row r="866" spans="7:7" x14ac:dyDescent="0.25">
      <c r="G866" s="8"/>
    </row>
    <row r="867" spans="7:7" x14ac:dyDescent="0.25">
      <c r="G867" s="8"/>
    </row>
    <row r="868" spans="7:7" x14ac:dyDescent="0.25">
      <c r="G868" s="8"/>
    </row>
  </sheetData>
  <autoFilter ref="A1:BA662" xr:uid="{E4ED453D-AD03-47C7-A7B0-F4DF2D25530B}"/>
  <conditionalFormatting sqref="A2:A242">
    <cfRule type="containsText" dxfId="4" priority="1" operator="containsText" text="REPROVADO">
      <formula>NOT(ISERROR(SEARCH("REPROVADO",A2)))</formula>
    </cfRule>
  </conditionalFormatting>
  <conditionalFormatting sqref="B2:B242">
    <cfRule type="duplicateValues" dxfId="3" priority="2"/>
  </conditionalFormatting>
  <conditionalFormatting sqref="AX1:AX242">
    <cfRule type="duplicateValues" dxfId="2" priority="5"/>
  </conditionalFormatting>
  <conditionalFormatting sqref="AY1:AZ2 AZ3:AZ55 AY3:AY242">
    <cfRule type="cellIs" dxfId="1" priority="3" operator="equal">
      <formula>"Comum"</formula>
    </cfRule>
  </conditionalFormatting>
  <conditionalFormatting sqref="BC2:BC34">
    <cfRule type="duplicateValues" dxfId="0" priority="4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E12DE-A3DE-4BAB-B0AE-D7C8347D1232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Solda e MC GMI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Godoi, Thiago Mantoan DE</dc:creator>
  <cp:lastModifiedBy>Godoi, Thiago Mantoan DE</cp:lastModifiedBy>
  <dcterms:created xsi:type="dcterms:W3CDTF">2025-01-18T20:25:09Z</dcterms:created>
  <dcterms:modified xsi:type="dcterms:W3CDTF">2025-09-23T12:09:49Z</dcterms:modified>
</cp:coreProperties>
</file>