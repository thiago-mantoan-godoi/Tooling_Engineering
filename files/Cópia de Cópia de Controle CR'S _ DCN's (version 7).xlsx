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codeName="EstaPastaDeTrabalho" defaultThemeVersion="166925"/>
  <mc:AlternateContent xmlns:mc="http://schemas.openxmlformats.org/markup-compatibility/2006">
    <mc:Choice Requires="x15">
      <x15ac:absPath xmlns:x15ac="http://schemas.microsoft.com/office/spreadsheetml/2010/11/ac" url="G:\Lead Prep Engeneering\07-Lead Prep\09-Áreas Lead Prep\9-Corte\21-CRS Respondidas\"/>
    </mc:Choice>
  </mc:AlternateContent>
  <xr:revisionPtr revIDLastSave="0" documentId="13_ncr:1_{9D3BE739-1311-4BE4-BEBC-5261CC5CA077}" xr6:coauthVersionLast="47" xr6:coauthVersionMax="47" xr10:uidLastSave="{00000000-0000-0000-0000-000000000000}"/>
  <bookViews>
    <workbookView xWindow="-108" yWindow="-108" windowWidth="23256" windowHeight="12576" tabRatio="777" activeTab="1" xr2:uid="{763F1EDC-14A7-423B-A644-77C45A3728BA}"/>
  </bookViews>
  <sheets>
    <sheet name="Acompanhamento" sheetId="6" r:id="rId1"/>
    <sheet name="Controle de CR" sheetId="1" r:id="rId2"/>
    <sheet name="Prioridades resposta" sheetId="15" r:id="rId3"/>
    <sheet name="My23.2Vs30" sheetId="8" state="hidden" r:id="rId4"/>
    <sheet name="Aplicadores MY26" sheetId="11" r:id="rId5"/>
    <sheet name="CR MY26" sheetId="9" r:id="rId6"/>
    <sheet name="MY26 Validações Uscar e GMW" sheetId="10" r:id="rId7"/>
    <sheet name="Planilha1" sheetId="13" r:id="rId8"/>
    <sheet name="Planilha2" sheetId="14" r:id="rId9"/>
  </sheets>
  <externalReferences>
    <externalReference r:id="rId10"/>
  </externalReferences>
  <definedNames>
    <definedName name="_xlnm._FilterDatabase" localSheetId="4" hidden="1">'Aplicadores MY26'!$C$2:$M$37</definedName>
    <definedName name="_xlnm._FilterDatabase" localSheetId="1" hidden="1">'Controle de CR'!$A$1:$V$1680</definedName>
    <definedName name="_xlnm._FilterDatabase" localSheetId="5" hidden="1">'CR MY26'!$B$1:$I$42</definedName>
    <definedName name="_xlnm._FilterDatabase" localSheetId="3" hidden="1">'My23.2Vs30'!$A$1:$Q$40</definedName>
    <definedName name="_xlnm._FilterDatabase" localSheetId="6" hidden="1">'MY26 Validações Uscar e GMW'!$A$1:$AN$232</definedName>
    <definedName name="_xlnm._FilterDatabase" localSheetId="8" hidden="1">Planilha2!$C$6:$I$49</definedName>
    <definedName name="_xlnm._FilterDatabase" localSheetId="2" hidden="1">'Prioridades resposta'!$A$1:$M$1</definedName>
    <definedName name="Z_0BC33A9E_050A_4D28_A592_C8434885F3EF_.wvu.FilterData" localSheetId="1" hidden="1">'Controle de CR'!$D$1:$O$119</definedName>
    <definedName name="Z_41BDA570_36B5_4A05_9CE2_1C1C4898B353_.wvu.FilterData" localSheetId="1" hidden="1">'Controle de CR'!$D$1:$O$103</definedName>
    <definedName name="Z_574A39FB_9A86_463F_8649_FABA947CAFC0_.wvu.FilterData" localSheetId="1" hidden="1">'Controle de CR'!$D$1:$O$109</definedName>
    <definedName name="Z_59649D41_B2DF_4AF2_B074_614D0EF7D8E4_.wvu.FilterData" localSheetId="1" hidden="1">'Controle de CR'!$D$1:$O$115</definedName>
    <definedName name="Z_742EC0FF_A871_46AB_AD03_FF83351D3A4E_.wvu.FilterData" localSheetId="1" hidden="1">'Controle de CR'!$D$1:$O$110</definedName>
    <definedName name="Z_8965AC88_D0F1_431D_8148_E8B64869B2D8_.wvu.FilterData" localSheetId="1" hidden="1">'Controle de CR'!$D$1:$O$97</definedName>
    <definedName name="Z_C157E1C3_E025_4807_AB01_296A33491A5F_.wvu.FilterData" localSheetId="1" hidden="1">'Controle de CR'!$D$1:$O$112</definedName>
    <definedName name="Z_D0A55F4A_5BA7_4283_8E8F_B397FDB085D6_.wvu.FilterData" localSheetId="1" hidden="1">'Controle de CR'!$D$1:$O$120</definedName>
    <definedName name="Z_DAA4EDDF_90C1_4EF3_98E5_BA46C8BF9260_.wvu.FilterData" localSheetId="1" hidden="1">'Controle de CR'!$D$1:$O$472</definedName>
    <definedName name="Z_DCAAD6E0_51F1_451C_A332_0A1C03F9415F_.wvu.FilterData" localSheetId="1" hidden="1">'Controle de CR'!$D$1:$O$117</definedName>
    <definedName name="Z_E4AF611A_EC27_4479_8B70_A0FC80129B12_.wvu.FilterData" localSheetId="1" hidden="1">'Controle de CR'!$D$1:$O$118</definedName>
    <definedName name="Z_F38F3558_686E_42B7_87A2_15AED06F545E_.wvu.FilterData" localSheetId="1" hidden="1">'Controle de CR'!$D$1:$O$99</definedName>
    <definedName name="Z_F61E97B1_7D58_45E7_9E3C_4F16C8D03B76_.wvu.FilterData" localSheetId="1" hidden="1">'Controle de CR'!$D$1:$O$117</definedName>
  </definedNames>
  <calcPr calcId="191029"/>
  <customWorkbookViews>
    <customWorkbookView name="Paulo, Paulo - Modo de exibição pessoal" guid="{DAA4EDDF-90C1-4EF3-98E5-BA46C8BF9260}" mergeInterval="0" changesSavedWin="1" personalView="1" maximized="1" xWindow="-9" yWindow="-9" windowWidth="1938" windowHeight="1048" tabRatio="777" activeSheetId="1"/>
    <customWorkbookView name="Santos, Marcelo - Modo de exibição pessoal" guid="{D0A55F4A-5BA7-4283-8E8F-B397FDB085D6}" mergeInterval="0" personalView="1" maximized="1" xWindow="-8" yWindow="-8" windowWidth="1936" windowHeight="1056" tabRatio="751" activeSheetId="1" showComments="commIndAndComment"/>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535" i="1" l="1"/>
  <c r="C1535" i="1"/>
  <c r="B1517" i="1"/>
  <c r="C1517" i="1"/>
  <c r="B1518" i="1"/>
  <c r="C1518" i="1"/>
  <c r="B1519" i="1"/>
  <c r="C1519" i="1"/>
  <c r="B1520" i="1"/>
  <c r="C1520" i="1"/>
  <c r="B1521" i="1"/>
  <c r="C1521" i="1"/>
  <c r="B1522" i="1"/>
  <c r="C1522" i="1"/>
  <c r="B1523" i="1"/>
  <c r="C1523" i="1"/>
  <c r="B1524" i="1"/>
  <c r="C1524" i="1"/>
  <c r="B1525" i="1"/>
  <c r="C1525" i="1"/>
  <c r="B1526" i="1"/>
  <c r="C1526" i="1"/>
  <c r="B1527" i="1"/>
  <c r="C1527" i="1"/>
  <c r="B1528" i="1"/>
  <c r="C1528" i="1"/>
  <c r="B1529" i="1"/>
  <c r="C1529" i="1"/>
  <c r="B1530" i="1"/>
  <c r="C1530" i="1"/>
  <c r="B1531" i="1"/>
  <c r="C1531" i="1"/>
  <c r="B1532" i="1"/>
  <c r="C1532" i="1"/>
  <c r="B1533" i="1"/>
  <c r="C1533" i="1"/>
  <c r="B1534" i="1"/>
  <c r="C1534" i="1"/>
  <c r="B1505" i="1" l="1"/>
  <c r="S2" i="15"/>
  <c r="S3" i="15"/>
  <c r="S4" i="15"/>
  <c r="S5" i="15"/>
  <c r="S6" i="15"/>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99" i="1"/>
  <c r="A300" i="1"/>
  <c r="A301" i="1"/>
  <c r="A302" i="1"/>
  <c r="A303" i="1"/>
  <c r="A304" i="1"/>
  <c r="A305" i="1"/>
  <c r="A306" i="1"/>
  <c r="A307" i="1"/>
  <c r="A308" i="1"/>
  <c r="A309" i="1"/>
  <c r="A310" i="1"/>
  <c r="A311" i="1"/>
  <c r="A312" i="1"/>
  <c r="A313" i="1"/>
  <c r="A314" i="1"/>
  <c r="A315" i="1"/>
  <c r="A316" i="1"/>
  <c r="A317" i="1"/>
  <c r="A318" i="1"/>
  <c r="A319" i="1"/>
  <c r="A320" i="1"/>
  <c r="A321" i="1"/>
  <c r="A322" i="1"/>
  <c r="A323" i="1"/>
  <c r="A324" i="1"/>
  <c r="A325" i="1"/>
  <c r="A326" i="1"/>
  <c r="A327" i="1"/>
  <c r="A328" i="1"/>
  <c r="A329" i="1"/>
  <c r="A330" i="1"/>
  <c r="A331" i="1"/>
  <c r="A332" i="1"/>
  <c r="A333" i="1"/>
  <c r="A334" i="1"/>
  <c r="A335" i="1"/>
  <c r="A336" i="1"/>
  <c r="A337" i="1"/>
  <c r="A338" i="1"/>
  <c r="A339" i="1"/>
  <c r="A340" i="1"/>
  <c r="A341" i="1"/>
  <c r="A342" i="1"/>
  <c r="A343" i="1"/>
  <c r="A344" i="1"/>
  <c r="A345" i="1"/>
  <c r="A346" i="1"/>
  <c r="A347" i="1"/>
  <c r="A348" i="1"/>
  <c r="A349" i="1"/>
  <c r="A350" i="1"/>
  <c r="A351" i="1"/>
  <c r="A352" i="1"/>
  <c r="A353" i="1"/>
  <c r="A354" i="1"/>
  <c r="A355" i="1"/>
  <c r="A356" i="1"/>
  <c r="A357" i="1"/>
  <c r="A358" i="1"/>
  <c r="A359" i="1"/>
  <c r="A360" i="1"/>
  <c r="A361" i="1"/>
  <c r="A362" i="1"/>
  <c r="A363" i="1"/>
  <c r="A364" i="1"/>
  <c r="A365" i="1"/>
  <c r="A366" i="1"/>
  <c r="A367" i="1"/>
  <c r="A368" i="1"/>
  <c r="A369" i="1"/>
  <c r="A370" i="1"/>
  <c r="A371" i="1"/>
  <c r="A372" i="1"/>
  <c r="A373" i="1"/>
  <c r="A374" i="1"/>
  <c r="A375" i="1"/>
  <c r="A376" i="1"/>
  <c r="A377" i="1"/>
  <c r="A378" i="1"/>
  <c r="A379" i="1"/>
  <c r="A380" i="1"/>
  <c r="A381" i="1"/>
  <c r="A382" i="1"/>
  <c r="A383" i="1"/>
  <c r="A384" i="1"/>
  <c r="A385" i="1"/>
  <c r="A386" i="1"/>
  <c r="A387" i="1"/>
  <c r="A388" i="1"/>
  <c r="A389" i="1"/>
  <c r="A390" i="1"/>
  <c r="A391" i="1"/>
  <c r="A392" i="1"/>
  <c r="A393" i="1"/>
  <c r="A394" i="1"/>
  <c r="A395" i="1"/>
  <c r="A396" i="1"/>
  <c r="A397" i="1"/>
  <c r="A398" i="1"/>
  <c r="A399" i="1"/>
  <c r="A400" i="1"/>
  <c r="A401" i="1"/>
  <c r="A402" i="1"/>
  <c r="A403" i="1"/>
  <c r="A404" i="1"/>
  <c r="A405" i="1"/>
  <c r="A406" i="1"/>
  <c r="A407" i="1"/>
  <c r="A408" i="1"/>
  <c r="A409" i="1"/>
  <c r="A410" i="1"/>
  <c r="A411" i="1"/>
  <c r="A412" i="1"/>
  <c r="A413" i="1"/>
  <c r="A414" i="1"/>
  <c r="A415" i="1"/>
  <c r="A416" i="1"/>
  <c r="A417" i="1"/>
  <c r="A418" i="1"/>
  <c r="A419" i="1"/>
  <c r="A420" i="1"/>
  <c r="A421" i="1"/>
  <c r="A422" i="1"/>
  <c r="A423" i="1"/>
  <c r="A424" i="1"/>
  <c r="A425" i="1"/>
  <c r="A426" i="1"/>
  <c r="A427" i="1"/>
  <c r="A428" i="1"/>
  <c r="A429" i="1"/>
  <c r="A430" i="1"/>
  <c r="A431" i="1"/>
  <c r="A432" i="1"/>
  <c r="A433" i="1"/>
  <c r="A434" i="1"/>
  <c r="A435" i="1"/>
  <c r="A436" i="1"/>
  <c r="A437" i="1"/>
  <c r="A438" i="1"/>
  <c r="A439" i="1"/>
  <c r="A440" i="1"/>
  <c r="A441" i="1"/>
  <c r="A442" i="1"/>
  <c r="A443" i="1"/>
  <c r="A444" i="1"/>
  <c r="A445" i="1"/>
  <c r="A446" i="1"/>
  <c r="A447" i="1"/>
  <c r="A448" i="1"/>
  <c r="A449" i="1"/>
  <c r="A450" i="1"/>
  <c r="A451" i="1"/>
  <c r="A452" i="1"/>
  <c r="A453" i="1"/>
  <c r="A454" i="1"/>
  <c r="A455" i="1"/>
  <c r="A456" i="1"/>
  <c r="A457" i="1"/>
  <c r="A458" i="1"/>
  <c r="A459" i="1"/>
  <c r="A460" i="1"/>
  <c r="A461" i="1"/>
  <c r="A462" i="1"/>
  <c r="A463" i="1"/>
  <c r="A464" i="1"/>
  <c r="A465" i="1"/>
  <c r="A466" i="1"/>
  <c r="A467" i="1"/>
  <c r="A468" i="1"/>
  <c r="A469" i="1"/>
  <c r="A470" i="1"/>
  <c r="A471" i="1"/>
  <c r="A472" i="1"/>
  <c r="A473" i="1"/>
  <c r="A474" i="1"/>
  <c r="A475" i="1"/>
  <c r="A476" i="1"/>
  <c r="A477" i="1"/>
  <c r="A478" i="1"/>
  <c r="A479" i="1"/>
  <c r="A480" i="1"/>
  <c r="A481" i="1"/>
  <c r="A482" i="1"/>
  <c r="A483" i="1"/>
  <c r="A484" i="1"/>
  <c r="A485" i="1"/>
  <c r="A486" i="1"/>
  <c r="A487" i="1"/>
  <c r="A488" i="1"/>
  <c r="A489" i="1"/>
  <c r="A490" i="1"/>
  <c r="A491" i="1"/>
  <c r="A492" i="1"/>
  <c r="A493" i="1"/>
  <c r="A494" i="1"/>
  <c r="A495" i="1"/>
  <c r="A496" i="1"/>
  <c r="A497" i="1"/>
  <c r="A498" i="1"/>
  <c r="A499" i="1"/>
  <c r="A500" i="1"/>
  <c r="A501" i="1"/>
  <c r="A502" i="1"/>
  <c r="A503" i="1"/>
  <c r="A504" i="1"/>
  <c r="A505" i="1"/>
  <c r="A506" i="1"/>
  <c r="A507" i="1"/>
  <c r="A508" i="1"/>
  <c r="A509" i="1"/>
  <c r="A510" i="1"/>
  <c r="A511" i="1"/>
  <c r="A512" i="1"/>
  <c r="A513" i="1"/>
  <c r="A514" i="1"/>
  <c r="A515" i="1"/>
  <c r="A516" i="1"/>
  <c r="A517" i="1"/>
  <c r="A518" i="1"/>
  <c r="A519" i="1"/>
  <c r="A520" i="1"/>
  <c r="A521" i="1"/>
  <c r="A522" i="1"/>
  <c r="A523" i="1"/>
  <c r="A524" i="1"/>
  <c r="A525" i="1"/>
  <c r="A526" i="1"/>
  <c r="A527" i="1"/>
  <c r="A528" i="1"/>
  <c r="A529" i="1"/>
  <c r="A530" i="1"/>
  <c r="A531" i="1"/>
  <c r="A532" i="1"/>
  <c r="A533" i="1"/>
  <c r="A534" i="1"/>
  <c r="A535" i="1"/>
  <c r="A536" i="1"/>
  <c r="A537" i="1"/>
  <c r="A538" i="1"/>
  <c r="A539" i="1"/>
  <c r="A540" i="1"/>
  <c r="A541" i="1"/>
  <c r="A542" i="1"/>
  <c r="A543" i="1"/>
  <c r="A544" i="1"/>
  <c r="A545" i="1"/>
  <c r="A546" i="1"/>
  <c r="A547" i="1"/>
  <c r="A548" i="1"/>
  <c r="A549" i="1"/>
  <c r="A550" i="1"/>
  <c r="A551" i="1"/>
  <c r="A552" i="1"/>
  <c r="A553" i="1"/>
  <c r="A554" i="1"/>
  <c r="A555" i="1"/>
  <c r="A556" i="1"/>
  <c r="A557" i="1"/>
  <c r="A558" i="1"/>
  <c r="A559" i="1"/>
  <c r="A560" i="1"/>
  <c r="A561" i="1"/>
  <c r="A562" i="1"/>
  <c r="A563" i="1"/>
  <c r="A564" i="1"/>
  <c r="A565" i="1"/>
  <c r="A566" i="1"/>
  <c r="A567" i="1"/>
  <c r="A568" i="1"/>
  <c r="A569" i="1"/>
  <c r="A570" i="1"/>
  <c r="A571" i="1"/>
  <c r="A572" i="1"/>
  <c r="A573" i="1"/>
  <c r="A574" i="1"/>
  <c r="A575" i="1"/>
  <c r="A576" i="1"/>
  <c r="A577" i="1"/>
  <c r="A578" i="1"/>
  <c r="A579" i="1"/>
  <c r="A580" i="1"/>
  <c r="A581" i="1"/>
  <c r="A582" i="1"/>
  <c r="A583" i="1"/>
  <c r="A584" i="1"/>
  <c r="A585" i="1"/>
  <c r="A586" i="1"/>
  <c r="A587" i="1"/>
  <c r="A588" i="1"/>
  <c r="A589" i="1"/>
  <c r="A590" i="1"/>
  <c r="A591" i="1"/>
  <c r="A592" i="1"/>
  <c r="A593" i="1"/>
  <c r="A594" i="1"/>
  <c r="A595" i="1"/>
  <c r="A596" i="1"/>
  <c r="A597" i="1"/>
  <c r="A598" i="1"/>
  <c r="A599" i="1"/>
  <c r="A600" i="1"/>
  <c r="A601" i="1"/>
  <c r="A602" i="1"/>
  <c r="A603" i="1"/>
  <c r="A604" i="1"/>
  <c r="A605" i="1"/>
  <c r="A606" i="1"/>
  <c r="A607" i="1"/>
  <c r="A608" i="1"/>
  <c r="A609" i="1"/>
  <c r="A610" i="1"/>
  <c r="A611" i="1"/>
  <c r="A612" i="1"/>
  <c r="A613" i="1"/>
  <c r="A614" i="1"/>
  <c r="A615" i="1"/>
  <c r="A616" i="1"/>
  <c r="A617" i="1"/>
  <c r="A618" i="1"/>
  <c r="A619" i="1"/>
  <c r="A620" i="1"/>
  <c r="A621" i="1"/>
  <c r="A622" i="1"/>
  <c r="A623" i="1"/>
  <c r="A624" i="1"/>
  <c r="A625" i="1"/>
  <c r="A626" i="1"/>
  <c r="A627" i="1"/>
  <c r="A628" i="1"/>
  <c r="A629" i="1"/>
  <c r="A630" i="1"/>
  <c r="A631" i="1"/>
  <c r="A632" i="1"/>
  <c r="A633" i="1"/>
  <c r="A634" i="1"/>
  <c r="A635" i="1"/>
  <c r="A636" i="1"/>
  <c r="A637" i="1"/>
  <c r="A638" i="1"/>
  <c r="A639" i="1"/>
  <c r="A640" i="1"/>
  <c r="A641" i="1"/>
  <c r="A642" i="1"/>
  <c r="A643" i="1"/>
  <c r="A644" i="1"/>
  <c r="A645" i="1"/>
  <c r="A646" i="1"/>
  <c r="A647" i="1"/>
  <c r="A648" i="1"/>
  <c r="A649" i="1"/>
  <c r="A650" i="1"/>
  <c r="A651" i="1"/>
  <c r="A652" i="1"/>
  <c r="A653" i="1"/>
  <c r="A654" i="1"/>
  <c r="A655" i="1"/>
  <c r="A656" i="1"/>
  <c r="A657" i="1"/>
  <c r="A658" i="1"/>
  <c r="A659" i="1"/>
  <c r="A660" i="1"/>
  <c r="A661" i="1"/>
  <c r="A662" i="1"/>
  <c r="A663" i="1"/>
  <c r="A664" i="1"/>
  <c r="A665" i="1"/>
  <c r="A666" i="1"/>
  <c r="A667" i="1"/>
  <c r="A668" i="1"/>
  <c r="A669" i="1"/>
  <c r="A670" i="1"/>
  <c r="A671" i="1"/>
  <c r="A672" i="1"/>
  <c r="A673" i="1"/>
  <c r="A674" i="1"/>
  <c r="A675" i="1"/>
  <c r="A676" i="1"/>
  <c r="A677" i="1"/>
  <c r="A678" i="1"/>
  <c r="A679" i="1"/>
  <c r="A680" i="1"/>
  <c r="A681" i="1"/>
  <c r="A682" i="1"/>
  <c r="A683" i="1"/>
  <c r="A684" i="1"/>
  <c r="A685" i="1"/>
  <c r="A686" i="1"/>
  <c r="A687" i="1"/>
  <c r="A688" i="1"/>
  <c r="A689" i="1"/>
  <c r="A690" i="1"/>
  <c r="A691" i="1"/>
  <c r="A692" i="1"/>
  <c r="A693" i="1"/>
  <c r="A694" i="1"/>
  <c r="A695" i="1"/>
  <c r="A696" i="1"/>
  <c r="A697" i="1"/>
  <c r="A698" i="1"/>
  <c r="A699" i="1"/>
  <c r="A700" i="1"/>
  <c r="A701" i="1"/>
  <c r="A702" i="1"/>
  <c r="A703" i="1"/>
  <c r="A704" i="1"/>
  <c r="A705" i="1"/>
  <c r="A706" i="1"/>
  <c r="A707" i="1"/>
  <c r="A708" i="1"/>
  <c r="A709" i="1"/>
  <c r="A710" i="1"/>
  <c r="A711" i="1"/>
  <c r="A712" i="1"/>
  <c r="A713" i="1"/>
  <c r="A714" i="1"/>
  <c r="A715" i="1"/>
  <c r="A716" i="1"/>
  <c r="A717" i="1"/>
  <c r="A718" i="1"/>
  <c r="A719" i="1"/>
  <c r="A720" i="1"/>
  <c r="A721" i="1"/>
  <c r="A722" i="1"/>
  <c r="A723" i="1"/>
  <c r="A724" i="1"/>
  <c r="A725" i="1"/>
  <c r="A726" i="1"/>
  <c r="A727" i="1"/>
  <c r="A728" i="1"/>
  <c r="A729" i="1"/>
  <c r="A730" i="1"/>
  <c r="A731" i="1"/>
  <c r="A732" i="1"/>
  <c r="A733" i="1"/>
  <c r="A734" i="1"/>
  <c r="A735" i="1"/>
  <c r="A736" i="1"/>
  <c r="A737" i="1"/>
  <c r="A738" i="1"/>
  <c r="A739" i="1"/>
  <c r="A740" i="1"/>
  <c r="A741" i="1"/>
  <c r="A742" i="1"/>
  <c r="A743" i="1"/>
  <c r="A744" i="1"/>
  <c r="A745" i="1"/>
  <c r="A746" i="1"/>
  <c r="A747" i="1"/>
  <c r="A748" i="1"/>
  <c r="A749" i="1"/>
  <c r="A750" i="1"/>
  <c r="A751" i="1"/>
  <c r="A752" i="1"/>
  <c r="A753" i="1"/>
  <c r="A754" i="1"/>
  <c r="A755" i="1"/>
  <c r="A756" i="1"/>
  <c r="A757" i="1"/>
  <c r="A758" i="1"/>
  <c r="A759" i="1"/>
  <c r="A760" i="1"/>
  <c r="A761" i="1"/>
  <c r="A762" i="1"/>
  <c r="A763" i="1"/>
  <c r="A764" i="1"/>
  <c r="A765" i="1"/>
  <c r="A766" i="1"/>
  <c r="A767" i="1"/>
  <c r="A768" i="1"/>
  <c r="A769" i="1"/>
  <c r="A770" i="1"/>
  <c r="A771" i="1"/>
  <c r="A772" i="1"/>
  <c r="A773" i="1"/>
  <c r="A774" i="1"/>
  <c r="A775" i="1"/>
  <c r="A776" i="1"/>
  <c r="A777" i="1"/>
  <c r="A778" i="1"/>
  <c r="A779" i="1"/>
  <c r="A780" i="1"/>
  <c r="A781" i="1"/>
  <c r="A782" i="1"/>
  <c r="A783" i="1"/>
  <c r="A784" i="1"/>
  <c r="A785" i="1"/>
  <c r="A786" i="1"/>
  <c r="A787" i="1"/>
  <c r="A788" i="1"/>
  <c r="A789" i="1"/>
  <c r="A790" i="1"/>
  <c r="A791" i="1"/>
  <c r="A792" i="1"/>
  <c r="A793" i="1"/>
  <c r="A794" i="1"/>
  <c r="A795" i="1"/>
  <c r="A796" i="1"/>
  <c r="A797" i="1"/>
  <c r="A798" i="1"/>
  <c r="A799" i="1"/>
  <c r="A800" i="1"/>
  <c r="A801" i="1"/>
  <c r="A802" i="1"/>
  <c r="A803" i="1"/>
  <c r="A804" i="1"/>
  <c r="A805" i="1"/>
  <c r="A806" i="1"/>
  <c r="A807" i="1"/>
  <c r="A808" i="1"/>
  <c r="A809" i="1"/>
  <c r="A810" i="1"/>
  <c r="A811" i="1"/>
  <c r="A812" i="1"/>
  <c r="A813" i="1"/>
  <c r="A814" i="1"/>
  <c r="A815" i="1"/>
  <c r="A816" i="1"/>
  <c r="A817" i="1"/>
  <c r="A818" i="1"/>
  <c r="A819" i="1"/>
  <c r="A820" i="1"/>
  <c r="A821" i="1"/>
  <c r="A822" i="1"/>
  <c r="A823" i="1"/>
  <c r="A824" i="1"/>
  <c r="A825" i="1"/>
  <c r="A826" i="1"/>
  <c r="A827" i="1"/>
  <c r="A828" i="1"/>
  <c r="A829" i="1"/>
  <c r="A830" i="1"/>
  <c r="A831" i="1"/>
  <c r="A832" i="1"/>
  <c r="A833" i="1"/>
  <c r="A834" i="1"/>
  <c r="A835" i="1"/>
  <c r="A836" i="1"/>
  <c r="A837" i="1"/>
  <c r="A838" i="1"/>
  <c r="A839" i="1"/>
  <c r="A840" i="1"/>
  <c r="A841" i="1"/>
  <c r="A842" i="1"/>
  <c r="A843" i="1"/>
  <c r="A844" i="1"/>
  <c r="A845" i="1"/>
  <c r="A846" i="1"/>
  <c r="A847" i="1"/>
  <c r="A848" i="1"/>
  <c r="A849" i="1"/>
  <c r="A850" i="1"/>
  <c r="A851" i="1"/>
  <c r="A852" i="1"/>
  <c r="A853" i="1"/>
  <c r="A854" i="1"/>
  <c r="A855" i="1"/>
  <c r="A856" i="1"/>
  <c r="A857" i="1"/>
  <c r="A858" i="1"/>
  <c r="A859" i="1"/>
  <c r="A860" i="1"/>
  <c r="A861" i="1"/>
  <c r="A862" i="1"/>
  <c r="A863" i="1"/>
  <c r="A864" i="1"/>
  <c r="A865" i="1"/>
  <c r="A866" i="1"/>
  <c r="A867" i="1"/>
  <c r="A868" i="1"/>
  <c r="A869" i="1"/>
  <c r="A870" i="1"/>
  <c r="A871" i="1"/>
  <c r="A872" i="1"/>
  <c r="A873" i="1"/>
  <c r="A874" i="1"/>
  <c r="A875" i="1"/>
  <c r="A876" i="1"/>
  <c r="A877" i="1"/>
  <c r="A878" i="1"/>
  <c r="A879" i="1"/>
  <c r="A880" i="1"/>
  <c r="A881" i="1"/>
  <c r="A882" i="1"/>
  <c r="A883" i="1"/>
  <c r="A884" i="1"/>
  <c r="A885" i="1"/>
  <c r="A886" i="1"/>
  <c r="A887" i="1"/>
  <c r="A888" i="1"/>
  <c r="A889" i="1"/>
  <c r="A890" i="1"/>
  <c r="A891" i="1"/>
  <c r="A892" i="1"/>
  <c r="A893" i="1"/>
  <c r="A894" i="1"/>
  <c r="A895" i="1"/>
  <c r="A896" i="1"/>
  <c r="A897" i="1"/>
  <c r="A898" i="1"/>
  <c r="A899" i="1"/>
  <c r="A900" i="1"/>
  <c r="A901" i="1"/>
  <c r="A902" i="1"/>
  <c r="A903" i="1"/>
  <c r="A904" i="1"/>
  <c r="A905" i="1"/>
  <c r="A906" i="1"/>
  <c r="A907" i="1"/>
  <c r="A908" i="1"/>
  <c r="A909" i="1"/>
  <c r="A910" i="1"/>
  <c r="A911" i="1"/>
  <c r="A912" i="1"/>
  <c r="A913" i="1"/>
  <c r="A914" i="1"/>
  <c r="A915" i="1"/>
  <c r="A916" i="1"/>
  <c r="A917" i="1"/>
  <c r="A918" i="1"/>
  <c r="A919" i="1"/>
  <c r="A920" i="1"/>
  <c r="A921" i="1"/>
  <c r="A922" i="1"/>
  <c r="A923" i="1"/>
  <c r="A924" i="1"/>
  <c r="A925" i="1"/>
  <c r="A926" i="1"/>
  <c r="A927" i="1"/>
  <c r="A928" i="1"/>
  <c r="A929" i="1"/>
  <c r="A930" i="1"/>
  <c r="A931" i="1"/>
  <c r="A932" i="1"/>
  <c r="A933" i="1"/>
  <c r="A934" i="1"/>
  <c r="A935" i="1"/>
  <c r="A936" i="1"/>
  <c r="A937" i="1"/>
  <c r="A938" i="1"/>
  <c r="A939" i="1"/>
  <c r="A940" i="1"/>
  <c r="A941" i="1"/>
  <c r="A942" i="1"/>
  <c r="A943" i="1"/>
  <c r="A944" i="1"/>
  <c r="A945" i="1"/>
  <c r="A946" i="1"/>
  <c r="A947" i="1"/>
  <c r="A948" i="1"/>
  <c r="A949" i="1"/>
  <c r="A950" i="1"/>
  <c r="A951" i="1"/>
  <c r="A952" i="1"/>
  <c r="A953" i="1"/>
  <c r="A954" i="1"/>
  <c r="A955" i="1"/>
  <c r="A956" i="1"/>
  <c r="A957" i="1"/>
  <c r="A958" i="1"/>
  <c r="A959" i="1"/>
  <c r="A960" i="1"/>
  <c r="A961" i="1"/>
  <c r="A962" i="1"/>
  <c r="A963" i="1"/>
  <c r="A964" i="1"/>
  <c r="A965" i="1"/>
  <c r="A966" i="1"/>
  <c r="A967" i="1"/>
  <c r="A968" i="1"/>
  <c r="A969" i="1"/>
  <c r="A970" i="1"/>
  <c r="A971" i="1"/>
  <c r="A972" i="1"/>
  <c r="A973" i="1"/>
  <c r="A974" i="1"/>
  <c r="A975" i="1"/>
  <c r="A976" i="1"/>
  <c r="A977" i="1"/>
  <c r="A978" i="1"/>
  <c r="A979" i="1"/>
  <c r="A980" i="1"/>
  <c r="A981" i="1"/>
  <c r="A982" i="1"/>
  <c r="A983" i="1"/>
  <c r="A984" i="1"/>
  <c r="A985" i="1"/>
  <c r="A986" i="1"/>
  <c r="A987" i="1"/>
  <c r="A988" i="1"/>
  <c r="A989" i="1"/>
  <c r="A990" i="1"/>
  <c r="A991" i="1"/>
  <c r="A992" i="1"/>
  <c r="A993" i="1"/>
  <c r="A994" i="1"/>
  <c r="A995" i="1"/>
  <c r="A996" i="1"/>
  <c r="A997" i="1"/>
  <c r="A998" i="1"/>
  <c r="A999" i="1"/>
  <c r="A1000" i="1"/>
  <c r="A1001" i="1"/>
  <c r="A1002" i="1"/>
  <c r="A1003" i="1"/>
  <c r="A1004" i="1"/>
  <c r="A1005" i="1"/>
  <c r="A1006" i="1"/>
  <c r="A1007" i="1"/>
  <c r="A1008" i="1"/>
  <c r="A1009" i="1"/>
  <c r="A1010" i="1"/>
  <c r="A1011" i="1"/>
  <c r="A1012" i="1"/>
  <c r="A1013" i="1"/>
  <c r="A1014" i="1"/>
  <c r="A1015" i="1"/>
  <c r="A1016" i="1"/>
  <c r="A1017" i="1"/>
  <c r="A1018" i="1"/>
  <c r="A1019" i="1"/>
  <c r="A1020" i="1"/>
  <c r="A1021" i="1"/>
  <c r="A1022" i="1"/>
  <c r="A1023" i="1"/>
  <c r="A1024" i="1"/>
  <c r="A1025" i="1"/>
  <c r="A1026" i="1"/>
  <c r="A1027" i="1"/>
  <c r="A1028" i="1"/>
  <c r="A1029" i="1"/>
  <c r="A1030" i="1"/>
  <c r="A1031" i="1"/>
  <c r="A1032" i="1"/>
  <c r="A1033" i="1"/>
  <c r="A1034" i="1"/>
  <c r="A1035" i="1"/>
  <c r="A1036" i="1"/>
  <c r="A1037" i="1"/>
  <c r="A1038" i="1"/>
  <c r="A1039" i="1"/>
  <c r="A1040" i="1"/>
  <c r="A1041" i="1"/>
  <c r="A1042" i="1"/>
  <c r="A1043" i="1"/>
  <c r="A1044" i="1"/>
  <c r="A1045" i="1"/>
  <c r="A1046" i="1"/>
  <c r="A1047" i="1"/>
  <c r="A1048" i="1"/>
  <c r="A1049" i="1"/>
  <c r="A1050" i="1"/>
  <c r="A1051" i="1"/>
  <c r="A1052" i="1"/>
  <c r="A1053" i="1"/>
  <c r="A1054" i="1"/>
  <c r="A1055" i="1"/>
  <c r="A1056" i="1"/>
  <c r="A1057" i="1"/>
  <c r="A1058" i="1"/>
  <c r="A1059" i="1"/>
  <c r="A1060" i="1"/>
  <c r="A1061" i="1"/>
  <c r="A1062" i="1"/>
  <c r="A1063" i="1"/>
  <c r="A1064" i="1"/>
  <c r="A1065" i="1"/>
  <c r="A1066" i="1"/>
  <c r="A1067" i="1"/>
  <c r="A1068" i="1"/>
  <c r="A1069" i="1"/>
  <c r="A1070" i="1"/>
  <c r="A1071" i="1"/>
  <c r="A1072" i="1"/>
  <c r="A1073" i="1"/>
  <c r="A1074" i="1"/>
  <c r="A1075" i="1"/>
  <c r="A1076" i="1"/>
  <c r="A1077" i="1"/>
  <c r="A1078" i="1"/>
  <c r="A1079" i="1"/>
  <c r="A1080" i="1"/>
  <c r="A1081" i="1"/>
  <c r="A1082" i="1"/>
  <c r="A1083" i="1"/>
  <c r="A1084" i="1"/>
  <c r="A1085" i="1"/>
  <c r="A1086" i="1"/>
  <c r="A1087" i="1"/>
  <c r="A1088" i="1"/>
  <c r="A1089" i="1"/>
  <c r="A1090" i="1"/>
  <c r="A1091" i="1"/>
  <c r="A1092" i="1"/>
  <c r="A1093" i="1"/>
  <c r="A1094" i="1"/>
  <c r="A1095" i="1"/>
  <c r="A1096" i="1"/>
  <c r="A1097" i="1"/>
  <c r="A1098" i="1"/>
  <c r="A1099" i="1"/>
  <c r="A1100" i="1"/>
  <c r="A1101" i="1"/>
  <c r="A1102" i="1"/>
  <c r="A1103" i="1"/>
  <c r="A1104" i="1"/>
  <c r="A1105" i="1"/>
  <c r="A1106" i="1"/>
  <c r="A1107" i="1"/>
  <c r="A1108" i="1"/>
  <c r="A1109" i="1"/>
  <c r="A1110" i="1"/>
  <c r="A1111" i="1"/>
  <c r="A1112" i="1"/>
  <c r="A1113" i="1"/>
  <c r="A1114" i="1"/>
  <c r="A1115" i="1"/>
  <c r="A1116" i="1"/>
  <c r="A1117" i="1"/>
  <c r="A1118" i="1"/>
  <c r="A1119" i="1"/>
  <c r="A1120" i="1"/>
  <c r="A1121" i="1"/>
  <c r="A1122" i="1"/>
  <c r="A1123" i="1"/>
  <c r="A1124" i="1"/>
  <c r="A1125" i="1"/>
  <c r="A1126" i="1"/>
  <c r="A1127" i="1"/>
  <c r="A1128" i="1"/>
  <c r="A1129" i="1"/>
  <c r="A1130" i="1"/>
  <c r="A1131" i="1"/>
  <c r="A1132" i="1"/>
  <c r="A1133" i="1"/>
  <c r="A1134" i="1"/>
  <c r="A1135" i="1"/>
  <c r="A1136" i="1"/>
  <c r="A1137" i="1"/>
  <c r="A1138" i="1"/>
  <c r="A1139" i="1"/>
  <c r="A1140" i="1"/>
  <c r="A1141" i="1"/>
  <c r="A1142" i="1"/>
  <c r="A1143" i="1"/>
  <c r="A1144" i="1"/>
  <c r="A1145" i="1"/>
  <c r="A1146" i="1"/>
  <c r="A1147" i="1"/>
  <c r="A1148" i="1"/>
  <c r="A1149" i="1"/>
  <c r="A1150" i="1"/>
  <c r="A1151" i="1"/>
  <c r="A1152" i="1"/>
  <c r="A1153" i="1"/>
  <c r="A1154" i="1"/>
  <c r="A1155" i="1"/>
  <c r="A1156" i="1"/>
  <c r="A1157" i="1"/>
  <c r="A1158" i="1"/>
  <c r="A1159" i="1"/>
  <c r="A1160" i="1"/>
  <c r="A1161" i="1"/>
  <c r="A1162" i="1"/>
  <c r="A1163" i="1"/>
  <c r="A1164" i="1"/>
  <c r="A1165" i="1"/>
  <c r="A1166" i="1"/>
  <c r="A1167" i="1"/>
  <c r="A1168" i="1"/>
  <c r="A1169" i="1"/>
  <c r="A1170" i="1"/>
  <c r="A1171" i="1"/>
  <c r="A1172" i="1"/>
  <c r="A1173" i="1"/>
  <c r="A1174" i="1"/>
  <c r="A1175" i="1"/>
  <c r="A1176" i="1"/>
  <c r="A1177" i="1"/>
  <c r="A1178" i="1"/>
  <c r="A1179" i="1"/>
  <c r="A1180" i="1"/>
  <c r="A1181" i="1"/>
  <c r="A1182" i="1"/>
  <c r="A1183" i="1"/>
  <c r="A1184" i="1"/>
  <c r="A1185" i="1"/>
  <c r="A1186" i="1"/>
  <c r="A1187" i="1"/>
  <c r="A1188" i="1"/>
  <c r="A1189" i="1"/>
  <c r="A1190" i="1"/>
  <c r="A1191" i="1"/>
  <c r="A1192" i="1"/>
  <c r="A1193" i="1"/>
  <c r="A1194" i="1"/>
  <c r="A1195" i="1"/>
  <c r="A1196" i="1"/>
  <c r="A1197" i="1"/>
  <c r="A1198" i="1"/>
  <c r="A1199" i="1"/>
  <c r="A1200" i="1"/>
  <c r="A1201" i="1"/>
  <c r="A1202" i="1"/>
  <c r="A1203" i="1"/>
  <c r="A1204" i="1"/>
  <c r="A1205" i="1"/>
  <c r="A1206" i="1"/>
  <c r="A1207" i="1"/>
  <c r="A1208" i="1"/>
  <c r="A1209" i="1"/>
  <c r="A1210" i="1"/>
  <c r="A1211" i="1"/>
  <c r="A1212" i="1"/>
  <c r="A1213" i="1"/>
  <c r="A1214" i="1"/>
  <c r="A1215" i="1"/>
  <c r="A1216" i="1"/>
  <c r="A1217" i="1"/>
  <c r="A1218" i="1"/>
  <c r="A1219" i="1"/>
  <c r="A1220" i="1"/>
  <c r="A1221" i="1"/>
  <c r="A1222" i="1"/>
  <c r="A1223" i="1"/>
  <c r="A1224" i="1"/>
  <c r="A1225" i="1"/>
  <c r="A1226" i="1"/>
  <c r="A1227" i="1"/>
  <c r="A1228" i="1"/>
  <c r="A1229" i="1"/>
  <c r="A1230" i="1"/>
  <c r="A1231" i="1"/>
  <c r="A1232" i="1"/>
  <c r="A1233" i="1"/>
  <c r="A1234" i="1"/>
  <c r="A1235" i="1"/>
  <c r="A1236" i="1"/>
  <c r="A1237" i="1"/>
  <c r="A1238" i="1"/>
  <c r="A1239" i="1"/>
  <c r="A1240" i="1"/>
  <c r="A1241" i="1"/>
  <c r="A1242" i="1"/>
  <c r="A1243" i="1"/>
  <c r="A1244" i="1"/>
  <c r="A1245" i="1"/>
  <c r="A1246" i="1"/>
  <c r="A1247" i="1"/>
  <c r="A1248" i="1"/>
  <c r="A1249" i="1"/>
  <c r="A1250" i="1"/>
  <c r="A1251" i="1"/>
  <c r="A1252" i="1"/>
  <c r="A1253" i="1"/>
  <c r="A1254" i="1"/>
  <c r="A1255" i="1"/>
  <c r="A1256" i="1"/>
  <c r="A1257" i="1"/>
  <c r="A1258" i="1"/>
  <c r="A1259" i="1"/>
  <c r="A1260" i="1"/>
  <c r="A1261" i="1"/>
  <c r="A1262" i="1"/>
  <c r="A1263" i="1"/>
  <c r="A1264" i="1"/>
  <c r="A1265" i="1"/>
  <c r="A1266" i="1"/>
  <c r="A1267" i="1"/>
  <c r="A1268" i="1"/>
  <c r="A1269" i="1"/>
  <c r="A1270" i="1"/>
  <c r="A1271" i="1"/>
  <c r="A1272" i="1"/>
  <c r="A1273" i="1"/>
  <c r="A1274" i="1"/>
  <c r="A1275" i="1"/>
  <c r="A1276" i="1"/>
  <c r="A1277" i="1"/>
  <c r="A1278" i="1"/>
  <c r="A1279" i="1"/>
  <c r="A1280" i="1"/>
  <c r="A1281" i="1"/>
  <c r="A1282" i="1"/>
  <c r="A1283" i="1"/>
  <c r="A1284" i="1"/>
  <c r="A1285" i="1"/>
  <c r="A1286" i="1"/>
  <c r="A1287" i="1"/>
  <c r="A1288" i="1"/>
  <c r="A1289" i="1"/>
  <c r="A1290" i="1"/>
  <c r="A1291" i="1"/>
  <c r="A1292" i="1"/>
  <c r="A1293" i="1"/>
  <c r="A1294" i="1"/>
  <c r="A1295" i="1"/>
  <c r="A1296" i="1"/>
  <c r="A1297" i="1"/>
  <c r="A1298" i="1"/>
  <c r="A1299" i="1"/>
  <c r="A1300" i="1"/>
  <c r="A1301" i="1"/>
  <c r="A1302" i="1"/>
  <c r="A1303" i="1"/>
  <c r="A1304" i="1"/>
  <c r="A1305" i="1"/>
  <c r="A1306" i="1"/>
  <c r="A1307" i="1"/>
  <c r="A1308" i="1"/>
  <c r="A1309" i="1"/>
  <c r="A1310" i="1"/>
  <c r="A1311" i="1"/>
  <c r="A1312" i="1"/>
  <c r="A1313" i="1"/>
  <c r="A1314" i="1"/>
  <c r="A1315" i="1"/>
  <c r="A1316" i="1"/>
  <c r="A1317" i="1"/>
  <c r="A1318" i="1"/>
  <c r="A1319" i="1"/>
  <c r="A1320" i="1"/>
  <c r="A1321" i="1"/>
  <c r="A1322" i="1"/>
  <c r="A1323" i="1"/>
  <c r="A1324" i="1"/>
  <c r="A1325" i="1"/>
  <c r="A1326" i="1"/>
  <c r="A1327" i="1"/>
  <c r="A1328" i="1"/>
  <c r="A1329" i="1"/>
  <c r="A1330" i="1"/>
  <c r="A1331" i="1"/>
  <c r="A1332" i="1"/>
  <c r="A1333" i="1"/>
  <c r="A1334" i="1"/>
  <c r="A1335" i="1"/>
  <c r="A1336" i="1"/>
  <c r="A1337" i="1"/>
  <c r="A1338" i="1"/>
  <c r="A1339" i="1"/>
  <c r="A1340" i="1"/>
  <c r="A1341" i="1"/>
  <c r="A1342" i="1"/>
  <c r="A1343" i="1"/>
  <c r="A1344" i="1"/>
  <c r="A1345" i="1"/>
  <c r="A1346" i="1"/>
  <c r="A1347" i="1"/>
  <c r="A1348" i="1"/>
  <c r="A1349" i="1"/>
  <c r="A1350" i="1"/>
  <c r="A1351" i="1"/>
  <c r="A1352" i="1"/>
  <c r="A1353" i="1"/>
  <c r="A1354" i="1"/>
  <c r="A1355" i="1"/>
  <c r="A1356" i="1"/>
  <c r="A1357" i="1"/>
  <c r="A1358" i="1"/>
  <c r="A1359" i="1"/>
  <c r="A1360" i="1"/>
  <c r="A1361" i="1"/>
  <c r="A1362" i="1"/>
  <c r="A1363" i="1"/>
  <c r="A1364" i="1"/>
  <c r="A1365" i="1"/>
  <c r="A1366" i="1"/>
  <c r="A1367" i="1"/>
  <c r="A1368" i="1"/>
  <c r="A1369" i="1"/>
  <c r="A1370" i="1"/>
  <c r="A1371" i="1"/>
  <c r="A1372" i="1"/>
  <c r="A1373" i="1"/>
  <c r="A1374" i="1"/>
  <c r="A1375" i="1"/>
  <c r="A1376" i="1"/>
  <c r="A1377" i="1"/>
  <c r="A1378" i="1"/>
  <c r="A1379" i="1"/>
  <c r="A1380" i="1"/>
  <c r="A1381" i="1"/>
  <c r="A1382" i="1"/>
  <c r="A1383" i="1"/>
  <c r="A1384" i="1"/>
  <c r="A1385" i="1"/>
  <c r="A1386" i="1"/>
  <c r="A1387" i="1"/>
  <c r="A1388" i="1"/>
  <c r="A1389" i="1"/>
  <c r="A1390" i="1"/>
  <c r="A1391" i="1"/>
  <c r="A1392" i="1"/>
  <c r="A1393" i="1"/>
  <c r="A1394" i="1"/>
  <c r="A1395" i="1"/>
  <c r="A1396" i="1"/>
  <c r="A1397" i="1"/>
  <c r="A1398" i="1"/>
  <c r="A1399" i="1"/>
  <c r="A1400" i="1"/>
  <c r="A1401" i="1"/>
  <c r="A1402" i="1"/>
  <c r="A1403" i="1"/>
  <c r="A1404" i="1"/>
  <c r="A1405" i="1"/>
  <c r="A1406" i="1"/>
  <c r="A1407" i="1"/>
  <c r="A1408" i="1"/>
  <c r="A1409" i="1"/>
  <c r="A1410" i="1"/>
  <c r="A1411" i="1"/>
  <c r="A1412" i="1"/>
  <c r="A1413" i="1"/>
  <c r="A1414" i="1"/>
  <c r="A1415" i="1"/>
  <c r="A1416" i="1"/>
  <c r="A1417" i="1"/>
  <c r="A1418" i="1"/>
  <c r="A1419" i="1"/>
  <c r="A1420" i="1"/>
  <c r="A1421" i="1"/>
  <c r="A1422" i="1"/>
  <c r="A1423" i="1"/>
  <c r="A1424" i="1"/>
  <c r="A1425" i="1"/>
  <c r="A1426" i="1"/>
  <c r="A1427" i="1"/>
  <c r="A1428" i="1"/>
  <c r="A1429" i="1"/>
  <c r="A1430" i="1"/>
  <c r="A1431" i="1"/>
  <c r="A1432" i="1"/>
  <c r="A1433" i="1"/>
  <c r="A1434" i="1"/>
  <c r="A1435" i="1"/>
  <c r="A1436" i="1"/>
  <c r="A1437" i="1"/>
  <c r="A1438" i="1"/>
  <c r="A1439" i="1"/>
  <c r="A1440" i="1"/>
  <c r="A1441" i="1"/>
  <c r="A1442" i="1"/>
  <c r="A1443" i="1"/>
  <c r="A1444" i="1"/>
  <c r="A1445" i="1"/>
  <c r="A1446" i="1"/>
  <c r="A1447" i="1"/>
  <c r="A1448" i="1"/>
  <c r="A1449" i="1"/>
  <c r="A1450" i="1"/>
  <c r="A1451" i="1"/>
  <c r="A1452" i="1"/>
  <c r="A1453" i="1"/>
  <c r="A1454" i="1"/>
  <c r="A1455" i="1"/>
  <c r="A1456" i="1"/>
  <c r="A1457" i="1"/>
  <c r="A1458" i="1"/>
  <c r="A1459" i="1"/>
  <c r="A1460" i="1"/>
  <c r="A1461" i="1"/>
  <c r="A1462" i="1"/>
  <c r="A1463" i="1"/>
  <c r="A1464" i="1"/>
  <c r="A1465" i="1"/>
  <c r="A1466" i="1"/>
  <c r="A1467" i="1"/>
  <c r="A1468" i="1"/>
  <c r="A1469" i="1"/>
  <c r="A1470" i="1"/>
  <c r="A1471" i="1"/>
  <c r="A1472" i="1"/>
  <c r="A1473" i="1"/>
  <c r="A1474" i="1"/>
  <c r="A1475" i="1"/>
  <c r="A1476" i="1"/>
  <c r="A1477" i="1"/>
  <c r="A1478" i="1"/>
  <c r="A1479" i="1"/>
  <c r="A1480" i="1"/>
  <c r="A1481" i="1"/>
  <c r="A1482" i="1"/>
  <c r="A1483" i="1"/>
  <c r="A1484" i="1"/>
  <c r="A1485" i="1"/>
  <c r="A1486" i="1"/>
  <c r="A1487" i="1"/>
  <c r="A1488" i="1"/>
  <c r="A1489" i="1"/>
  <c r="A1490" i="1"/>
  <c r="A1491" i="1"/>
  <c r="A1492" i="1"/>
  <c r="A1493" i="1"/>
  <c r="A1494" i="1"/>
  <c r="A1495" i="1"/>
  <c r="A1496" i="1"/>
  <c r="A1497" i="1"/>
  <c r="A1498" i="1"/>
  <c r="A1500" i="1"/>
  <c r="A1501" i="1"/>
  <c r="A1502" i="1"/>
  <c r="A1503" i="1"/>
  <c r="A1504" i="1"/>
  <c r="A1505" i="1"/>
  <c r="A1506" i="1"/>
  <c r="A1507" i="1"/>
  <c r="A1508" i="1"/>
  <c r="A1509" i="1"/>
  <c r="A1510" i="1"/>
  <c r="A1511" i="1"/>
  <c r="A1512" i="1"/>
  <c r="A1513" i="1"/>
  <c r="A1514" i="1"/>
  <c r="A1515" i="1"/>
  <c r="A1516" i="1"/>
  <c r="A1517" i="1"/>
  <c r="A1518" i="1"/>
  <c r="A1519" i="1"/>
  <c r="A1520" i="1"/>
  <c r="A1521" i="1"/>
  <c r="A1522" i="1"/>
  <c r="A1523" i="1"/>
  <c r="A1524" i="1"/>
  <c r="A1525" i="1"/>
  <c r="A1526" i="1"/>
  <c r="A1527" i="1"/>
  <c r="A1528" i="1"/>
  <c r="A1529" i="1"/>
  <c r="A1530" i="1"/>
  <c r="A1531" i="1"/>
  <c r="A1532" i="1"/>
  <c r="A1533" i="1"/>
  <c r="A1534" i="1"/>
  <c r="A2" i="1"/>
  <c r="B3" i="1"/>
  <c r="C3" i="1"/>
  <c r="B4" i="1"/>
  <c r="C4" i="1"/>
  <c r="B5" i="1"/>
  <c r="C5" i="1"/>
  <c r="B6" i="1"/>
  <c r="C6" i="1"/>
  <c r="B7" i="1"/>
  <c r="C7" i="1"/>
  <c r="B8" i="1"/>
  <c r="C8" i="1"/>
  <c r="B9" i="1"/>
  <c r="C9" i="1"/>
  <c r="B10" i="1"/>
  <c r="C10" i="1"/>
  <c r="B11" i="1"/>
  <c r="C11" i="1"/>
  <c r="B12" i="1"/>
  <c r="C12" i="1"/>
  <c r="B13" i="1"/>
  <c r="C13" i="1"/>
  <c r="B14" i="1"/>
  <c r="C14" i="1"/>
  <c r="B15" i="1"/>
  <c r="C15" i="1"/>
  <c r="B16" i="1"/>
  <c r="C16" i="1"/>
  <c r="B17" i="1"/>
  <c r="C17" i="1"/>
  <c r="B18" i="1"/>
  <c r="C18" i="1"/>
  <c r="B19" i="1"/>
  <c r="C19" i="1"/>
  <c r="B20" i="1"/>
  <c r="C20" i="1"/>
  <c r="B21" i="1"/>
  <c r="C21" i="1"/>
  <c r="B22" i="1"/>
  <c r="C22" i="1"/>
  <c r="B23" i="1"/>
  <c r="C23" i="1"/>
  <c r="B24" i="1"/>
  <c r="C24" i="1"/>
  <c r="B25" i="1"/>
  <c r="C25" i="1"/>
  <c r="B26" i="1"/>
  <c r="C26" i="1"/>
  <c r="B27" i="1"/>
  <c r="C27" i="1"/>
  <c r="B28" i="1"/>
  <c r="C28" i="1"/>
  <c r="B29" i="1"/>
  <c r="C29" i="1"/>
  <c r="B30" i="1"/>
  <c r="C30" i="1"/>
  <c r="B31" i="1"/>
  <c r="C31" i="1"/>
  <c r="B32" i="1"/>
  <c r="C32" i="1"/>
  <c r="B33" i="1"/>
  <c r="C33" i="1"/>
  <c r="B34" i="1"/>
  <c r="C34" i="1"/>
  <c r="B35" i="1"/>
  <c r="C35" i="1"/>
  <c r="B36" i="1"/>
  <c r="C36" i="1"/>
  <c r="B37" i="1"/>
  <c r="C37" i="1"/>
  <c r="B38" i="1"/>
  <c r="C38" i="1"/>
  <c r="B39" i="1"/>
  <c r="C39" i="1"/>
  <c r="B40" i="1"/>
  <c r="C40" i="1"/>
  <c r="B41" i="1"/>
  <c r="C41" i="1"/>
  <c r="B42" i="1"/>
  <c r="C42" i="1"/>
  <c r="B43" i="1"/>
  <c r="C43" i="1"/>
  <c r="B44" i="1"/>
  <c r="C44" i="1"/>
  <c r="B45" i="1"/>
  <c r="C45" i="1"/>
  <c r="B46" i="1"/>
  <c r="C46" i="1"/>
  <c r="B47" i="1"/>
  <c r="C47" i="1"/>
  <c r="B48" i="1"/>
  <c r="C48" i="1"/>
  <c r="B49" i="1"/>
  <c r="C49" i="1"/>
  <c r="B50" i="1"/>
  <c r="C50" i="1"/>
  <c r="B51" i="1"/>
  <c r="C51" i="1"/>
  <c r="B52" i="1"/>
  <c r="C52" i="1"/>
  <c r="B53" i="1"/>
  <c r="C53" i="1"/>
  <c r="B54" i="1"/>
  <c r="C54" i="1"/>
  <c r="B55" i="1"/>
  <c r="C55" i="1"/>
  <c r="B56" i="1"/>
  <c r="C56" i="1"/>
  <c r="B57" i="1"/>
  <c r="C57" i="1"/>
  <c r="B58" i="1"/>
  <c r="C58" i="1"/>
  <c r="B59" i="1"/>
  <c r="C59" i="1"/>
  <c r="B60" i="1"/>
  <c r="C60" i="1"/>
  <c r="B61" i="1"/>
  <c r="C61" i="1"/>
  <c r="B62" i="1"/>
  <c r="C62" i="1"/>
  <c r="B63" i="1"/>
  <c r="C63" i="1"/>
  <c r="B64" i="1"/>
  <c r="C64" i="1"/>
  <c r="B65" i="1"/>
  <c r="C65" i="1"/>
  <c r="B66" i="1"/>
  <c r="C66" i="1"/>
  <c r="B67" i="1"/>
  <c r="C67" i="1"/>
  <c r="B68" i="1"/>
  <c r="C68" i="1"/>
  <c r="B69" i="1"/>
  <c r="C69" i="1"/>
  <c r="B70" i="1"/>
  <c r="C70" i="1"/>
  <c r="B71" i="1"/>
  <c r="C71" i="1"/>
  <c r="B72" i="1"/>
  <c r="C72" i="1"/>
  <c r="B73" i="1"/>
  <c r="C73" i="1"/>
  <c r="B74" i="1"/>
  <c r="C74" i="1"/>
  <c r="B75" i="1"/>
  <c r="C75" i="1"/>
  <c r="B76" i="1"/>
  <c r="C76" i="1"/>
  <c r="B77" i="1"/>
  <c r="C77" i="1"/>
  <c r="B78" i="1"/>
  <c r="C78" i="1"/>
  <c r="B79" i="1"/>
  <c r="C79" i="1"/>
  <c r="B80" i="1"/>
  <c r="C80" i="1"/>
  <c r="B81" i="1"/>
  <c r="C81" i="1"/>
  <c r="B82" i="1"/>
  <c r="C82" i="1"/>
  <c r="B83" i="1"/>
  <c r="C83" i="1"/>
  <c r="B84" i="1"/>
  <c r="C84" i="1"/>
  <c r="B85" i="1"/>
  <c r="C85" i="1"/>
  <c r="B86" i="1"/>
  <c r="C86" i="1"/>
  <c r="B87" i="1"/>
  <c r="C87" i="1"/>
  <c r="B88" i="1"/>
  <c r="C88" i="1"/>
  <c r="B89" i="1"/>
  <c r="C89" i="1"/>
  <c r="B90" i="1"/>
  <c r="C90" i="1"/>
  <c r="B91" i="1"/>
  <c r="C91" i="1"/>
  <c r="B92" i="1"/>
  <c r="C92" i="1"/>
  <c r="B93" i="1"/>
  <c r="C93" i="1"/>
  <c r="B94" i="1"/>
  <c r="C94" i="1"/>
  <c r="B95" i="1"/>
  <c r="C95" i="1"/>
  <c r="B96" i="1"/>
  <c r="C96" i="1"/>
  <c r="B97" i="1"/>
  <c r="C97" i="1"/>
  <c r="B98" i="1"/>
  <c r="C98" i="1"/>
  <c r="B99" i="1"/>
  <c r="C99" i="1"/>
  <c r="B100" i="1"/>
  <c r="C100" i="1"/>
  <c r="B101" i="1"/>
  <c r="C101" i="1"/>
  <c r="B102" i="1"/>
  <c r="C102" i="1"/>
  <c r="B103" i="1"/>
  <c r="C103" i="1"/>
  <c r="B104" i="1"/>
  <c r="C104" i="1"/>
  <c r="B105" i="1"/>
  <c r="C105" i="1"/>
  <c r="B106" i="1"/>
  <c r="C106" i="1"/>
  <c r="B107" i="1"/>
  <c r="C107" i="1"/>
  <c r="B108" i="1"/>
  <c r="C108" i="1"/>
  <c r="B109" i="1"/>
  <c r="C109" i="1"/>
  <c r="B110" i="1"/>
  <c r="C110" i="1"/>
  <c r="B111" i="1"/>
  <c r="C111" i="1"/>
  <c r="B112" i="1"/>
  <c r="C112" i="1"/>
  <c r="B113" i="1"/>
  <c r="C113" i="1"/>
  <c r="B114" i="1"/>
  <c r="C114" i="1"/>
  <c r="B115" i="1"/>
  <c r="C115" i="1"/>
  <c r="B116" i="1"/>
  <c r="C116" i="1"/>
  <c r="B117" i="1"/>
  <c r="C117" i="1"/>
  <c r="B118" i="1"/>
  <c r="C118" i="1"/>
  <c r="B119" i="1"/>
  <c r="C119" i="1"/>
  <c r="B120" i="1"/>
  <c r="C120" i="1"/>
  <c r="B121" i="1"/>
  <c r="C121" i="1"/>
  <c r="B122" i="1"/>
  <c r="C122" i="1"/>
  <c r="B123" i="1"/>
  <c r="C123" i="1"/>
  <c r="B124" i="1"/>
  <c r="C124" i="1"/>
  <c r="B125" i="1"/>
  <c r="C125" i="1"/>
  <c r="B126" i="1"/>
  <c r="C126" i="1"/>
  <c r="B127" i="1"/>
  <c r="C127" i="1"/>
  <c r="B128" i="1"/>
  <c r="C128" i="1"/>
  <c r="B129" i="1"/>
  <c r="C129" i="1"/>
  <c r="B130" i="1"/>
  <c r="C130" i="1"/>
  <c r="B131" i="1"/>
  <c r="C131" i="1"/>
  <c r="B132" i="1"/>
  <c r="C132" i="1"/>
  <c r="B133" i="1"/>
  <c r="C133" i="1"/>
  <c r="B134" i="1"/>
  <c r="C134" i="1"/>
  <c r="B135" i="1"/>
  <c r="C135" i="1"/>
  <c r="B136" i="1"/>
  <c r="C136" i="1"/>
  <c r="B137" i="1"/>
  <c r="C137" i="1"/>
  <c r="B138" i="1"/>
  <c r="C138" i="1"/>
  <c r="B139" i="1"/>
  <c r="C139" i="1"/>
  <c r="B140" i="1"/>
  <c r="C140" i="1"/>
  <c r="B141" i="1"/>
  <c r="C141" i="1"/>
  <c r="B142" i="1"/>
  <c r="C142" i="1"/>
  <c r="B143" i="1"/>
  <c r="C143" i="1"/>
  <c r="B144" i="1"/>
  <c r="C144" i="1"/>
  <c r="B145" i="1"/>
  <c r="C145" i="1"/>
  <c r="B146" i="1"/>
  <c r="C146" i="1"/>
  <c r="B147" i="1"/>
  <c r="C147" i="1"/>
  <c r="B148" i="1"/>
  <c r="C148" i="1"/>
  <c r="B149" i="1"/>
  <c r="C149" i="1"/>
  <c r="B150" i="1"/>
  <c r="C150" i="1"/>
  <c r="B151" i="1"/>
  <c r="C151" i="1"/>
  <c r="B152" i="1"/>
  <c r="C152" i="1"/>
  <c r="B153" i="1"/>
  <c r="C153" i="1"/>
  <c r="B154" i="1"/>
  <c r="C154" i="1"/>
  <c r="B155" i="1"/>
  <c r="C155" i="1"/>
  <c r="B156" i="1"/>
  <c r="C156" i="1"/>
  <c r="B157" i="1"/>
  <c r="C157" i="1"/>
  <c r="B158" i="1"/>
  <c r="C158" i="1"/>
  <c r="B159" i="1"/>
  <c r="C159" i="1"/>
  <c r="B160" i="1"/>
  <c r="C160" i="1"/>
  <c r="B161" i="1"/>
  <c r="C161" i="1"/>
  <c r="B162" i="1"/>
  <c r="C162" i="1"/>
  <c r="B163" i="1"/>
  <c r="C163" i="1"/>
  <c r="B164" i="1"/>
  <c r="C164" i="1"/>
  <c r="B165" i="1"/>
  <c r="C165" i="1"/>
  <c r="B166" i="1"/>
  <c r="C166" i="1"/>
  <c r="B167" i="1"/>
  <c r="C167" i="1"/>
  <c r="B168" i="1"/>
  <c r="C168" i="1"/>
  <c r="B169" i="1"/>
  <c r="C169" i="1"/>
  <c r="B170" i="1"/>
  <c r="C170" i="1"/>
  <c r="B171" i="1"/>
  <c r="C171" i="1"/>
  <c r="B172" i="1"/>
  <c r="C172" i="1"/>
  <c r="B173" i="1"/>
  <c r="C173" i="1"/>
  <c r="B174" i="1"/>
  <c r="C174" i="1"/>
  <c r="B175" i="1"/>
  <c r="C175" i="1"/>
  <c r="B176" i="1"/>
  <c r="C176" i="1"/>
  <c r="B177" i="1"/>
  <c r="C177" i="1"/>
  <c r="B178" i="1"/>
  <c r="C178" i="1"/>
  <c r="B179" i="1"/>
  <c r="C179" i="1"/>
  <c r="B180" i="1"/>
  <c r="C180" i="1"/>
  <c r="B181" i="1"/>
  <c r="C181" i="1"/>
  <c r="B182" i="1"/>
  <c r="C182" i="1"/>
  <c r="B183" i="1"/>
  <c r="C183" i="1"/>
  <c r="B184" i="1"/>
  <c r="C184" i="1"/>
  <c r="B185" i="1"/>
  <c r="C185" i="1"/>
  <c r="B186" i="1"/>
  <c r="C186" i="1"/>
  <c r="B187" i="1"/>
  <c r="C187" i="1"/>
  <c r="B188" i="1"/>
  <c r="C188" i="1"/>
  <c r="B189" i="1"/>
  <c r="C189" i="1"/>
  <c r="B190" i="1"/>
  <c r="C190" i="1"/>
  <c r="B191" i="1"/>
  <c r="C191" i="1"/>
  <c r="B192" i="1"/>
  <c r="C192" i="1"/>
  <c r="B193" i="1"/>
  <c r="C193" i="1"/>
  <c r="B194" i="1"/>
  <c r="C194" i="1"/>
  <c r="B195" i="1"/>
  <c r="C195" i="1"/>
  <c r="B196" i="1"/>
  <c r="C196" i="1"/>
  <c r="B197" i="1"/>
  <c r="C197" i="1"/>
  <c r="B198" i="1"/>
  <c r="C198" i="1"/>
  <c r="B199" i="1"/>
  <c r="C199" i="1"/>
  <c r="B200" i="1"/>
  <c r="C200" i="1"/>
  <c r="B201" i="1"/>
  <c r="C201" i="1"/>
  <c r="B202" i="1"/>
  <c r="C202" i="1"/>
  <c r="B203" i="1"/>
  <c r="C203" i="1"/>
  <c r="B204" i="1"/>
  <c r="C204" i="1"/>
  <c r="B205" i="1"/>
  <c r="C205" i="1"/>
  <c r="B206" i="1"/>
  <c r="C206" i="1"/>
  <c r="B207" i="1"/>
  <c r="C207" i="1"/>
  <c r="B208" i="1"/>
  <c r="C208" i="1"/>
  <c r="B209" i="1"/>
  <c r="C209" i="1"/>
  <c r="B210" i="1"/>
  <c r="C210" i="1"/>
  <c r="B211" i="1"/>
  <c r="C211" i="1"/>
  <c r="B212" i="1"/>
  <c r="C212" i="1"/>
  <c r="B213" i="1"/>
  <c r="C213" i="1"/>
  <c r="B214" i="1"/>
  <c r="C214" i="1"/>
  <c r="B215" i="1"/>
  <c r="C215" i="1"/>
  <c r="B216" i="1"/>
  <c r="C216" i="1"/>
  <c r="B217" i="1"/>
  <c r="C217" i="1"/>
  <c r="B218" i="1"/>
  <c r="C218" i="1"/>
  <c r="B219" i="1"/>
  <c r="C219" i="1"/>
  <c r="B220" i="1"/>
  <c r="C220" i="1"/>
  <c r="B221" i="1"/>
  <c r="C221" i="1"/>
  <c r="B222" i="1"/>
  <c r="C222" i="1"/>
  <c r="B223" i="1"/>
  <c r="C223" i="1"/>
  <c r="B224" i="1"/>
  <c r="C224" i="1"/>
  <c r="B225" i="1"/>
  <c r="C225" i="1"/>
  <c r="B226" i="1"/>
  <c r="C226" i="1"/>
  <c r="B227" i="1"/>
  <c r="C227" i="1"/>
  <c r="B228" i="1"/>
  <c r="C228" i="1"/>
  <c r="B229" i="1"/>
  <c r="C229" i="1"/>
  <c r="B230" i="1"/>
  <c r="C230" i="1"/>
  <c r="B231" i="1"/>
  <c r="C231" i="1"/>
  <c r="B232" i="1"/>
  <c r="C232" i="1"/>
  <c r="B233" i="1"/>
  <c r="C233" i="1"/>
  <c r="B234" i="1"/>
  <c r="C234" i="1"/>
  <c r="B235" i="1"/>
  <c r="C235" i="1"/>
  <c r="B236" i="1"/>
  <c r="C236" i="1"/>
  <c r="B237" i="1"/>
  <c r="C237" i="1"/>
  <c r="B238" i="1"/>
  <c r="C238" i="1"/>
  <c r="B239" i="1"/>
  <c r="C239" i="1"/>
  <c r="B240" i="1"/>
  <c r="C240" i="1"/>
  <c r="B241" i="1"/>
  <c r="C241" i="1"/>
  <c r="B242" i="1"/>
  <c r="C242" i="1"/>
  <c r="B243" i="1"/>
  <c r="C243" i="1"/>
  <c r="B244" i="1"/>
  <c r="C244" i="1"/>
  <c r="B245" i="1"/>
  <c r="C245" i="1"/>
  <c r="B246" i="1"/>
  <c r="C246" i="1"/>
  <c r="B247" i="1"/>
  <c r="C247" i="1"/>
  <c r="B248" i="1"/>
  <c r="C248" i="1"/>
  <c r="B249" i="1"/>
  <c r="C249" i="1"/>
  <c r="B250" i="1"/>
  <c r="C250" i="1"/>
  <c r="B251" i="1"/>
  <c r="C251" i="1"/>
  <c r="B252" i="1"/>
  <c r="C252" i="1"/>
  <c r="B253" i="1"/>
  <c r="C253" i="1"/>
  <c r="B254" i="1"/>
  <c r="C254" i="1"/>
  <c r="B255" i="1"/>
  <c r="C255" i="1"/>
  <c r="B256" i="1"/>
  <c r="C256" i="1"/>
  <c r="B257" i="1"/>
  <c r="C257" i="1"/>
  <c r="B258" i="1"/>
  <c r="C258" i="1"/>
  <c r="B259" i="1"/>
  <c r="C259" i="1"/>
  <c r="B260" i="1"/>
  <c r="C260" i="1"/>
  <c r="B261" i="1"/>
  <c r="C261" i="1"/>
  <c r="B262" i="1"/>
  <c r="C262" i="1"/>
  <c r="B263" i="1"/>
  <c r="C263" i="1"/>
  <c r="B264" i="1"/>
  <c r="C264" i="1"/>
  <c r="B265" i="1"/>
  <c r="C265" i="1"/>
  <c r="B266" i="1"/>
  <c r="C266" i="1"/>
  <c r="B267" i="1"/>
  <c r="C267" i="1"/>
  <c r="B268" i="1"/>
  <c r="C268" i="1"/>
  <c r="B269" i="1"/>
  <c r="C269" i="1"/>
  <c r="B270" i="1"/>
  <c r="C270" i="1"/>
  <c r="B271" i="1"/>
  <c r="C271" i="1"/>
  <c r="B272" i="1"/>
  <c r="C272" i="1"/>
  <c r="B273" i="1"/>
  <c r="C273" i="1"/>
  <c r="B274" i="1"/>
  <c r="C274" i="1"/>
  <c r="B275" i="1"/>
  <c r="C275" i="1"/>
  <c r="B276" i="1"/>
  <c r="C276" i="1"/>
  <c r="B277" i="1"/>
  <c r="C277" i="1"/>
  <c r="B278" i="1"/>
  <c r="C278" i="1"/>
  <c r="B279" i="1"/>
  <c r="C279" i="1"/>
  <c r="B280" i="1"/>
  <c r="C280" i="1"/>
  <c r="B281" i="1"/>
  <c r="C281" i="1"/>
  <c r="B282" i="1"/>
  <c r="C282" i="1"/>
  <c r="B283" i="1"/>
  <c r="C283" i="1"/>
  <c r="B284" i="1"/>
  <c r="C284" i="1"/>
  <c r="B285" i="1"/>
  <c r="C285" i="1"/>
  <c r="B286" i="1"/>
  <c r="C286" i="1"/>
  <c r="B287" i="1"/>
  <c r="C287" i="1"/>
  <c r="B288" i="1"/>
  <c r="C288" i="1"/>
  <c r="B289" i="1"/>
  <c r="C289" i="1"/>
  <c r="B290" i="1"/>
  <c r="C290" i="1"/>
  <c r="B291" i="1"/>
  <c r="C291" i="1"/>
  <c r="B292" i="1"/>
  <c r="C292" i="1"/>
  <c r="B293" i="1"/>
  <c r="C293" i="1"/>
  <c r="B294" i="1"/>
  <c r="C294" i="1"/>
  <c r="B295" i="1"/>
  <c r="C295" i="1"/>
  <c r="B296" i="1"/>
  <c r="C296" i="1"/>
  <c r="B297" i="1"/>
  <c r="C297" i="1"/>
  <c r="B298" i="1"/>
  <c r="C298" i="1"/>
  <c r="B299" i="1"/>
  <c r="C299" i="1"/>
  <c r="B300" i="1"/>
  <c r="C300" i="1"/>
  <c r="B301" i="1"/>
  <c r="C301" i="1"/>
  <c r="B302" i="1"/>
  <c r="C302" i="1"/>
  <c r="B303" i="1"/>
  <c r="C303" i="1"/>
  <c r="B304" i="1"/>
  <c r="C304" i="1"/>
  <c r="B305" i="1"/>
  <c r="C305" i="1"/>
  <c r="B306" i="1"/>
  <c r="C306" i="1"/>
  <c r="B307" i="1"/>
  <c r="C307" i="1"/>
  <c r="B308" i="1"/>
  <c r="C308" i="1"/>
  <c r="B309" i="1"/>
  <c r="C309" i="1"/>
  <c r="B310" i="1"/>
  <c r="C310" i="1"/>
  <c r="B311" i="1"/>
  <c r="C311" i="1"/>
  <c r="B312" i="1"/>
  <c r="C312" i="1"/>
  <c r="B313" i="1"/>
  <c r="C313" i="1"/>
  <c r="B314" i="1"/>
  <c r="C314" i="1"/>
  <c r="B315" i="1"/>
  <c r="C315" i="1"/>
  <c r="B316" i="1"/>
  <c r="C316" i="1"/>
  <c r="B317" i="1"/>
  <c r="C317" i="1"/>
  <c r="B318" i="1"/>
  <c r="C318" i="1"/>
  <c r="B319" i="1"/>
  <c r="C319" i="1"/>
  <c r="B320" i="1"/>
  <c r="C320" i="1"/>
  <c r="B321" i="1"/>
  <c r="C321" i="1"/>
  <c r="B322" i="1"/>
  <c r="C322" i="1"/>
  <c r="B323" i="1"/>
  <c r="C323" i="1"/>
  <c r="B324" i="1"/>
  <c r="C324" i="1"/>
  <c r="B325" i="1"/>
  <c r="C325" i="1"/>
  <c r="B326" i="1"/>
  <c r="C326" i="1"/>
  <c r="B327" i="1"/>
  <c r="C327" i="1"/>
  <c r="B328" i="1"/>
  <c r="C328" i="1"/>
  <c r="B329" i="1"/>
  <c r="C329" i="1"/>
  <c r="B330" i="1"/>
  <c r="C330" i="1"/>
  <c r="B331" i="1"/>
  <c r="C331" i="1"/>
  <c r="B332" i="1"/>
  <c r="C332" i="1"/>
  <c r="B333" i="1"/>
  <c r="C333" i="1"/>
  <c r="B334" i="1"/>
  <c r="C334" i="1"/>
  <c r="B335" i="1"/>
  <c r="C335" i="1"/>
  <c r="B336" i="1"/>
  <c r="C336" i="1"/>
  <c r="B337" i="1"/>
  <c r="C337" i="1"/>
  <c r="B338" i="1"/>
  <c r="C338" i="1"/>
  <c r="B339" i="1"/>
  <c r="C339" i="1"/>
  <c r="B340" i="1"/>
  <c r="C340" i="1"/>
  <c r="B341" i="1"/>
  <c r="C341" i="1"/>
  <c r="B342" i="1"/>
  <c r="C342" i="1"/>
  <c r="B343" i="1"/>
  <c r="C343" i="1"/>
  <c r="B344" i="1"/>
  <c r="C344" i="1"/>
  <c r="B345" i="1"/>
  <c r="C345" i="1"/>
  <c r="B346" i="1"/>
  <c r="C346" i="1"/>
  <c r="B347" i="1"/>
  <c r="C347" i="1"/>
  <c r="B348" i="1"/>
  <c r="C348" i="1"/>
  <c r="B349" i="1"/>
  <c r="C349" i="1"/>
  <c r="B350" i="1"/>
  <c r="C350" i="1"/>
  <c r="B351" i="1"/>
  <c r="C351" i="1"/>
  <c r="B352" i="1"/>
  <c r="C352" i="1"/>
  <c r="B353" i="1"/>
  <c r="C353" i="1"/>
  <c r="B354" i="1"/>
  <c r="C354" i="1"/>
  <c r="B355" i="1"/>
  <c r="C355" i="1"/>
  <c r="B356" i="1"/>
  <c r="C356" i="1"/>
  <c r="B357" i="1"/>
  <c r="C357" i="1"/>
  <c r="B358" i="1"/>
  <c r="C358" i="1"/>
  <c r="B359" i="1"/>
  <c r="C359" i="1"/>
  <c r="B360" i="1"/>
  <c r="C360" i="1"/>
  <c r="B361" i="1"/>
  <c r="C361" i="1"/>
  <c r="B362" i="1"/>
  <c r="C362" i="1"/>
  <c r="B363" i="1"/>
  <c r="C363" i="1"/>
  <c r="B364" i="1"/>
  <c r="C364" i="1"/>
  <c r="B365" i="1"/>
  <c r="C365" i="1"/>
  <c r="B366" i="1"/>
  <c r="C366" i="1"/>
  <c r="B367" i="1"/>
  <c r="C367" i="1"/>
  <c r="B368" i="1"/>
  <c r="C368" i="1"/>
  <c r="B369" i="1"/>
  <c r="C369" i="1"/>
  <c r="B370" i="1"/>
  <c r="C370" i="1"/>
  <c r="B371" i="1"/>
  <c r="C371" i="1"/>
  <c r="B372" i="1"/>
  <c r="C372" i="1"/>
  <c r="B373" i="1"/>
  <c r="C373" i="1"/>
  <c r="B374" i="1"/>
  <c r="C374" i="1"/>
  <c r="B375" i="1"/>
  <c r="C375" i="1"/>
  <c r="B376" i="1"/>
  <c r="C376" i="1"/>
  <c r="B377" i="1"/>
  <c r="C377" i="1"/>
  <c r="B378" i="1"/>
  <c r="C378" i="1"/>
  <c r="B379" i="1"/>
  <c r="C379" i="1"/>
  <c r="B380" i="1"/>
  <c r="C380" i="1"/>
  <c r="B381" i="1"/>
  <c r="C381" i="1"/>
  <c r="B382" i="1"/>
  <c r="C382" i="1"/>
  <c r="B383" i="1"/>
  <c r="C383" i="1"/>
  <c r="B384" i="1"/>
  <c r="C384" i="1"/>
  <c r="B385" i="1"/>
  <c r="C385" i="1"/>
  <c r="B386" i="1"/>
  <c r="C386" i="1"/>
  <c r="B387" i="1"/>
  <c r="C387" i="1"/>
  <c r="B388" i="1"/>
  <c r="C388" i="1"/>
  <c r="B389" i="1"/>
  <c r="C389" i="1"/>
  <c r="B390" i="1"/>
  <c r="C390" i="1"/>
  <c r="B391" i="1"/>
  <c r="C391" i="1"/>
  <c r="B392" i="1"/>
  <c r="C392" i="1"/>
  <c r="B393" i="1"/>
  <c r="C393" i="1"/>
  <c r="B394" i="1"/>
  <c r="C394" i="1"/>
  <c r="B395" i="1"/>
  <c r="C395" i="1"/>
  <c r="B396" i="1"/>
  <c r="C396" i="1"/>
  <c r="B397" i="1"/>
  <c r="C397" i="1"/>
  <c r="B398" i="1"/>
  <c r="C398" i="1"/>
  <c r="B399" i="1"/>
  <c r="C399" i="1"/>
  <c r="B400" i="1"/>
  <c r="C400" i="1"/>
  <c r="B401" i="1"/>
  <c r="C401" i="1"/>
  <c r="B402" i="1"/>
  <c r="C402" i="1"/>
  <c r="B403" i="1"/>
  <c r="C403" i="1"/>
  <c r="B404" i="1"/>
  <c r="C404" i="1"/>
  <c r="B405" i="1"/>
  <c r="C405" i="1"/>
  <c r="B406" i="1"/>
  <c r="C406" i="1"/>
  <c r="B407" i="1"/>
  <c r="C407" i="1"/>
  <c r="B408" i="1"/>
  <c r="C408" i="1"/>
  <c r="B409" i="1"/>
  <c r="C409" i="1"/>
  <c r="B410" i="1"/>
  <c r="C410" i="1"/>
  <c r="B411" i="1"/>
  <c r="C411" i="1"/>
  <c r="B412" i="1"/>
  <c r="C412" i="1"/>
  <c r="B413" i="1"/>
  <c r="C413" i="1"/>
  <c r="B414" i="1"/>
  <c r="C414" i="1"/>
  <c r="B415" i="1"/>
  <c r="C415" i="1"/>
  <c r="B416" i="1"/>
  <c r="C416" i="1"/>
  <c r="B417" i="1"/>
  <c r="C417" i="1"/>
  <c r="B418" i="1"/>
  <c r="C418" i="1"/>
  <c r="B419" i="1"/>
  <c r="C419" i="1"/>
  <c r="B420" i="1"/>
  <c r="C420" i="1"/>
  <c r="B421" i="1"/>
  <c r="C421" i="1"/>
  <c r="B422" i="1"/>
  <c r="C422" i="1"/>
  <c r="B423" i="1"/>
  <c r="C423" i="1"/>
  <c r="B424" i="1"/>
  <c r="C424" i="1"/>
  <c r="B425" i="1"/>
  <c r="C425" i="1"/>
  <c r="B426" i="1"/>
  <c r="C426" i="1"/>
  <c r="B427" i="1"/>
  <c r="C427" i="1"/>
  <c r="B428" i="1"/>
  <c r="C428" i="1"/>
  <c r="B429" i="1"/>
  <c r="C429" i="1"/>
  <c r="B430" i="1"/>
  <c r="C430" i="1"/>
  <c r="B431" i="1"/>
  <c r="C431" i="1"/>
  <c r="B432" i="1"/>
  <c r="C432" i="1"/>
  <c r="B433" i="1"/>
  <c r="C433" i="1"/>
  <c r="B434" i="1"/>
  <c r="C434" i="1"/>
  <c r="B435" i="1"/>
  <c r="C435" i="1"/>
  <c r="B436" i="1"/>
  <c r="C436" i="1"/>
  <c r="B437" i="1"/>
  <c r="C437" i="1"/>
  <c r="B438" i="1"/>
  <c r="C438" i="1"/>
  <c r="B439" i="1"/>
  <c r="C439" i="1"/>
  <c r="B440" i="1"/>
  <c r="C440" i="1"/>
  <c r="B441" i="1"/>
  <c r="C441" i="1"/>
  <c r="B442" i="1"/>
  <c r="C442" i="1"/>
  <c r="B443" i="1"/>
  <c r="C443" i="1"/>
  <c r="B444" i="1"/>
  <c r="C444" i="1"/>
  <c r="B445" i="1"/>
  <c r="C445" i="1"/>
  <c r="B446" i="1"/>
  <c r="C446" i="1"/>
  <c r="B447" i="1"/>
  <c r="C447" i="1"/>
  <c r="B448" i="1"/>
  <c r="C448" i="1"/>
  <c r="B449" i="1"/>
  <c r="C449" i="1"/>
  <c r="B450" i="1"/>
  <c r="C450" i="1"/>
  <c r="B451" i="1"/>
  <c r="C451" i="1"/>
  <c r="B452" i="1"/>
  <c r="C452" i="1"/>
  <c r="B453" i="1"/>
  <c r="C453" i="1"/>
  <c r="B454" i="1"/>
  <c r="C454" i="1"/>
  <c r="B455" i="1"/>
  <c r="C455" i="1"/>
  <c r="B456" i="1"/>
  <c r="C456" i="1"/>
  <c r="B457" i="1"/>
  <c r="C457" i="1"/>
  <c r="B458" i="1"/>
  <c r="C458" i="1"/>
  <c r="B459" i="1"/>
  <c r="C459" i="1"/>
  <c r="B460" i="1"/>
  <c r="C460" i="1"/>
  <c r="B461" i="1"/>
  <c r="C461" i="1"/>
  <c r="B462" i="1"/>
  <c r="C462" i="1"/>
  <c r="B463" i="1"/>
  <c r="C463" i="1"/>
  <c r="B464" i="1"/>
  <c r="C464" i="1"/>
  <c r="B465" i="1"/>
  <c r="C465" i="1"/>
  <c r="B466" i="1"/>
  <c r="C466" i="1"/>
  <c r="B467" i="1"/>
  <c r="C467" i="1"/>
  <c r="B468" i="1"/>
  <c r="C468" i="1"/>
  <c r="B469" i="1"/>
  <c r="C469" i="1"/>
  <c r="B470" i="1"/>
  <c r="C470" i="1"/>
  <c r="B471" i="1"/>
  <c r="C471" i="1"/>
  <c r="B472" i="1"/>
  <c r="C472" i="1"/>
  <c r="B473" i="1"/>
  <c r="C473" i="1"/>
  <c r="B474" i="1"/>
  <c r="C474" i="1"/>
  <c r="B475" i="1"/>
  <c r="C475" i="1"/>
  <c r="B476" i="1"/>
  <c r="C476" i="1"/>
  <c r="B477" i="1"/>
  <c r="C477" i="1"/>
  <c r="B478" i="1"/>
  <c r="C478" i="1"/>
  <c r="B479" i="1"/>
  <c r="C479" i="1"/>
  <c r="B480" i="1"/>
  <c r="C480" i="1"/>
  <c r="B481" i="1"/>
  <c r="C481" i="1"/>
  <c r="B482" i="1"/>
  <c r="C482" i="1"/>
  <c r="B483" i="1"/>
  <c r="C483" i="1"/>
  <c r="B484" i="1"/>
  <c r="C484" i="1"/>
  <c r="B485" i="1"/>
  <c r="C485" i="1"/>
  <c r="B486" i="1"/>
  <c r="C486" i="1"/>
  <c r="B487" i="1"/>
  <c r="C487" i="1"/>
  <c r="B488" i="1"/>
  <c r="C488" i="1"/>
  <c r="B489" i="1"/>
  <c r="C489" i="1"/>
  <c r="B490" i="1"/>
  <c r="C490" i="1"/>
  <c r="B491" i="1"/>
  <c r="C491" i="1"/>
  <c r="B492" i="1"/>
  <c r="C492" i="1"/>
  <c r="B493" i="1"/>
  <c r="C493" i="1"/>
  <c r="B494" i="1"/>
  <c r="C494" i="1"/>
  <c r="B495" i="1"/>
  <c r="C495" i="1"/>
  <c r="B496" i="1"/>
  <c r="C496" i="1"/>
  <c r="B497" i="1"/>
  <c r="C497" i="1"/>
  <c r="B498" i="1"/>
  <c r="C498" i="1"/>
  <c r="B499" i="1"/>
  <c r="C499" i="1"/>
  <c r="B500" i="1"/>
  <c r="C500" i="1"/>
  <c r="B501" i="1"/>
  <c r="C501" i="1"/>
  <c r="B502" i="1"/>
  <c r="C502" i="1"/>
  <c r="B503" i="1"/>
  <c r="C503" i="1"/>
  <c r="B504" i="1"/>
  <c r="C504" i="1"/>
  <c r="B505" i="1"/>
  <c r="C505" i="1"/>
  <c r="B506" i="1"/>
  <c r="C506" i="1"/>
  <c r="B507" i="1"/>
  <c r="C507" i="1"/>
  <c r="B508" i="1"/>
  <c r="C508" i="1"/>
  <c r="B509" i="1"/>
  <c r="C509" i="1"/>
  <c r="B510" i="1"/>
  <c r="C510" i="1"/>
  <c r="B511" i="1"/>
  <c r="C511" i="1"/>
  <c r="B512" i="1"/>
  <c r="C512" i="1"/>
  <c r="B513" i="1"/>
  <c r="C513" i="1"/>
  <c r="B514" i="1"/>
  <c r="C514" i="1"/>
  <c r="B515" i="1"/>
  <c r="C515" i="1"/>
  <c r="B516" i="1"/>
  <c r="C516" i="1"/>
  <c r="B517" i="1"/>
  <c r="C517" i="1"/>
  <c r="B518" i="1"/>
  <c r="C518" i="1"/>
  <c r="B519" i="1"/>
  <c r="C519" i="1"/>
  <c r="B520" i="1"/>
  <c r="C520" i="1"/>
  <c r="B521" i="1"/>
  <c r="C521" i="1"/>
  <c r="B522" i="1"/>
  <c r="C522" i="1"/>
  <c r="B523" i="1"/>
  <c r="C523" i="1"/>
  <c r="B524" i="1"/>
  <c r="C524" i="1"/>
  <c r="B525" i="1"/>
  <c r="C525" i="1"/>
  <c r="B526" i="1"/>
  <c r="C526" i="1"/>
  <c r="B527" i="1"/>
  <c r="C527" i="1"/>
  <c r="B528" i="1"/>
  <c r="C528" i="1"/>
  <c r="B529" i="1"/>
  <c r="C529" i="1"/>
  <c r="B530" i="1"/>
  <c r="C530" i="1"/>
  <c r="B531" i="1"/>
  <c r="C531" i="1"/>
  <c r="B532" i="1"/>
  <c r="C532" i="1"/>
  <c r="B533" i="1"/>
  <c r="C533" i="1"/>
  <c r="B534" i="1"/>
  <c r="C534" i="1"/>
  <c r="B535" i="1"/>
  <c r="C535" i="1"/>
  <c r="B536" i="1"/>
  <c r="C536" i="1"/>
  <c r="B537" i="1"/>
  <c r="C537" i="1"/>
  <c r="B538" i="1"/>
  <c r="C538" i="1"/>
  <c r="B539" i="1"/>
  <c r="C539" i="1"/>
  <c r="B540" i="1"/>
  <c r="C540" i="1"/>
  <c r="B541" i="1"/>
  <c r="C541" i="1"/>
  <c r="B542" i="1"/>
  <c r="C542" i="1"/>
  <c r="B543" i="1"/>
  <c r="C543" i="1"/>
  <c r="B544" i="1"/>
  <c r="C544" i="1"/>
  <c r="B545" i="1"/>
  <c r="C545" i="1"/>
  <c r="B546" i="1"/>
  <c r="C546" i="1"/>
  <c r="B547" i="1"/>
  <c r="C547" i="1"/>
  <c r="B548" i="1"/>
  <c r="C548" i="1"/>
  <c r="B549" i="1"/>
  <c r="C549" i="1"/>
  <c r="B550" i="1"/>
  <c r="C550" i="1"/>
  <c r="B551" i="1"/>
  <c r="C551" i="1"/>
  <c r="B552" i="1"/>
  <c r="C552" i="1"/>
  <c r="B553" i="1"/>
  <c r="C553" i="1"/>
  <c r="B554" i="1"/>
  <c r="C554" i="1"/>
  <c r="B555" i="1"/>
  <c r="C555" i="1"/>
  <c r="B556" i="1"/>
  <c r="C556" i="1"/>
  <c r="B557" i="1"/>
  <c r="C557" i="1"/>
  <c r="B558" i="1"/>
  <c r="C558" i="1"/>
  <c r="B559" i="1"/>
  <c r="C559" i="1"/>
  <c r="B560" i="1"/>
  <c r="C560" i="1"/>
  <c r="B561" i="1"/>
  <c r="C561" i="1"/>
  <c r="B562" i="1"/>
  <c r="C562" i="1"/>
  <c r="B563" i="1"/>
  <c r="C563" i="1"/>
  <c r="B564" i="1"/>
  <c r="C564" i="1"/>
  <c r="B565" i="1"/>
  <c r="C565" i="1"/>
  <c r="B566" i="1"/>
  <c r="C566" i="1"/>
  <c r="B567" i="1"/>
  <c r="C567" i="1"/>
  <c r="B568" i="1"/>
  <c r="C568" i="1"/>
  <c r="B569" i="1"/>
  <c r="C569" i="1"/>
  <c r="B570" i="1"/>
  <c r="C570" i="1"/>
  <c r="B571" i="1"/>
  <c r="C571" i="1"/>
  <c r="B572" i="1"/>
  <c r="C572" i="1"/>
  <c r="B573" i="1"/>
  <c r="C573" i="1"/>
  <c r="B574" i="1"/>
  <c r="C574" i="1"/>
  <c r="B575" i="1"/>
  <c r="C575" i="1"/>
  <c r="B576" i="1"/>
  <c r="C576" i="1"/>
  <c r="B577" i="1"/>
  <c r="C577" i="1"/>
  <c r="B578" i="1"/>
  <c r="C578" i="1"/>
  <c r="B579" i="1"/>
  <c r="C579" i="1"/>
  <c r="B580" i="1"/>
  <c r="C580" i="1"/>
  <c r="B581" i="1"/>
  <c r="C581" i="1"/>
  <c r="B582" i="1"/>
  <c r="C582" i="1"/>
  <c r="B583" i="1"/>
  <c r="C583" i="1"/>
  <c r="B584" i="1"/>
  <c r="C584" i="1"/>
  <c r="B585" i="1"/>
  <c r="C585" i="1"/>
  <c r="B586" i="1"/>
  <c r="C586" i="1"/>
  <c r="B587" i="1"/>
  <c r="C587" i="1"/>
  <c r="B588" i="1"/>
  <c r="C588" i="1"/>
  <c r="B589" i="1"/>
  <c r="C589" i="1"/>
  <c r="B590" i="1"/>
  <c r="C590" i="1"/>
  <c r="B591" i="1"/>
  <c r="C591" i="1"/>
  <c r="B592" i="1"/>
  <c r="C592" i="1"/>
  <c r="B593" i="1"/>
  <c r="C593" i="1"/>
  <c r="B594" i="1"/>
  <c r="C594" i="1"/>
  <c r="B595" i="1"/>
  <c r="C595" i="1"/>
  <c r="B596" i="1"/>
  <c r="C596" i="1"/>
  <c r="B597" i="1"/>
  <c r="C597" i="1"/>
  <c r="B598" i="1"/>
  <c r="C598" i="1"/>
  <c r="B599" i="1"/>
  <c r="C599" i="1"/>
  <c r="B600" i="1"/>
  <c r="C600" i="1"/>
  <c r="B601" i="1"/>
  <c r="C601" i="1"/>
  <c r="B602" i="1"/>
  <c r="C602" i="1"/>
  <c r="B603" i="1"/>
  <c r="C603" i="1"/>
  <c r="B604" i="1"/>
  <c r="C604" i="1"/>
  <c r="B605" i="1"/>
  <c r="C605" i="1"/>
  <c r="B606" i="1"/>
  <c r="C606" i="1"/>
  <c r="B607" i="1"/>
  <c r="C607" i="1"/>
  <c r="B608" i="1"/>
  <c r="C608" i="1"/>
  <c r="B609" i="1"/>
  <c r="C609" i="1"/>
  <c r="B610" i="1"/>
  <c r="C610" i="1"/>
  <c r="B611" i="1"/>
  <c r="C611" i="1"/>
  <c r="B612" i="1"/>
  <c r="C612" i="1"/>
  <c r="B613" i="1"/>
  <c r="C613" i="1"/>
  <c r="B614" i="1"/>
  <c r="C614" i="1"/>
  <c r="B615" i="1"/>
  <c r="C615" i="1"/>
  <c r="B616" i="1"/>
  <c r="C616" i="1"/>
  <c r="B617" i="1"/>
  <c r="C617" i="1"/>
  <c r="B618" i="1"/>
  <c r="C618" i="1"/>
  <c r="B619" i="1"/>
  <c r="C619" i="1"/>
  <c r="B620" i="1"/>
  <c r="C620" i="1"/>
  <c r="B621" i="1"/>
  <c r="C621" i="1"/>
  <c r="B622" i="1"/>
  <c r="C622" i="1"/>
  <c r="B623" i="1"/>
  <c r="C623" i="1"/>
  <c r="B624" i="1"/>
  <c r="C624" i="1"/>
  <c r="B625" i="1"/>
  <c r="C625" i="1"/>
  <c r="B626" i="1"/>
  <c r="C626" i="1"/>
  <c r="B627" i="1"/>
  <c r="C627" i="1"/>
  <c r="B628" i="1"/>
  <c r="C628" i="1"/>
  <c r="B629" i="1"/>
  <c r="C629" i="1"/>
  <c r="B630" i="1"/>
  <c r="C630" i="1"/>
  <c r="B631" i="1"/>
  <c r="C631" i="1"/>
  <c r="B632" i="1"/>
  <c r="C632" i="1"/>
  <c r="B633" i="1"/>
  <c r="C633" i="1"/>
  <c r="B634" i="1"/>
  <c r="C634" i="1"/>
  <c r="B635" i="1"/>
  <c r="C635" i="1"/>
  <c r="B636" i="1"/>
  <c r="C636" i="1"/>
  <c r="B637" i="1"/>
  <c r="C637" i="1"/>
  <c r="B638" i="1"/>
  <c r="C638" i="1"/>
  <c r="B639" i="1"/>
  <c r="C639" i="1"/>
  <c r="B640" i="1"/>
  <c r="C640" i="1"/>
  <c r="B641" i="1"/>
  <c r="C641" i="1"/>
  <c r="B642" i="1"/>
  <c r="C642" i="1"/>
  <c r="B643" i="1"/>
  <c r="C643" i="1"/>
  <c r="B644" i="1"/>
  <c r="C644" i="1"/>
  <c r="B645" i="1"/>
  <c r="C645" i="1"/>
  <c r="B646" i="1"/>
  <c r="C646" i="1"/>
  <c r="B647" i="1"/>
  <c r="C647" i="1"/>
  <c r="B648" i="1"/>
  <c r="C648" i="1"/>
  <c r="B649" i="1"/>
  <c r="C649" i="1"/>
  <c r="B650" i="1"/>
  <c r="C650" i="1"/>
  <c r="B651" i="1"/>
  <c r="C651" i="1"/>
  <c r="B652" i="1"/>
  <c r="C652" i="1"/>
  <c r="B653" i="1"/>
  <c r="C653" i="1"/>
  <c r="B654" i="1"/>
  <c r="C654" i="1"/>
  <c r="B655" i="1"/>
  <c r="C655" i="1"/>
  <c r="B656" i="1"/>
  <c r="C656" i="1"/>
  <c r="B657" i="1"/>
  <c r="C657" i="1"/>
  <c r="B658" i="1"/>
  <c r="C658" i="1"/>
  <c r="B659" i="1"/>
  <c r="C659" i="1"/>
  <c r="B660" i="1"/>
  <c r="C660" i="1"/>
  <c r="B661" i="1"/>
  <c r="C661" i="1"/>
  <c r="B662" i="1"/>
  <c r="C662" i="1"/>
  <c r="B663" i="1"/>
  <c r="C663" i="1"/>
  <c r="B664" i="1"/>
  <c r="C664" i="1"/>
  <c r="B665" i="1"/>
  <c r="C665" i="1"/>
  <c r="B666" i="1"/>
  <c r="C666" i="1"/>
  <c r="B667" i="1"/>
  <c r="C667" i="1"/>
  <c r="B668" i="1"/>
  <c r="C668" i="1"/>
  <c r="B669" i="1"/>
  <c r="C669" i="1"/>
  <c r="B670" i="1"/>
  <c r="C670" i="1"/>
  <c r="B671" i="1"/>
  <c r="C671" i="1"/>
  <c r="B672" i="1"/>
  <c r="C672" i="1"/>
  <c r="B673" i="1"/>
  <c r="C673" i="1"/>
  <c r="B674" i="1"/>
  <c r="C674" i="1"/>
  <c r="B675" i="1"/>
  <c r="C675" i="1"/>
  <c r="B676" i="1"/>
  <c r="C676" i="1"/>
  <c r="B677" i="1"/>
  <c r="C677" i="1"/>
  <c r="B678" i="1"/>
  <c r="C678" i="1"/>
  <c r="B679" i="1"/>
  <c r="C679" i="1"/>
  <c r="B680" i="1"/>
  <c r="C680" i="1"/>
  <c r="B681" i="1"/>
  <c r="C681" i="1"/>
  <c r="B682" i="1"/>
  <c r="C682" i="1"/>
  <c r="B683" i="1"/>
  <c r="C683" i="1"/>
  <c r="B684" i="1"/>
  <c r="C684" i="1"/>
  <c r="B685" i="1"/>
  <c r="C685" i="1"/>
  <c r="B686" i="1"/>
  <c r="C686" i="1"/>
  <c r="B687" i="1"/>
  <c r="C687" i="1"/>
  <c r="B688" i="1"/>
  <c r="C688" i="1"/>
  <c r="B689" i="1"/>
  <c r="C689" i="1"/>
  <c r="B690" i="1"/>
  <c r="C690" i="1"/>
  <c r="B691" i="1"/>
  <c r="C691" i="1"/>
  <c r="B692" i="1"/>
  <c r="C692" i="1"/>
  <c r="B693" i="1"/>
  <c r="C693" i="1"/>
  <c r="B694" i="1"/>
  <c r="C694" i="1"/>
  <c r="B695" i="1"/>
  <c r="C695" i="1"/>
  <c r="B696" i="1"/>
  <c r="C696" i="1"/>
  <c r="B697" i="1"/>
  <c r="C697" i="1"/>
  <c r="B698" i="1"/>
  <c r="C698" i="1"/>
  <c r="B699" i="1"/>
  <c r="C699" i="1"/>
  <c r="B700" i="1"/>
  <c r="C700" i="1"/>
  <c r="B701" i="1"/>
  <c r="C701" i="1"/>
  <c r="B702" i="1"/>
  <c r="C702" i="1"/>
  <c r="B703" i="1"/>
  <c r="C703" i="1"/>
  <c r="B704" i="1"/>
  <c r="C704" i="1"/>
  <c r="B705" i="1"/>
  <c r="C705" i="1"/>
  <c r="B706" i="1"/>
  <c r="C706" i="1"/>
  <c r="B707" i="1"/>
  <c r="C707" i="1"/>
  <c r="B708" i="1"/>
  <c r="C708" i="1"/>
  <c r="B709" i="1"/>
  <c r="C709" i="1"/>
  <c r="B710" i="1"/>
  <c r="C710" i="1"/>
  <c r="B711" i="1"/>
  <c r="C711" i="1"/>
  <c r="B712" i="1"/>
  <c r="C712" i="1"/>
  <c r="B713" i="1"/>
  <c r="C713" i="1"/>
  <c r="B714" i="1"/>
  <c r="C714" i="1"/>
  <c r="B715" i="1"/>
  <c r="C715" i="1"/>
  <c r="B716" i="1"/>
  <c r="C716" i="1"/>
  <c r="B717" i="1"/>
  <c r="C717" i="1"/>
  <c r="B718" i="1"/>
  <c r="C718" i="1"/>
  <c r="B719" i="1"/>
  <c r="C719" i="1"/>
  <c r="B720" i="1"/>
  <c r="C720" i="1"/>
  <c r="B721" i="1"/>
  <c r="C721" i="1"/>
  <c r="B722" i="1"/>
  <c r="C722" i="1"/>
  <c r="B723" i="1"/>
  <c r="C723" i="1"/>
  <c r="B724" i="1"/>
  <c r="C724" i="1"/>
  <c r="B725" i="1"/>
  <c r="C725" i="1"/>
  <c r="B726" i="1"/>
  <c r="C726" i="1"/>
  <c r="B727" i="1"/>
  <c r="C727" i="1"/>
  <c r="B728" i="1"/>
  <c r="C728" i="1"/>
  <c r="B729" i="1"/>
  <c r="C729" i="1"/>
  <c r="B730" i="1"/>
  <c r="C730" i="1"/>
  <c r="B731" i="1"/>
  <c r="C731" i="1"/>
  <c r="B732" i="1"/>
  <c r="C732" i="1"/>
  <c r="B733" i="1"/>
  <c r="C733" i="1"/>
  <c r="B734" i="1"/>
  <c r="C734" i="1"/>
  <c r="B735" i="1"/>
  <c r="C735" i="1"/>
  <c r="B736" i="1"/>
  <c r="C736" i="1"/>
  <c r="B737" i="1"/>
  <c r="C737" i="1"/>
  <c r="B738" i="1"/>
  <c r="C738" i="1"/>
  <c r="B739" i="1"/>
  <c r="C739" i="1"/>
  <c r="B740" i="1"/>
  <c r="C740" i="1"/>
  <c r="B741" i="1"/>
  <c r="C741" i="1"/>
  <c r="B742" i="1"/>
  <c r="C742" i="1"/>
  <c r="B743" i="1"/>
  <c r="C743" i="1"/>
  <c r="B744" i="1"/>
  <c r="C744" i="1"/>
  <c r="B745" i="1"/>
  <c r="C745" i="1"/>
  <c r="B746" i="1"/>
  <c r="C746" i="1"/>
  <c r="B747" i="1"/>
  <c r="C747" i="1"/>
  <c r="B748" i="1"/>
  <c r="C748" i="1"/>
  <c r="B749" i="1"/>
  <c r="C749" i="1"/>
  <c r="B750" i="1"/>
  <c r="C750" i="1"/>
  <c r="B751" i="1"/>
  <c r="C751" i="1"/>
  <c r="B752" i="1"/>
  <c r="C752" i="1"/>
  <c r="B753" i="1"/>
  <c r="C753" i="1"/>
  <c r="B754" i="1"/>
  <c r="C754" i="1"/>
  <c r="B755" i="1"/>
  <c r="C755" i="1"/>
  <c r="B756" i="1"/>
  <c r="C756" i="1"/>
  <c r="B757" i="1"/>
  <c r="C757" i="1"/>
  <c r="B758" i="1"/>
  <c r="C758" i="1"/>
  <c r="B759" i="1"/>
  <c r="C759" i="1"/>
  <c r="B760" i="1"/>
  <c r="C760" i="1"/>
  <c r="B761" i="1"/>
  <c r="C761" i="1"/>
  <c r="B762" i="1"/>
  <c r="C762" i="1"/>
  <c r="B763" i="1"/>
  <c r="C763" i="1"/>
  <c r="B764" i="1"/>
  <c r="C764" i="1"/>
  <c r="B765" i="1"/>
  <c r="C765" i="1"/>
  <c r="B766" i="1"/>
  <c r="C766" i="1"/>
  <c r="B767" i="1"/>
  <c r="C767" i="1"/>
  <c r="B768" i="1"/>
  <c r="C768" i="1"/>
  <c r="B769" i="1"/>
  <c r="C769" i="1"/>
  <c r="B770" i="1"/>
  <c r="C770" i="1"/>
  <c r="B771" i="1"/>
  <c r="C771" i="1"/>
  <c r="B772" i="1"/>
  <c r="C772" i="1"/>
  <c r="B773" i="1"/>
  <c r="C773" i="1"/>
  <c r="B774" i="1"/>
  <c r="C774" i="1"/>
  <c r="B775" i="1"/>
  <c r="C775" i="1"/>
  <c r="B776" i="1"/>
  <c r="C776" i="1"/>
  <c r="B777" i="1"/>
  <c r="C777" i="1"/>
  <c r="B778" i="1"/>
  <c r="C778" i="1"/>
  <c r="B779" i="1"/>
  <c r="C779" i="1"/>
  <c r="B780" i="1"/>
  <c r="C780" i="1"/>
  <c r="B781" i="1"/>
  <c r="C781" i="1"/>
  <c r="B782" i="1"/>
  <c r="C782" i="1"/>
  <c r="B783" i="1"/>
  <c r="C783" i="1"/>
  <c r="B784" i="1"/>
  <c r="C784" i="1"/>
  <c r="B785" i="1"/>
  <c r="C785" i="1"/>
  <c r="B786" i="1"/>
  <c r="C786" i="1"/>
  <c r="B787" i="1"/>
  <c r="C787" i="1"/>
  <c r="B788" i="1"/>
  <c r="C788" i="1"/>
  <c r="B789" i="1"/>
  <c r="C789" i="1"/>
  <c r="B790" i="1"/>
  <c r="C790" i="1"/>
  <c r="B791" i="1"/>
  <c r="C791" i="1"/>
  <c r="B792" i="1"/>
  <c r="C792" i="1"/>
  <c r="B793" i="1"/>
  <c r="C793" i="1"/>
  <c r="B794" i="1"/>
  <c r="C794" i="1"/>
  <c r="B795" i="1"/>
  <c r="C795" i="1"/>
  <c r="B796" i="1"/>
  <c r="C796" i="1"/>
  <c r="B797" i="1"/>
  <c r="C797" i="1"/>
  <c r="B798" i="1"/>
  <c r="C798" i="1"/>
  <c r="B799" i="1"/>
  <c r="C799" i="1"/>
  <c r="B800" i="1"/>
  <c r="C800" i="1"/>
  <c r="B801" i="1"/>
  <c r="C801" i="1"/>
  <c r="B802" i="1"/>
  <c r="C802" i="1"/>
  <c r="B803" i="1"/>
  <c r="C803" i="1"/>
  <c r="B804" i="1"/>
  <c r="C804" i="1"/>
  <c r="B805" i="1"/>
  <c r="C805" i="1"/>
  <c r="B806" i="1"/>
  <c r="C806" i="1"/>
  <c r="B807" i="1"/>
  <c r="C807" i="1"/>
  <c r="B808" i="1"/>
  <c r="C808" i="1"/>
  <c r="B809" i="1"/>
  <c r="C809" i="1"/>
  <c r="B810" i="1"/>
  <c r="C810" i="1"/>
  <c r="B811" i="1"/>
  <c r="C811" i="1"/>
  <c r="B812" i="1"/>
  <c r="C812" i="1"/>
  <c r="B813" i="1"/>
  <c r="C813" i="1"/>
  <c r="B814" i="1"/>
  <c r="C814" i="1"/>
  <c r="B815" i="1"/>
  <c r="C815" i="1"/>
  <c r="B816" i="1"/>
  <c r="C816" i="1"/>
  <c r="B817" i="1"/>
  <c r="C817" i="1"/>
  <c r="B818" i="1"/>
  <c r="C818" i="1"/>
  <c r="B819" i="1"/>
  <c r="C819" i="1"/>
  <c r="B820" i="1"/>
  <c r="C820" i="1"/>
  <c r="B821" i="1"/>
  <c r="C821" i="1"/>
  <c r="B822" i="1"/>
  <c r="C822" i="1"/>
  <c r="B823" i="1"/>
  <c r="C823" i="1"/>
  <c r="B824" i="1"/>
  <c r="C824" i="1"/>
  <c r="B825" i="1"/>
  <c r="C825" i="1"/>
  <c r="B826" i="1"/>
  <c r="C826" i="1"/>
  <c r="B827" i="1"/>
  <c r="C827" i="1"/>
  <c r="B828" i="1"/>
  <c r="C828" i="1"/>
  <c r="B829" i="1"/>
  <c r="C829" i="1"/>
  <c r="B830" i="1"/>
  <c r="C830" i="1"/>
  <c r="B831" i="1"/>
  <c r="C831" i="1"/>
  <c r="B832" i="1"/>
  <c r="C832" i="1"/>
  <c r="B833" i="1"/>
  <c r="C833" i="1"/>
  <c r="B834" i="1"/>
  <c r="C834" i="1"/>
  <c r="B835" i="1"/>
  <c r="C835" i="1"/>
  <c r="B836" i="1"/>
  <c r="C836" i="1"/>
  <c r="B837" i="1"/>
  <c r="C837" i="1"/>
  <c r="B838" i="1"/>
  <c r="C838" i="1"/>
  <c r="B839" i="1"/>
  <c r="C839" i="1"/>
  <c r="B840" i="1"/>
  <c r="C840" i="1"/>
  <c r="B841" i="1"/>
  <c r="C841" i="1"/>
  <c r="B842" i="1"/>
  <c r="C842" i="1"/>
  <c r="B843" i="1"/>
  <c r="C843" i="1"/>
  <c r="B844" i="1"/>
  <c r="C844" i="1"/>
  <c r="B845" i="1"/>
  <c r="C845" i="1"/>
  <c r="B846" i="1"/>
  <c r="C846" i="1"/>
  <c r="B847" i="1"/>
  <c r="C847" i="1"/>
  <c r="B848" i="1"/>
  <c r="C848" i="1"/>
  <c r="B849" i="1"/>
  <c r="C849" i="1"/>
  <c r="B850" i="1"/>
  <c r="C850" i="1"/>
  <c r="B851" i="1"/>
  <c r="C851" i="1"/>
  <c r="B852" i="1"/>
  <c r="C852" i="1"/>
  <c r="B853" i="1"/>
  <c r="C853" i="1"/>
  <c r="B854" i="1"/>
  <c r="C854" i="1"/>
  <c r="B855" i="1"/>
  <c r="C855" i="1"/>
  <c r="B856" i="1"/>
  <c r="C856" i="1"/>
  <c r="B857" i="1"/>
  <c r="C857" i="1"/>
  <c r="B858" i="1"/>
  <c r="C858" i="1"/>
  <c r="B859" i="1"/>
  <c r="C859" i="1"/>
  <c r="B860" i="1"/>
  <c r="C860" i="1"/>
  <c r="B861" i="1"/>
  <c r="C861" i="1"/>
  <c r="B862" i="1"/>
  <c r="C862" i="1"/>
  <c r="B863" i="1"/>
  <c r="C863" i="1"/>
  <c r="B864" i="1"/>
  <c r="C864" i="1"/>
  <c r="B865" i="1"/>
  <c r="C865" i="1"/>
  <c r="B866" i="1"/>
  <c r="C866" i="1"/>
  <c r="B867" i="1"/>
  <c r="C867" i="1"/>
  <c r="B868" i="1"/>
  <c r="C868" i="1"/>
  <c r="B869" i="1"/>
  <c r="C869" i="1"/>
  <c r="B870" i="1"/>
  <c r="C870" i="1"/>
  <c r="B871" i="1"/>
  <c r="C871" i="1"/>
  <c r="B872" i="1"/>
  <c r="C872" i="1"/>
  <c r="B873" i="1"/>
  <c r="C873" i="1"/>
  <c r="B874" i="1"/>
  <c r="C874" i="1"/>
  <c r="B875" i="1"/>
  <c r="C875" i="1"/>
  <c r="B876" i="1"/>
  <c r="C876" i="1"/>
  <c r="B877" i="1"/>
  <c r="C877" i="1"/>
  <c r="B878" i="1"/>
  <c r="C878" i="1"/>
  <c r="B879" i="1"/>
  <c r="C879" i="1"/>
  <c r="B880" i="1"/>
  <c r="C880" i="1"/>
  <c r="B881" i="1"/>
  <c r="C881" i="1"/>
  <c r="B882" i="1"/>
  <c r="C882" i="1"/>
  <c r="B883" i="1"/>
  <c r="C883" i="1"/>
  <c r="B884" i="1"/>
  <c r="C884" i="1"/>
  <c r="B885" i="1"/>
  <c r="C885" i="1"/>
  <c r="B886" i="1"/>
  <c r="C886" i="1"/>
  <c r="B887" i="1"/>
  <c r="C887" i="1"/>
  <c r="B888" i="1"/>
  <c r="C888" i="1"/>
  <c r="B889" i="1"/>
  <c r="C889" i="1"/>
  <c r="B890" i="1"/>
  <c r="C890" i="1"/>
  <c r="B891" i="1"/>
  <c r="C891" i="1"/>
  <c r="B892" i="1"/>
  <c r="C892" i="1"/>
  <c r="B893" i="1"/>
  <c r="C893" i="1"/>
  <c r="B894" i="1"/>
  <c r="C894" i="1"/>
  <c r="B895" i="1"/>
  <c r="C895" i="1"/>
  <c r="B896" i="1"/>
  <c r="C896" i="1"/>
  <c r="B897" i="1"/>
  <c r="C897" i="1"/>
  <c r="B898" i="1"/>
  <c r="C898" i="1"/>
  <c r="B899" i="1"/>
  <c r="C899" i="1"/>
  <c r="B900" i="1"/>
  <c r="C900" i="1"/>
  <c r="B901" i="1"/>
  <c r="C901" i="1"/>
  <c r="B902" i="1"/>
  <c r="C902" i="1"/>
  <c r="B903" i="1"/>
  <c r="C903" i="1"/>
  <c r="B904" i="1"/>
  <c r="C904" i="1"/>
  <c r="B905" i="1"/>
  <c r="C905" i="1"/>
  <c r="B906" i="1"/>
  <c r="C906" i="1"/>
  <c r="B907" i="1"/>
  <c r="C907" i="1"/>
  <c r="B908" i="1"/>
  <c r="C908" i="1"/>
  <c r="B909" i="1"/>
  <c r="C909" i="1"/>
  <c r="B910" i="1"/>
  <c r="C910" i="1"/>
  <c r="B911" i="1"/>
  <c r="C911" i="1"/>
  <c r="B912" i="1"/>
  <c r="C912" i="1"/>
  <c r="B913" i="1"/>
  <c r="C913" i="1"/>
  <c r="B914" i="1"/>
  <c r="C914" i="1"/>
  <c r="B915" i="1"/>
  <c r="C915" i="1"/>
  <c r="B916" i="1"/>
  <c r="C916" i="1"/>
  <c r="B917" i="1"/>
  <c r="C917" i="1"/>
  <c r="B918" i="1"/>
  <c r="C918" i="1"/>
  <c r="B919" i="1"/>
  <c r="C919" i="1"/>
  <c r="B920" i="1"/>
  <c r="C920" i="1"/>
  <c r="B921" i="1"/>
  <c r="C921" i="1"/>
  <c r="B922" i="1"/>
  <c r="C922" i="1"/>
  <c r="B923" i="1"/>
  <c r="C923" i="1"/>
  <c r="B924" i="1"/>
  <c r="C924" i="1"/>
  <c r="B925" i="1"/>
  <c r="C925" i="1"/>
  <c r="B926" i="1"/>
  <c r="C926" i="1"/>
  <c r="B927" i="1"/>
  <c r="C927" i="1"/>
  <c r="B928" i="1"/>
  <c r="C928" i="1"/>
  <c r="B929" i="1"/>
  <c r="C929" i="1"/>
  <c r="B930" i="1"/>
  <c r="C930" i="1"/>
  <c r="B931" i="1"/>
  <c r="C931" i="1"/>
  <c r="B932" i="1"/>
  <c r="C932" i="1"/>
  <c r="B933" i="1"/>
  <c r="C933" i="1"/>
  <c r="B934" i="1"/>
  <c r="C934" i="1"/>
  <c r="B935" i="1"/>
  <c r="C935" i="1"/>
  <c r="B936" i="1"/>
  <c r="C936" i="1"/>
  <c r="B937" i="1"/>
  <c r="C937" i="1"/>
  <c r="B938" i="1"/>
  <c r="C938" i="1"/>
  <c r="B939" i="1"/>
  <c r="C939" i="1"/>
  <c r="B940" i="1"/>
  <c r="C940" i="1"/>
  <c r="B941" i="1"/>
  <c r="C941" i="1"/>
  <c r="B942" i="1"/>
  <c r="C942" i="1"/>
  <c r="B943" i="1"/>
  <c r="C943" i="1"/>
  <c r="B944" i="1"/>
  <c r="C944" i="1"/>
  <c r="B945" i="1"/>
  <c r="C945" i="1"/>
  <c r="B946" i="1"/>
  <c r="C946" i="1"/>
  <c r="B947" i="1"/>
  <c r="C947" i="1"/>
  <c r="B948" i="1"/>
  <c r="C948" i="1"/>
  <c r="B949" i="1"/>
  <c r="C949" i="1"/>
  <c r="B950" i="1"/>
  <c r="C950" i="1"/>
  <c r="B951" i="1"/>
  <c r="C951" i="1"/>
  <c r="B952" i="1"/>
  <c r="C952" i="1"/>
  <c r="B953" i="1"/>
  <c r="C953" i="1"/>
  <c r="B954" i="1"/>
  <c r="C954" i="1"/>
  <c r="B955" i="1"/>
  <c r="C955" i="1"/>
  <c r="B956" i="1"/>
  <c r="C956" i="1"/>
  <c r="B957" i="1"/>
  <c r="C957" i="1"/>
  <c r="B958" i="1"/>
  <c r="C958" i="1"/>
  <c r="B959" i="1"/>
  <c r="C959" i="1"/>
  <c r="B960" i="1"/>
  <c r="C960" i="1"/>
  <c r="B961" i="1"/>
  <c r="C961" i="1"/>
  <c r="B962" i="1"/>
  <c r="C962" i="1"/>
  <c r="B963" i="1"/>
  <c r="C963" i="1"/>
  <c r="B964" i="1"/>
  <c r="C964" i="1"/>
  <c r="B965" i="1"/>
  <c r="C965" i="1"/>
  <c r="B966" i="1"/>
  <c r="C966" i="1"/>
  <c r="B967" i="1"/>
  <c r="C967" i="1"/>
  <c r="B968" i="1"/>
  <c r="C968" i="1"/>
  <c r="B969" i="1"/>
  <c r="C969" i="1"/>
  <c r="B970" i="1"/>
  <c r="C970" i="1"/>
  <c r="B971" i="1"/>
  <c r="C971" i="1"/>
  <c r="B972" i="1"/>
  <c r="C972" i="1"/>
  <c r="B973" i="1"/>
  <c r="C973" i="1"/>
  <c r="B974" i="1"/>
  <c r="C974" i="1"/>
  <c r="B975" i="1"/>
  <c r="C975" i="1"/>
  <c r="B976" i="1"/>
  <c r="C976" i="1"/>
  <c r="B977" i="1"/>
  <c r="C977" i="1"/>
  <c r="B978" i="1"/>
  <c r="C978" i="1"/>
  <c r="B979" i="1"/>
  <c r="C979" i="1"/>
  <c r="B980" i="1"/>
  <c r="C980" i="1"/>
  <c r="B981" i="1"/>
  <c r="C981" i="1"/>
  <c r="B982" i="1"/>
  <c r="C982" i="1"/>
  <c r="B983" i="1"/>
  <c r="C983" i="1"/>
  <c r="B984" i="1"/>
  <c r="C984" i="1"/>
  <c r="B985" i="1"/>
  <c r="C985" i="1"/>
  <c r="B986" i="1"/>
  <c r="C986" i="1"/>
  <c r="B987" i="1"/>
  <c r="C987" i="1"/>
  <c r="B988" i="1"/>
  <c r="C988" i="1"/>
  <c r="B989" i="1"/>
  <c r="C989" i="1"/>
  <c r="B990" i="1"/>
  <c r="C990" i="1"/>
  <c r="B991" i="1"/>
  <c r="C991" i="1"/>
  <c r="B992" i="1"/>
  <c r="C992" i="1"/>
  <c r="B993" i="1"/>
  <c r="C993" i="1"/>
  <c r="B994" i="1"/>
  <c r="C994" i="1"/>
  <c r="B995" i="1"/>
  <c r="C995" i="1"/>
  <c r="B996" i="1"/>
  <c r="C996" i="1"/>
  <c r="B997" i="1"/>
  <c r="C997" i="1"/>
  <c r="B998" i="1"/>
  <c r="C998" i="1"/>
  <c r="B999" i="1"/>
  <c r="C999" i="1"/>
  <c r="B1000" i="1"/>
  <c r="C1000" i="1"/>
  <c r="B1001" i="1"/>
  <c r="C1001" i="1"/>
  <c r="B1002" i="1"/>
  <c r="C1002" i="1"/>
  <c r="B1003" i="1"/>
  <c r="C1003" i="1"/>
  <c r="B1004" i="1"/>
  <c r="C1004" i="1"/>
  <c r="B1005" i="1"/>
  <c r="C1005" i="1"/>
  <c r="B1006" i="1"/>
  <c r="C1006" i="1"/>
  <c r="B1007" i="1"/>
  <c r="C1007" i="1"/>
  <c r="B1008" i="1"/>
  <c r="C1008" i="1"/>
  <c r="B1009" i="1"/>
  <c r="C1009" i="1"/>
  <c r="B1010" i="1"/>
  <c r="C1010" i="1"/>
  <c r="B1011" i="1"/>
  <c r="C1011" i="1"/>
  <c r="B1012" i="1"/>
  <c r="C1012" i="1"/>
  <c r="B1013" i="1"/>
  <c r="C1013" i="1"/>
  <c r="B1014" i="1"/>
  <c r="C1014" i="1"/>
  <c r="B1015" i="1"/>
  <c r="C1015" i="1"/>
  <c r="B1016" i="1"/>
  <c r="C1016" i="1"/>
  <c r="B1017" i="1"/>
  <c r="C1017" i="1"/>
  <c r="B1018" i="1"/>
  <c r="C1018" i="1"/>
  <c r="B1019" i="1"/>
  <c r="C1019" i="1"/>
  <c r="B1020" i="1"/>
  <c r="C1020" i="1"/>
  <c r="B1021" i="1"/>
  <c r="C1021" i="1"/>
  <c r="B1022" i="1"/>
  <c r="C1022" i="1"/>
  <c r="B1023" i="1"/>
  <c r="C1023" i="1"/>
  <c r="B1024" i="1"/>
  <c r="C1024" i="1"/>
  <c r="B1025" i="1"/>
  <c r="C1025" i="1"/>
  <c r="B1026" i="1"/>
  <c r="C1026" i="1"/>
  <c r="B1027" i="1"/>
  <c r="C1027" i="1"/>
  <c r="B1028" i="1"/>
  <c r="C1028" i="1"/>
  <c r="B1029" i="1"/>
  <c r="C1029" i="1"/>
  <c r="B1030" i="1"/>
  <c r="C1030" i="1"/>
  <c r="B1031" i="1"/>
  <c r="C1031" i="1"/>
  <c r="B1032" i="1"/>
  <c r="C1032" i="1"/>
  <c r="B1033" i="1"/>
  <c r="C1033" i="1"/>
  <c r="B1034" i="1"/>
  <c r="C1034" i="1"/>
  <c r="B1035" i="1"/>
  <c r="C1035" i="1"/>
  <c r="B1036" i="1"/>
  <c r="C1036" i="1"/>
  <c r="B1037" i="1"/>
  <c r="C1037" i="1"/>
  <c r="B1038" i="1"/>
  <c r="C1038" i="1"/>
  <c r="B1039" i="1"/>
  <c r="C1039" i="1"/>
  <c r="B1040" i="1"/>
  <c r="C1040" i="1"/>
  <c r="B1041" i="1"/>
  <c r="C1041" i="1"/>
  <c r="B1042" i="1"/>
  <c r="C1042" i="1"/>
  <c r="B1043" i="1"/>
  <c r="C1043" i="1"/>
  <c r="B1044" i="1"/>
  <c r="C1044" i="1"/>
  <c r="B1045" i="1"/>
  <c r="C1045" i="1"/>
  <c r="B1046" i="1"/>
  <c r="C1046" i="1"/>
  <c r="B1047" i="1"/>
  <c r="C1047" i="1"/>
  <c r="B1048" i="1"/>
  <c r="C1048" i="1"/>
  <c r="B1049" i="1"/>
  <c r="C1049" i="1"/>
  <c r="B1050" i="1"/>
  <c r="C1050" i="1"/>
  <c r="B1051" i="1"/>
  <c r="C1051" i="1"/>
  <c r="B1052" i="1"/>
  <c r="C1052" i="1"/>
  <c r="B1053" i="1"/>
  <c r="C1053" i="1"/>
  <c r="B1054" i="1"/>
  <c r="C1054" i="1"/>
  <c r="B1055" i="1"/>
  <c r="C1055" i="1"/>
  <c r="B1056" i="1"/>
  <c r="C1056" i="1"/>
  <c r="B1057" i="1"/>
  <c r="C1057" i="1"/>
  <c r="B1058" i="1"/>
  <c r="C1058" i="1"/>
  <c r="B1059" i="1"/>
  <c r="C1059" i="1"/>
  <c r="B1060" i="1"/>
  <c r="C1060" i="1"/>
  <c r="B1061" i="1"/>
  <c r="C1061" i="1"/>
  <c r="B1062" i="1"/>
  <c r="C1062" i="1"/>
  <c r="B1063" i="1"/>
  <c r="C1063" i="1"/>
  <c r="B1064" i="1"/>
  <c r="C1064" i="1"/>
  <c r="B1065" i="1"/>
  <c r="C1065" i="1"/>
  <c r="B1066" i="1"/>
  <c r="C1066" i="1"/>
  <c r="B1067" i="1"/>
  <c r="C1067" i="1"/>
  <c r="B1068" i="1"/>
  <c r="C1068" i="1"/>
  <c r="B1069" i="1"/>
  <c r="C1069" i="1"/>
  <c r="B1070" i="1"/>
  <c r="C1070" i="1"/>
  <c r="B1071" i="1"/>
  <c r="C1071" i="1"/>
  <c r="B1072" i="1"/>
  <c r="C1072" i="1"/>
  <c r="B1073" i="1"/>
  <c r="C1073" i="1"/>
  <c r="B1074" i="1"/>
  <c r="C1074" i="1"/>
  <c r="B1075" i="1"/>
  <c r="C1075" i="1"/>
  <c r="B1076" i="1"/>
  <c r="C1076" i="1"/>
  <c r="B1077" i="1"/>
  <c r="C1077" i="1"/>
  <c r="B1078" i="1"/>
  <c r="C1078" i="1"/>
  <c r="B1079" i="1"/>
  <c r="C1079" i="1"/>
  <c r="B1080" i="1"/>
  <c r="C1080" i="1"/>
  <c r="B1081" i="1"/>
  <c r="C1081" i="1"/>
  <c r="B1082" i="1"/>
  <c r="C1082" i="1"/>
  <c r="B1083" i="1"/>
  <c r="C1083" i="1"/>
  <c r="B1084" i="1"/>
  <c r="C1084" i="1"/>
  <c r="B1085" i="1"/>
  <c r="C1085" i="1"/>
  <c r="B1086" i="1"/>
  <c r="C1086" i="1"/>
  <c r="B1087" i="1"/>
  <c r="C1087" i="1"/>
  <c r="B1088" i="1"/>
  <c r="C1088" i="1"/>
  <c r="B1089" i="1"/>
  <c r="C1089" i="1"/>
  <c r="B1090" i="1"/>
  <c r="C1090" i="1"/>
  <c r="B1091" i="1"/>
  <c r="C1091" i="1"/>
  <c r="B1092" i="1"/>
  <c r="C1092" i="1"/>
  <c r="B1093" i="1"/>
  <c r="C1093" i="1"/>
  <c r="B1094" i="1"/>
  <c r="C1094" i="1"/>
  <c r="B1095" i="1"/>
  <c r="C1095" i="1"/>
  <c r="B1096" i="1"/>
  <c r="C1096" i="1"/>
  <c r="B1097" i="1"/>
  <c r="C1097" i="1"/>
  <c r="B1098" i="1"/>
  <c r="C1098" i="1"/>
  <c r="B1099" i="1"/>
  <c r="C1099" i="1"/>
  <c r="B1100" i="1"/>
  <c r="C1100" i="1"/>
  <c r="B1101" i="1"/>
  <c r="C1101" i="1"/>
  <c r="B1102" i="1"/>
  <c r="C1102" i="1"/>
  <c r="B1103" i="1"/>
  <c r="C1103" i="1"/>
  <c r="B1104" i="1"/>
  <c r="C1104" i="1"/>
  <c r="B1105" i="1"/>
  <c r="C1105" i="1"/>
  <c r="B1106" i="1"/>
  <c r="C1106" i="1"/>
  <c r="B1107" i="1"/>
  <c r="C1107" i="1"/>
  <c r="B1108" i="1"/>
  <c r="C1108" i="1"/>
  <c r="B1109" i="1"/>
  <c r="C1109" i="1"/>
  <c r="B1110" i="1"/>
  <c r="C1110" i="1"/>
  <c r="B1111" i="1"/>
  <c r="C1111" i="1"/>
  <c r="B1112" i="1"/>
  <c r="C1112" i="1"/>
  <c r="B1113" i="1"/>
  <c r="C1113" i="1"/>
  <c r="B1114" i="1"/>
  <c r="C1114" i="1"/>
  <c r="B1115" i="1"/>
  <c r="C1115" i="1"/>
  <c r="B1116" i="1"/>
  <c r="C1116" i="1"/>
  <c r="B1117" i="1"/>
  <c r="C1117" i="1"/>
  <c r="B1118" i="1"/>
  <c r="C1118" i="1"/>
  <c r="B1119" i="1"/>
  <c r="C1119" i="1"/>
  <c r="B1120" i="1"/>
  <c r="C1120" i="1"/>
  <c r="B1121" i="1"/>
  <c r="C1121" i="1"/>
  <c r="B1122" i="1"/>
  <c r="C1122" i="1"/>
  <c r="B1123" i="1"/>
  <c r="C1123" i="1"/>
  <c r="B1124" i="1"/>
  <c r="C1124" i="1"/>
  <c r="B1125" i="1"/>
  <c r="C1125" i="1"/>
  <c r="B1126" i="1"/>
  <c r="C1126" i="1"/>
  <c r="B1127" i="1"/>
  <c r="C1127" i="1"/>
  <c r="B1128" i="1"/>
  <c r="C1128" i="1"/>
  <c r="B1129" i="1"/>
  <c r="C1129" i="1"/>
  <c r="B1130" i="1"/>
  <c r="C1130" i="1"/>
  <c r="B1131" i="1"/>
  <c r="C1131" i="1"/>
  <c r="B1132" i="1"/>
  <c r="C1132" i="1"/>
  <c r="B1133" i="1"/>
  <c r="C1133" i="1"/>
  <c r="B1134" i="1"/>
  <c r="C1134" i="1"/>
  <c r="B1135" i="1"/>
  <c r="C1135" i="1"/>
  <c r="B1136" i="1"/>
  <c r="C1136" i="1"/>
  <c r="B1137" i="1"/>
  <c r="C1137" i="1"/>
  <c r="B1138" i="1"/>
  <c r="C1138" i="1"/>
  <c r="B1139" i="1"/>
  <c r="C1139" i="1"/>
  <c r="B1140" i="1"/>
  <c r="C1140" i="1"/>
  <c r="B1141" i="1"/>
  <c r="C1141" i="1"/>
  <c r="B1142" i="1"/>
  <c r="C1142" i="1"/>
  <c r="B1143" i="1"/>
  <c r="C1143" i="1"/>
  <c r="B1144" i="1"/>
  <c r="C1144" i="1"/>
  <c r="B1145" i="1"/>
  <c r="C1145" i="1"/>
  <c r="B1146" i="1"/>
  <c r="C1146" i="1"/>
  <c r="B1147" i="1"/>
  <c r="C1147" i="1"/>
  <c r="B1148" i="1"/>
  <c r="C1148" i="1"/>
  <c r="B1149" i="1"/>
  <c r="C1149" i="1"/>
  <c r="B1150" i="1"/>
  <c r="C1150" i="1"/>
  <c r="B1151" i="1"/>
  <c r="C1151" i="1"/>
  <c r="B1152" i="1"/>
  <c r="C1152" i="1"/>
  <c r="B1153" i="1"/>
  <c r="C1153" i="1"/>
  <c r="B1154" i="1"/>
  <c r="C1154" i="1"/>
  <c r="B1155" i="1"/>
  <c r="C1155" i="1"/>
  <c r="B1156" i="1"/>
  <c r="C1156" i="1"/>
  <c r="B1157" i="1"/>
  <c r="C1157" i="1"/>
  <c r="B1158" i="1"/>
  <c r="C1158" i="1"/>
  <c r="B1159" i="1"/>
  <c r="C1159" i="1"/>
  <c r="B1160" i="1"/>
  <c r="C1160" i="1"/>
  <c r="B1161" i="1"/>
  <c r="C1161" i="1"/>
  <c r="B1162" i="1"/>
  <c r="C1162" i="1"/>
  <c r="B1163" i="1"/>
  <c r="C1163" i="1"/>
  <c r="B1164" i="1"/>
  <c r="C1164" i="1"/>
  <c r="B1165" i="1"/>
  <c r="C1165" i="1"/>
  <c r="B1166" i="1"/>
  <c r="C1166" i="1"/>
  <c r="B1167" i="1"/>
  <c r="C1167" i="1"/>
  <c r="B1168" i="1"/>
  <c r="C1168" i="1"/>
  <c r="B1169" i="1"/>
  <c r="C1169" i="1"/>
  <c r="B1170" i="1"/>
  <c r="C1170" i="1"/>
  <c r="B1171" i="1"/>
  <c r="C1171" i="1"/>
  <c r="B1172" i="1"/>
  <c r="C1172" i="1"/>
  <c r="B1173" i="1"/>
  <c r="C1173" i="1"/>
  <c r="B1174" i="1"/>
  <c r="C1174" i="1"/>
  <c r="B1175" i="1"/>
  <c r="C1175" i="1"/>
  <c r="B1176" i="1"/>
  <c r="C1176" i="1"/>
  <c r="B1177" i="1"/>
  <c r="C1177" i="1"/>
  <c r="B1178" i="1"/>
  <c r="C1178" i="1"/>
  <c r="B1179" i="1"/>
  <c r="C1179" i="1"/>
  <c r="B1180" i="1"/>
  <c r="C1180" i="1"/>
  <c r="B1181" i="1"/>
  <c r="C1181" i="1"/>
  <c r="B1182" i="1"/>
  <c r="C1182" i="1"/>
  <c r="B1183" i="1"/>
  <c r="C1183" i="1"/>
  <c r="B1184" i="1"/>
  <c r="C1184" i="1"/>
  <c r="B1185" i="1"/>
  <c r="C1185" i="1"/>
  <c r="B1186" i="1"/>
  <c r="C1186" i="1"/>
  <c r="B1187" i="1"/>
  <c r="C1187" i="1"/>
  <c r="B1188" i="1"/>
  <c r="C1188" i="1"/>
  <c r="B1189" i="1"/>
  <c r="C1189" i="1"/>
  <c r="B1190" i="1"/>
  <c r="C1190" i="1"/>
  <c r="B1191" i="1"/>
  <c r="C1191" i="1"/>
  <c r="B1192" i="1"/>
  <c r="C1192" i="1"/>
  <c r="B1193" i="1"/>
  <c r="C1193" i="1"/>
  <c r="B1194" i="1"/>
  <c r="C1194" i="1"/>
  <c r="B1195" i="1"/>
  <c r="C1195" i="1"/>
  <c r="B1196" i="1"/>
  <c r="C1196" i="1"/>
  <c r="B1197" i="1"/>
  <c r="C1197" i="1"/>
  <c r="B1198" i="1"/>
  <c r="C1198" i="1"/>
  <c r="B1199" i="1"/>
  <c r="C1199" i="1"/>
  <c r="B1200" i="1"/>
  <c r="C1200" i="1"/>
  <c r="B1201" i="1"/>
  <c r="C1201" i="1"/>
  <c r="B1202" i="1"/>
  <c r="C1202" i="1"/>
  <c r="B1203" i="1"/>
  <c r="C1203" i="1"/>
  <c r="B1204" i="1"/>
  <c r="C1204" i="1"/>
  <c r="B1205" i="1"/>
  <c r="C1205" i="1"/>
  <c r="B1206" i="1"/>
  <c r="C1206" i="1"/>
  <c r="B1207" i="1"/>
  <c r="C1207" i="1"/>
  <c r="B1208" i="1"/>
  <c r="C1208" i="1"/>
  <c r="B1209" i="1"/>
  <c r="C1209" i="1"/>
  <c r="B1210" i="1"/>
  <c r="C1210" i="1"/>
  <c r="B1211" i="1"/>
  <c r="C1211" i="1"/>
  <c r="B1212" i="1"/>
  <c r="C1212" i="1"/>
  <c r="B1213" i="1"/>
  <c r="C1213" i="1"/>
  <c r="B1214" i="1"/>
  <c r="C1214" i="1"/>
  <c r="B1215" i="1"/>
  <c r="C1215" i="1"/>
  <c r="B1216" i="1"/>
  <c r="C1216" i="1"/>
  <c r="B1217" i="1"/>
  <c r="C1217" i="1"/>
  <c r="B1218" i="1"/>
  <c r="C1218" i="1"/>
  <c r="B1219" i="1"/>
  <c r="C1219" i="1"/>
  <c r="B1220" i="1"/>
  <c r="C1220" i="1"/>
  <c r="B1221" i="1"/>
  <c r="C1221" i="1"/>
  <c r="B1222" i="1"/>
  <c r="C1222" i="1"/>
  <c r="B1223" i="1"/>
  <c r="C1223" i="1"/>
  <c r="B1224" i="1"/>
  <c r="C1224" i="1"/>
  <c r="B1225" i="1"/>
  <c r="C1225" i="1"/>
  <c r="B1226" i="1"/>
  <c r="C1226" i="1"/>
  <c r="B1227" i="1"/>
  <c r="C1227" i="1"/>
  <c r="B1228" i="1"/>
  <c r="C1228" i="1"/>
  <c r="B1229" i="1"/>
  <c r="C1229" i="1"/>
  <c r="B1230" i="1"/>
  <c r="C1230" i="1"/>
  <c r="B1231" i="1"/>
  <c r="C1231" i="1"/>
  <c r="B1232" i="1"/>
  <c r="C1232" i="1"/>
  <c r="B1233" i="1"/>
  <c r="C1233" i="1"/>
  <c r="B1234" i="1"/>
  <c r="C1234" i="1"/>
  <c r="B1235" i="1"/>
  <c r="C1235" i="1"/>
  <c r="B1236" i="1"/>
  <c r="C1236" i="1"/>
  <c r="B1237" i="1"/>
  <c r="C1237" i="1"/>
  <c r="B1238" i="1"/>
  <c r="C1238" i="1"/>
  <c r="B1239" i="1"/>
  <c r="C1239" i="1"/>
  <c r="B1240" i="1"/>
  <c r="C1240" i="1"/>
  <c r="B1241" i="1"/>
  <c r="C1241" i="1"/>
  <c r="B1242" i="1"/>
  <c r="C1242" i="1"/>
  <c r="B1243" i="1"/>
  <c r="C1243" i="1"/>
  <c r="B1244" i="1"/>
  <c r="C1244" i="1"/>
  <c r="B1245" i="1"/>
  <c r="C1245" i="1"/>
  <c r="B1246" i="1"/>
  <c r="C1246" i="1"/>
  <c r="B1247" i="1"/>
  <c r="C1247" i="1"/>
  <c r="B1248" i="1"/>
  <c r="C1248" i="1"/>
  <c r="B1249" i="1"/>
  <c r="C1249" i="1"/>
  <c r="B1250" i="1"/>
  <c r="C1250" i="1"/>
  <c r="B1251" i="1"/>
  <c r="C1251" i="1"/>
  <c r="B1252" i="1"/>
  <c r="C1252" i="1"/>
  <c r="B1253" i="1"/>
  <c r="C1253" i="1"/>
  <c r="B1254" i="1"/>
  <c r="C1254" i="1"/>
  <c r="B1255" i="1"/>
  <c r="C1255" i="1"/>
  <c r="B1256" i="1"/>
  <c r="C1256" i="1"/>
  <c r="B1257" i="1"/>
  <c r="C1257" i="1"/>
  <c r="B1258" i="1"/>
  <c r="C1258" i="1"/>
  <c r="B1259" i="1"/>
  <c r="C1259" i="1"/>
  <c r="B1260" i="1"/>
  <c r="C1260" i="1"/>
  <c r="B1261" i="1"/>
  <c r="C1261" i="1"/>
  <c r="B1262" i="1"/>
  <c r="C1262" i="1"/>
  <c r="B1263" i="1"/>
  <c r="C1263" i="1"/>
  <c r="B1264" i="1"/>
  <c r="C1264" i="1"/>
  <c r="B1265" i="1"/>
  <c r="C1265" i="1"/>
  <c r="B1266" i="1"/>
  <c r="C1266" i="1"/>
  <c r="B1267" i="1"/>
  <c r="C1267" i="1"/>
  <c r="B1268" i="1"/>
  <c r="C1268" i="1"/>
  <c r="B1269" i="1"/>
  <c r="C1269" i="1"/>
  <c r="B1270" i="1"/>
  <c r="C1270" i="1"/>
  <c r="B1271" i="1"/>
  <c r="C1271" i="1"/>
  <c r="B1272" i="1"/>
  <c r="C1272" i="1"/>
  <c r="B1273" i="1"/>
  <c r="C1273" i="1"/>
  <c r="B1274" i="1"/>
  <c r="C1274" i="1"/>
  <c r="B1275" i="1"/>
  <c r="C1275" i="1"/>
  <c r="B1276" i="1"/>
  <c r="C1276" i="1"/>
  <c r="B1277" i="1"/>
  <c r="C1277" i="1"/>
  <c r="B1278" i="1"/>
  <c r="C1278" i="1"/>
  <c r="B1279" i="1"/>
  <c r="C1279" i="1"/>
  <c r="B1280" i="1"/>
  <c r="C1280" i="1"/>
  <c r="B1281" i="1"/>
  <c r="C1281" i="1"/>
  <c r="B1282" i="1"/>
  <c r="C1282" i="1"/>
  <c r="B1283" i="1"/>
  <c r="C1283" i="1"/>
  <c r="B1284" i="1"/>
  <c r="C1284" i="1"/>
  <c r="B1285" i="1"/>
  <c r="C1285" i="1"/>
  <c r="B1286" i="1"/>
  <c r="C1286" i="1"/>
  <c r="B1287" i="1"/>
  <c r="C1287" i="1"/>
  <c r="B1288" i="1"/>
  <c r="C1288" i="1"/>
  <c r="B1289" i="1"/>
  <c r="C1289" i="1"/>
  <c r="B1290" i="1"/>
  <c r="C1290" i="1"/>
  <c r="B1291" i="1"/>
  <c r="C1291" i="1"/>
  <c r="B1292" i="1"/>
  <c r="C1292" i="1"/>
  <c r="B1293" i="1"/>
  <c r="C1293" i="1"/>
  <c r="B1294" i="1"/>
  <c r="C1294" i="1"/>
  <c r="B1295" i="1"/>
  <c r="C1295" i="1"/>
  <c r="B1296" i="1"/>
  <c r="C1296" i="1"/>
  <c r="B1297" i="1"/>
  <c r="C1297" i="1"/>
  <c r="B1298" i="1"/>
  <c r="C1298" i="1"/>
  <c r="B1299" i="1"/>
  <c r="C1299" i="1"/>
  <c r="B1300" i="1"/>
  <c r="C1300" i="1"/>
  <c r="B1301" i="1"/>
  <c r="C1301" i="1"/>
  <c r="B1302" i="1"/>
  <c r="C1302" i="1"/>
  <c r="B1303" i="1"/>
  <c r="C1303" i="1"/>
  <c r="B1304" i="1"/>
  <c r="C1304" i="1"/>
  <c r="B1305" i="1"/>
  <c r="C1305" i="1"/>
  <c r="B1306" i="1"/>
  <c r="C1306" i="1"/>
  <c r="B1307" i="1"/>
  <c r="C1307" i="1"/>
  <c r="B1308" i="1"/>
  <c r="C1308" i="1"/>
  <c r="B1309" i="1"/>
  <c r="C1309" i="1"/>
  <c r="B1310" i="1"/>
  <c r="C1310" i="1"/>
  <c r="B1311" i="1"/>
  <c r="C1311" i="1"/>
  <c r="B1312" i="1"/>
  <c r="C1312" i="1"/>
  <c r="B1313" i="1"/>
  <c r="C1313" i="1"/>
  <c r="B1314" i="1"/>
  <c r="C1314" i="1"/>
  <c r="B1315" i="1"/>
  <c r="C1315" i="1"/>
  <c r="B1316" i="1"/>
  <c r="C1316" i="1"/>
  <c r="B1317" i="1"/>
  <c r="C1317" i="1"/>
  <c r="B1318" i="1"/>
  <c r="C1318" i="1"/>
  <c r="B1319" i="1"/>
  <c r="C1319" i="1"/>
  <c r="B1320" i="1"/>
  <c r="C1320" i="1"/>
  <c r="B1321" i="1"/>
  <c r="C1321" i="1"/>
  <c r="B1322" i="1"/>
  <c r="C1322" i="1"/>
  <c r="B1323" i="1"/>
  <c r="C1323" i="1"/>
  <c r="B1324" i="1"/>
  <c r="C1324" i="1"/>
  <c r="B1325" i="1"/>
  <c r="C1325" i="1"/>
  <c r="B1326" i="1"/>
  <c r="C1326" i="1"/>
  <c r="B1327" i="1"/>
  <c r="C1327" i="1"/>
  <c r="B1328" i="1"/>
  <c r="C1328" i="1"/>
  <c r="B1329" i="1"/>
  <c r="C1329" i="1"/>
  <c r="B1330" i="1"/>
  <c r="C1330" i="1"/>
  <c r="B1331" i="1"/>
  <c r="C1331" i="1"/>
  <c r="B1332" i="1"/>
  <c r="C1332" i="1"/>
  <c r="B1333" i="1"/>
  <c r="C1333" i="1"/>
  <c r="B1334" i="1"/>
  <c r="C1334" i="1"/>
  <c r="B1335" i="1"/>
  <c r="C1335" i="1"/>
  <c r="B1336" i="1"/>
  <c r="C1336" i="1"/>
  <c r="B1337" i="1"/>
  <c r="C1337" i="1"/>
  <c r="B1338" i="1"/>
  <c r="C1338" i="1"/>
  <c r="B1339" i="1"/>
  <c r="C1339" i="1"/>
  <c r="B1340" i="1"/>
  <c r="C1340" i="1"/>
  <c r="B1341" i="1"/>
  <c r="C1341" i="1"/>
  <c r="B1342" i="1"/>
  <c r="C1342" i="1"/>
  <c r="B1343" i="1"/>
  <c r="C1343" i="1"/>
  <c r="B1344" i="1"/>
  <c r="C1344" i="1"/>
  <c r="B1345" i="1"/>
  <c r="C1345" i="1"/>
  <c r="B1346" i="1"/>
  <c r="C1346" i="1"/>
  <c r="B1347" i="1"/>
  <c r="C1347" i="1"/>
  <c r="B1348" i="1"/>
  <c r="C1348" i="1"/>
  <c r="B1349" i="1"/>
  <c r="C1349" i="1"/>
  <c r="B1350" i="1"/>
  <c r="C1350" i="1"/>
  <c r="B1351" i="1"/>
  <c r="C1351" i="1"/>
  <c r="B1352" i="1"/>
  <c r="C1352" i="1"/>
  <c r="B1353" i="1"/>
  <c r="C1353" i="1"/>
  <c r="B1354" i="1"/>
  <c r="C1354" i="1"/>
  <c r="B1355" i="1"/>
  <c r="C1355" i="1"/>
  <c r="B1356" i="1"/>
  <c r="C1356" i="1"/>
  <c r="B1357" i="1"/>
  <c r="C1357" i="1"/>
  <c r="B1358" i="1"/>
  <c r="C1358" i="1"/>
  <c r="B1359" i="1"/>
  <c r="C1359" i="1"/>
  <c r="B1360" i="1"/>
  <c r="C1360" i="1"/>
  <c r="B1361" i="1"/>
  <c r="C1361" i="1"/>
  <c r="B1362" i="1"/>
  <c r="C1362" i="1"/>
  <c r="B1363" i="1"/>
  <c r="C1363" i="1"/>
  <c r="B1364" i="1"/>
  <c r="C1364" i="1"/>
  <c r="B1365" i="1"/>
  <c r="C1365" i="1"/>
  <c r="B1366" i="1"/>
  <c r="C1366" i="1"/>
  <c r="B1367" i="1"/>
  <c r="C1367" i="1"/>
  <c r="B1368" i="1"/>
  <c r="C1368" i="1"/>
  <c r="B1369" i="1"/>
  <c r="C1369" i="1"/>
  <c r="B1370" i="1"/>
  <c r="C1370" i="1"/>
  <c r="B1371" i="1"/>
  <c r="C1371" i="1"/>
  <c r="B1372" i="1"/>
  <c r="C1372" i="1"/>
  <c r="B1373" i="1"/>
  <c r="C1373" i="1"/>
  <c r="B1374" i="1"/>
  <c r="C1374" i="1"/>
  <c r="B1375" i="1"/>
  <c r="C1375" i="1"/>
  <c r="B1376" i="1"/>
  <c r="C1376" i="1"/>
  <c r="B1377" i="1"/>
  <c r="C1377" i="1"/>
  <c r="B1378" i="1"/>
  <c r="C1378" i="1"/>
  <c r="B1379" i="1"/>
  <c r="C1379" i="1"/>
  <c r="B1380" i="1"/>
  <c r="C1380" i="1"/>
  <c r="B1381" i="1"/>
  <c r="C1381" i="1"/>
  <c r="B1382" i="1"/>
  <c r="C1382" i="1"/>
  <c r="B1383" i="1"/>
  <c r="C1383" i="1"/>
  <c r="B1384" i="1"/>
  <c r="C1384" i="1"/>
  <c r="B1385" i="1"/>
  <c r="C1385" i="1"/>
  <c r="B1386" i="1"/>
  <c r="C1386" i="1"/>
  <c r="B1387" i="1"/>
  <c r="C1387" i="1"/>
  <c r="B1388" i="1"/>
  <c r="C1388" i="1"/>
  <c r="B1389" i="1"/>
  <c r="C1389" i="1"/>
  <c r="B1390" i="1"/>
  <c r="C1390" i="1"/>
  <c r="B1391" i="1"/>
  <c r="C1391" i="1"/>
  <c r="B1392" i="1"/>
  <c r="C1392" i="1"/>
  <c r="B1393" i="1"/>
  <c r="C1393" i="1"/>
  <c r="B1394" i="1"/>
  <c r="C1394" i="1"/>
  <c r="B1395" i="1"/>
  <c r="C1395" i="1"/>
  <c r="B1396" i="1"/>
  <c r="C1396" i="1"/>
  <c r="B1397" i="1"/>
  <c r="C1397" i="1"/>
  <c r="B1398" i="1"/>
  <c r="C1398" i="1"/>
  <c r="B1399" i="1"/>
  <c r="C1399" i="1"/>
  <c r="B1400" i="1"/>
  <c r="C1400" i="1"/>
  <c r="B1401" i="1"/>
  <c r="C1401" i="1"/>
  <c r="B1402" i="1"/>
  <c r="C1402" i="1"/>
  <c r="B1403" i="1"/>
  <c r="C1403" i="1"/>
  <c r="B1404" i="1"/>
  <c r="C1404" i="1"/>
  <c r="B1405" i="1"/>
  <c r="C1405" i="1"/>
  <c r="B1406" i="1"/>
  <c r="C1406" i="1"/>
  <c r="B1407" i="1"/>
  <c r="C1407" i="1"/>
  <c r="B1408" i="1"/>
  <c r="C1408" i="1"/>
  <c r="B1409" i="1"/>
  <c r="C1409" i="1"/>
  <c r="B1410" i="1"/>
  <c r="C1410" i="1"/>
  <c r="B1411" i="1"/>
  <c r="C1411" i="1"/>
  <c r="B1412" i="1"/>
  <c r="C1412" i="1"/>
  <c r="B1413" i="1"/>
  <c r="C1413" i="1"/>
  <c r="B1414" i="1"/>
  <c r="C1414" i="1"/>
  <c r="B1415" i="1"/>
  <c r="C1415" i="1"/>
  <c r="B1416" i="1"/>
  <c r="C1416" i="1"/>
  <c r="B1417" i="1"/>
  <c r="C1417" i="1"/>
  <c r="B1418" i="1"/>
  <c r="C1418" i="1"/>
  <c r="B1419" i="1"/>
  <c r="C1419" i="1"/>
  <c r="B1420" i="1"/>
  <c r="C1420" i="1"/>
  <c r="B1421" i="1"/>
  <c r="C1421" i="1"/>
  <c r="B1422" i="1"/>
  <c r="C1422" i="1"/>
  <c r="B1423" i="1"/>
  <c r="C1423" i="1"/>
  <c r="B1424" i="1"/>
  <c r="C1424" i="1"/>
  <c r="B1425" i="1"/>
  <c r="C1425" i="1"/>
  <c r="B1426" i="1"/>
  <c r="C1426" i="1"/>
  <c r="B1427" i="1"/>
  <c r="C1427" i="1"/>
  <c r="B1428" i="1"/>
  <c r="C1428" i="1"/>
  <c r="B1429" i="1"/>
  <c r="C1429" i="1"/>
  <c r="B1430" i="1"/>
  <c r="C1430" i="1"/>
  <c r="B1431" i="1"/>
  <c r="C1431" i="1"/>
  <c r="B1432" i="1"/>
  <c r="C1432" i="1"/>
  <c r="B1433" i="1"/>
  <c r="C1433" i="1"/>
  <c r="B1434" i="1"/>
  <c r="C1434" i="1"/>
  <c r="B1435" i="1"/>
  <c r="C1435" i="1"/>
  <c r="B1436" i="1"/>
  <c r="C1436" i="1"/>
  <c r="B1437" i="1"/>
  <c r="C1437" i="1"/>
  <c r="B1438" i="1"/>
  <c r="C1438" i="1"/>
  <c r="B1439" i="1"/>
  <c r="C1439" i="1"/>
  <c r="B1440" i="1"/>
  <c r="C1440" i="1"/>
  <c r="B1441" i="1"/>
  <c r="C1441" i="1"/>
  <c r="B1442" i="1"/>
  <c r="C1442" i="1"/>
  <c r="B1443" i="1"/>
  <c r="C1443" i="1"/>
  <c r="B1444" i="1"/>
  <c r="C1444" i="1"/>
  <c r="B1445" i="1"/>
  <c r="C1445" i="1"/>
  <c r="B1446" i="1"/>
  <c r="C1446" i="1"/>
  <c r="B1447" i="1"/>
  <c r="C1447" i="1"/>
  <c r="B1448" i="1"/>
  <c r="C1448" i="1"/>
  <c r="B1449" i="1"/>
  <c r="C1449" i="1"/>
  <c r="B1450" i="1"/>
  <c r="C1450" i="1"/>
  <c r="B1451" i="1"/>
  <c r="C1451" i="1"/>
  <c r="B1452" i="1"/>
  <c r="C1452" i="1"/>
  <c r="B1453" i="1"/>
  <c r="C1453" i="1"/>
  <c r="B1454" i="1"/>
  <c r="C1454" i="1"/>
  <c r="B1455" i="1"/>
  <c r="C1455" i="1"/>
  <c r="B1456" i="1"/>
  <c r="C1456" i="1"/>
  <c r="B1457" i="1"/>
  <c r="C1457" i="1"/>
  <c r="B1458" i="1"/>
  <c r="C1458" i="1"/>
  <c r="B1459" i="1"/>
  <c r="C1459" i="1"/>
  <c r="B1460" i="1"/>
  <c r="C1460" i="1"/>
  <c r="B1461" i="1"/>
  <c r="C1461" i="1"/>
  <c r="B1462" i="1"/>
  <c r="C1462" i="1"/>
  <c r="B1463" i="1"/>
  <c r="C1463" i="1"/>
  <c r="B1464" i="1"/>
  <c r="C1464" i="1"/>
  <c r="B1465" i="1"/>
  <c r="C1465" i="1"/>
  <c r="B1466" i="1"/>
  <c r="C1466" i="1"/>
  <c r="B1467" i="1"/>
  <c r="C1467" i="1"/>
  <c r="B1468" i="1"/>
  <c r="C1468" i="1"/>
  <c r="B1469" i="1"/>
  <c r="C1469" i="1"/>
  <c r="B1470" i="1"/>
  <c r="C1470" i="1"/>
  <c r="B1471" i="1"/>
  <c r="C1471" i="1"/>
  <c r="B1472" i="1"/>
  <c r="C1472" i="1"/>
  <c r="B1473" i="1"/>
  <c r="C1473" i="1"/>
  <c r="B1474" i="1"/>
  <c r="C1474" i="1"/>
  <c r="B1475" i="1"/>
  <c r="C1475" i="1"/>
  <c r="B1476" i="1"/>
  <c r="C1476" i="1"/>
  <c r="B1477" i="1"/>
  <c r="C1477" i="1"/>
  <c r="B1478" i="1"/>
  <c r="C1478" i="1"/>
  <c r="B1479" i="1"/>
  <c r="C1479" i="1"/>
  <c r="B1480" i="1"/>
  <c r="C1480" i="1"/>
  <c r="B1481" i="1"/>
  <c r="C1481" i="1"/>
  <c r="B1482" i="1"/>
  <c r="C1482" i="1"/>
  <c r="B1483" i="1"/>
  <c r="C1483" i="1"/>
  <c r="B1484" i="1"/>
  <c r="C1484" i="1"/>
  <c r="B1485" i="1"/>
  <c r="C1485" i="1"/>
  <c r="B1486" i="1"/>
  <c r="C1486" i="1"/>
  <c r="B1487" i="1"/>
  <c r="C1487" i="1"/>
  <c r="B1488" i="1"/>
  <c r="C1488" i="1"/>
  <c r="B1489" i="1"/>
  <c r="C1489" i="1"/>
  <c r="B1490" i="1"/>
  <c r="C1490" i="1"/>
  <c r="B1491" i="1"/>
  <c r="C1491" i="1"/>
  <c r="B1492" i="1"/>
  <c r="C1492" i="1"/>
  <c r="B1493" i="1"/>
  <c r="C1493" i="1"/>
  <c r="B1494" i="1"/>
  <c r="C1494" i="1"/>
  <c r="B1495" i="1"/>
  <c r="C1495" i="1"/>
  <c r="B1496" i="1"/>
  <c r="C1496" i="1"/>
  <c r="B1497" i="1"/>
  <c r="C1497" i="1"/>
  <c r="B1498" i="1"/>
  <c r="C1498" i="1"/>
  <c r="B1500" i="1"/>
  <c r="C1500" i="1"/>
  <c r="B1501" i="1"/>
  <c r="C1501" i="1"/>
  <c r="B1502" i="1"/>
  <c r="C1502" i="1"/>
  <c r="B1503" i="1"/>
  <c r="C1503" i="1"/>
  <c r="B1504" i="1"/>
  <c r="C1504" i="1"/>
  <c r="C1505" i="1"/>
  <c r="B1506" i="1"/>
  <c r="C1506" i="1"/>
  <c r="B1507" i="1"/>
  <c r="C1507" i="1"/>
  <c r="B1508" i="1"/>
  <c r="C1508" i="1"/>
  <c r="B1509" i="1"/>
  <c r="C1509" i="1"/>
  <c r="B1510" i="1"/>
  <c r="C1510" i="1"/>
  <c r="B1511" i="1"/>
  <c r="C1511" i="1"/>
  <c r="B1512" i="1"/>
  <c r="C1512" i="1"/>
  <c r="B1513" i="1"/>
  <c r="C1513" i="1"/>
  <c r="B1514" i="1"/>
  <c r="C1514" i="1"/>
  <c r="B1515" i="1"/>
  <c r="C1515" i="1"/>
  <c r="B1516" i="1"/>
  <c r="C1516" i="1"/>
  <c r="I8" i="14" l="1"/>
  <c r="I9" i="14"/>
  <c r="I10" i="14"/>
  <c r="I11" i="14"/>
  <c r="I12" i="14"/>
  <c r="I13" i="14"/>
  <c r="I14" i="14"/>
  <c r="I15" i="14"/>
  <c r="I16" i="14"/>
  <c r="I17" i="14"/>
  <c r="I18"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7" i="14"/>
  <c r="L4" i="14" l="1"/>
  <c r="AK229" i="10"/>
  <c r="AL229" i="10" s="1"/>
  <c r="AK230" i="10"/>
  <c r="AL230" i="10" s="1"/>
  <c r="AK231" i="10"/>
  <c r="AL231" i="10" s="1"/>
  <c r="AK232" i="10"/>
  <c r="AL232" i="10" s="1"/>
  <c r="AK228" i="10"/>
  <c r="AL228" i="10" s="1"/>
  <c r="AK226" i="10" l="1"/>
  <c r="AL226" i="10" s="1"/>
  <c r="AK227" i="10"/>
  <c r="AL227" i="10" s="1"/>
  <c r="AK225" i="10" l="1"/>
  <c r="AL225" i="10" s="1"/>
  <c r="AK224" i="10"/>
  <c r="AL224" i="10" s="1"/>
  <c r="AK223" i="10" l="1"/>
  <c r="AL223" i="10" s="1"/>
  <c r="AK211" i="10" l="1"/>
  <c r="AL211" i="10" s="1"/>
  <c r="AK212" i="10"/>
  <c r="AL212" i="10" s="1"/>
  <c r="AK213" i="10"/>
  <c r="AL213" i="10" s="1"/>
  <c r="AK214" i="10"/>
  <c r="AL214" i="10" s="1"/>
  <c r="AK215" i="10"/>
  <c r="AL215" i="10" s="1"/>
  <c r="AK216" i="10"/>
  <c r="AL216" i="10" s="1"/>
  <c r="AK217" i="10"/>
  <c r="AL217" i="10" s="1"/>
  <c r="AK218" i="10"/>
  <c r="AL218" i="10" s="1"/>
  <c r="AK219" i="10"/>
  <c r="AL219" i="10" s="1"/>
  <c r="AK220" i="10"/>
  <c r="AL220" i="10" s="1"/>
  <c r="AK221" i="10"/>
  <c r="AL221" i="10" s="1"/>
  <c r="AK222" i="10"/>
  <c r="AL222" i="10" s="1"/>
  <c r="AK3" i="10" l="1"/>
  <c r="AK4" i="10"/>
  <c r="AK6" i="10"/>
  <c r="AK8" i="10"/>
  <c r="AK9" i="10"/>
  <c r="AK10" i="10"/>
  <c r="AK14" i="10"/>
  <c r="AK15" i="10"/>
  <c r="AK17" i="10"/>
  <c r="AK18" i="10"/>
  <c r="AK19" i="10"/>
  <c r="AK20" i="10"/>
  <c r="AK22" i="10"/>
  <c r="AK23" i="10"/>
  <c r="AK24" i="10"/>
  <c r="AK26" i="10"/>
  <c r="AK29" i="10"/>
  <c r="AK32" i="10"/>
  <c r="AK34" i="10"/>
  <c r="AK7" i="10"/>
  <c r="AK35" i="10"/>
  <c r="AK36" i="10"/>
  <c r="AK37" i="10"/>
  <c r="AK38" i="10"/>
  <c r="AK39" i="10"/>
  <c r="AK40" i="10"/>
  <c r="AK41" i="10"/>
  <c r="AK42" i="10"/>
  <c r="AK43" i="10"/>
  <c r="AK44" i="10"/>
  <c r="AK45" i="10"/>
  <c r="AK46" i="10"/>
  <c r="AK47" i="10"/>
  <c r="AL47" i="10" s="1"/>
  <c r="AK48" i="10"/>
  <c r="AK49" i="10"/>
  <c r="AK52" i="10"/>
  <c r="AK53" i="10"/>
  <c r="AK50" i="10"/>
  <c r="AK54" i="10"/>
  <c r="AK56" i="10"/>
  <c r="AK59" i="10"/>
  <c r="AK57" i="10"/>
  <c r="AK60" i="10"/>
  <c r="AK27" i="10"/>
  <c r="AK30" i="10"/>
  <c r="AK62" i="10"/>
  <c r="AK63" i="10"/>
  <c r="AK64" i="10"/>
  <c r="AK65" i="10"/>
  <c r="AK66" i="10"/>
  <c r="AK69" i="10"/>
  <c r="AK71" i="10"/>
  <c r="AK72" i="10"/>
  <c r="AK73" i="10"/>
  <c r="AK74" i="10"/>
  <c r="AK67" i="10"/>
  <c r="AK76" i="10"/>
  <c r="AK77" i="10"/>
  <c r="AK78" i="10"/>
  <c r="AK79" i="10"/>
  <c r="AK80" i="10"/>
  <c r="AL80" i="10" s="1"/>
  <c r="AK81" i="10"/>
  <c r="AL81" i="10" s="1"/>
  <c r="AK83" i="10"/>
  <c r="AL83" i="10" s="1"/>
  <c r="AK82" i="10"/>
  <c r="AL82" i="10" s="1"/>
  <c r="AK84" i="10"/>
  <c r="AL84" i="10" s="1"/>
  <c r="AK86" i="10"/>
  <c r="AL86" i="10" s="1"/>
  <c r="AK87" i="10"/>
  <c r="AL87" i="10" s="1"/>
  <c r="AK88" i="10"/>
  <c r="AL88" i="10" s="1"/>
  <c r="AK89" i="10"/>
  <c r="AK91" i="10"/>
  <c r="AK93" i="10"/>
  <c r="AK94" i="10"/>
  <c r="AK95" i="10"/>
  <c r="AK96" i="10"/>
  <c r="AK97" i="10"/>
  <c r="AK98" i="10"/>
  <c r="AK100" i="10"/>
  <c r="AK101" i="10"/>
  <c r="AK103" i="10"/>
  <c r="AK104" i="10"/>
  <c r="AK105" i="10"/>
  <c r="AK106" i="10"/>
  <c r="AK107" i="10"/>
  <c r="AK70" i="10"/>
  <c r="AK108" i="10"/>
  <c r="AK109" i="10"/>
  <c r="AK11" i="10"/>
  <c r="AK110" i="10"/>
  <c r="AK111" i="10"/>
  <c r="AK112" i="10"/>
  <c r="AK113" i="10"/>
  <c r="AK114" i="10"/>
  <c r="AK116" i="10"/>
  <c r="AL116" i="10" s="1"/>
  <c r="AK117" i="10"/>
  <c r="AL117" i="10" s="1"/>
  <c r="AK118" i="10"/>
  <c r="AL118" i="10" s="1"/>
  <c r="AK119" i="10"/>
  <c r="AL119" i="10" s="1"/>
  <c r="AK121" i="10"/>
  <c r="AL121" i="10" s="1"/>
  <c r="AK122" i="10"/>
  <c r="AL122" i="10" s="1"/>
  <c r="AK123" i="10"/>
  <c r="AL123" i="10" s="1"/>
  <c r="AK124" i="10"/>
  <c r="AL124" i="10" s="1"/>
  <c r="AK125" i="10"/>
  <c r="AL125" i="10" s="1"/>
  <c r="AK127" i="10"/>
  <c r="AL127" i="10" s="1"/>
  <c r="AK126" i="10"/>
  <c r="AL126" i="10" s="1"/>
  <c r="AK85" i="10"/>
  <c r="AL85" i="10" s="1"/>
  <c r="AK128" i="10"/>
  <c r="AL128" i="10" s="1"/>
  <c r="AK129" i="10"/>
  <c r="AL129" i="10" s="1"/>
  <c r="AK130" i="10"/>
  <c r="AL130" i="10" s="1"/>
  <c r="AK131" i="10"/>
  <c r="AL131" i="10" s="1"/>
  <c r="AK132" i="10"/>
  <c r="AL132" i="10" s="1"/>
  <c r="AK133" i="10"/>
  <c r="AL133" i="10" s="1"/>
  <c r="AK134" i="10"/>
  <c r="AL134" i="10" s="1"/>
  <c r="AK135" i="10"/>
  <c r="AL135" i="10" s="1"/>
  <c r="AK136" i="10"/>
  <c r="AL136" i="10" s="1"/>
  <c r="AK138" i="10"/>
  <c r="AL138" i="10" s="1"/>
  <c r="AK139" i="10"/>
  <c r="AL139" i="10" s="1"/>
  <c r="AK140" i="10"/>
  <c r="AL140" i="10" s="1"/>
  <c r="AK141" i="10"/>
  <c r="AL141" i="10" s="1"/>
  <c r="AK142" i="10"/>
  <c r="AL142" i="10" s="1"/>
  <c r="AK146" i="10"/>
  <c r="AL146" i="10" s="1"/>
  <c r="AK147" i="10"/>
  <c r="AL147" i="10" s="1"/>
  <c r="AK143" i="10"/>
  <c r="AL143" i="10" s="1"/>
  <c r="AK144" i="10"/>
  <c r="AL144" i="10" s="1"/>
  <c r="AK137" i="10"/>
  <c r="AL137" i="10" s="1"/>
  <c r="AK148" i="10"/>
  <c r="AL148" i="10" s="1"/>
  <c r="AK149" i="10"/>
  <c r="AL149" i="10" s="1"/>
  <c r="AK150" i="10"/>
  <c r="AL150" i="10" s="1"/>
  <c r="AK151" i="10"/>
  <c r="AL151" i="10" s="1"/>
  <c r="AK152" i="10"/>
  <c r="AL152" i="10" s="1"/>
  <c r="AK153" i="10"/>
  <c r="AL153" i="10" s="1"/>
  <c r="AK145" i="10"/>
  <c r="AL145" i="10" s="1"/>
  <c r="AK154" i="10"/>
  <c r="AK155" i="10"/>
  <c r="AK156" i="10"/>
  <c r="AK157" i="10"/>
  <c r="AK158" i="10"/>
  <c r="AK159" i="10"/>
  <c r="AK160" i="10"/>
  <c r="AK161" i="10"/>
  <c r="AK162" i="10"/>
  <c r="AK12" i="10"/>
  <c r="AK163" i="10"/>
  <c r="AK164" i="10"/>
  <c r="AK165" i="10"/>
  <c r="AK166" i="10"/>
  <c r="AK168" i="10"/>
  <c r="AK170" i="10"/>
  <c r="AK171" i="10"/>
  <c r="AK172" i="10"/>
  <c r="AK173" i="10"/>
  <c r="AK174" i="10"/>
  <c r="AK5" i="10"/>
  <c r="AK175" i="10"/>
  <c r="AK176" i="10"/>
  <c r="AK177" i="10"/>
  <c r="AK178" i="10"/>
  <c r="AK115" i="10"/>
  <c r="AK179" i="10"/>
  <c r="AK180" i="10"/>
  <c r="AK181" i="10"/>
  <c r="AK182" i="10"/>
  <c r="AK183" i="10"/>
  <c r="AK184" i="10"/>
  <c r="AK185" i="10"/>
  <c r="AK68" i="10"/>
  <c r="AK186" i="10"/>
  <c r="AK99" i="10"/>
  <c r="AK102" i="10"/>
  <c r="AK187" i="10"/>
  <c r="AK188" i="10"/>
  <c r="AK189" i="10"/>
  <c r="AK13" i="10"/>
  <c r="AK16" i="10"/>
  <c r="AK190" i="10"/>
  <c r="AK120" i="10"/>
  <c r="AK167" i="10"/>
  <c r="AK191" i="10"/>
  <c r="AK169" i="10"/>
  <c r="AK192" i="10"/>
  <c r="AK193" i="10"/>
  <c r="AK194" i="10"/>
  <c r="AK195" i="10"/>
  <c r="AK196" i="10"/>
  <c r="AK197" i="10"/>
  <c r="AK198" i="10"/>
  <c r="AK199" i="10"/>
  <c r="AK200" i="10"/>
  <c r="AK51" i="10"/>
  <c r="AK201" i="10"/>
  <c r="AK75" i="10"/>
  <c r="AK202" i="10"/>
  <c r="AK21" i="10"/>
  <c r="AK25" i="10"/>
  <c r="AK203" i="10"/>
  <c r="AK204" i="10"/>
  <c r="AK31" i="10"/>
  <c r="AK205" i="10"/>
  <c r="AK206" i="10"/>
  <c r="AK55" i="10"/>
  <c r="AK33" i="10"/>
  <c r="AK58" i="10"/>
  <c r="AK28" i="10"/>
  <c r="AK61" i="10"/>
  <c r="AK207" i="10"/>
  <c r="AK208" i="10"/>
  <c r="AK92" i="10"/>
  <c r="AL92" i="10" s="1"/>
  <c r="AK90" i="10"/>
  <c r="AL90" i="10" s="1"/>
  <c r="AK2" i="10"/>
  <c r="G210" i="10"/>
  <c r="AK210" i="10" s="1"/>
  <c r="G209" i="10"/>
  <c r="AK209" i="10" s="1"/>
  <c r="AL209" i="10" l="1"/>
  <c r="AL210" i="10"/>
  <c r="AL198" i="10" l="1"/>
  <c r="AL199" i="10"/>
  <c r="AL200" i="10"/>
  <c r="AL51" i="10"/>
  <c r="AL201" i="10"/>
  <c r="AL75" i="10"/>
  <c r="AL202" i="10"/>
  <c r="AL21" i="10"/>
  <c r="AL25" i="10"/>
  <c r="AL203" i="10"/>
  <c r="AL204" i="10"/>
  <c r="AL31" i="10"/>
  <c r="AL205" i="10"/>
  <c r="AL206" i="10"/>
  <c r="AL55" i="10"/>
  <c r="AL33" i="10"/>
  <c r="AL58" i="10"/>
  <c r="AL28" i="10"/>
  <c r="AL61" i="10"/>
  <c r="AL207" i="10"/>
  <c r="AL208" i="10"/>
  <c r="AL197" i="10"/>
  <c r="AL114" i="10" l="1"/>
  <c r="AL3" i="10" l="1"/>
  <c r="AL4" i="10"/>
  <c r="AL6" i="10"/>
  <c r="AL8" i="10"/>
  <c r="AL9" i="10"/>
  <c r="AL10" i="10"/>
  <c r="AL14" i="10"/>
  <c r="AL15" i="10"/>
  <c r="AL17" i="10"/>
  <c r="AL18" i="10"/>
  <c r="AL19" i="10"/>
  <c r="AL20" i="10"/>
  <c r="AL22" i="10"/>
  <c r="AL23" i="10"/>
  <c r="AL24" i="10"/>
  <c r="AL26" i="10"/>
  <c r="AL29" i="10"/>
  <c r="AL32" i="10"/>
  <c r="AL34" i="10"/>
  <c r="AL7" i="10"/>
  <c r="AL35" i="10"/>
  <c r="AL36" i="10"/>
  <c r="AL37" i="10"/>
  <c r="AL38" i="10"/>
  <c r="AL39" i="10"/>
  <c r="AL40" i="10"/>
  <c r="AL41" i="10"/>
  <c r="AL42" i="10"/>
  <c r="AL43" i="10"/>
  <c r="AL44" i="10"/>
  <c r="AL45" i="10"/>
  <c r="AL46" i="10"/>
  <c r="AL2" i="10"/>
  <c r="AL196" i="10"/>
  <c r="AL195" i="10"/>
  <c r="AL194" i="10"/>
  <c r="AL193" i="10"/>
  <c r="AL192" i="10"/>
  <c r="AL169" i="10"/>
  <c r="AL191" i="10"/>
  <c r="AL167" i="10"/>
  <c r="AL120" i="10"/>
  <c r="AL190" i="10"/>
  <c r="AL16" i="10"/>
  <c r="AL13" i="10"/>
  <c r="AL189" i="10"/>
  <c r="AL188" i="10"/>
  <c r="AL187" i="10"/>
  <c r="AL102" i="10"/>
  <c r="AL99" i="10"/>
  <c r="AL186" i="10"/>
  <c r="AL68" i="10"/>
  <c r="AL185" i="10"/>
  <c r="AL184" i="10"/>
  <c r="AL183" i="10"/>
  <c r="AL182" i="10"/>
  <c r="AL181" i="10"/>
  <c r="AL180" i="10"/>
  <c r="AL179" i="10"/>
  <c r="AL115" i="10"/>
  <c r="AL178" i="10"/>
  <c r="AL177" i="10"/>
  <c r="AL176" i="10"/>
  <c r="AL175" i="10"/>
  <c r="AL5" i="10"/>
  <c r="AL174" i="10"/>
  <c r="AL173" i="10"/>
  <c r="AL172" i="10"/>
  <c r="AL171" i="10"/>
  <c r="AL170" i="10"/>
  <c r="AL168" i="10"/>
  <c r="AL166" i="10"/>
  <c r="AL165" i="10"/>
  <c r="AL164" i="10"/>
  <c r="AL163" i="10"/>
  <c r="AL12" i="10"/>
  <c r="AL162" i="10"/>
  <c r="AL161" i="10"/>
  <c r="AL160" i="10"/>
  <c r="AL159" i="10"/>
  <c r="AL158" i="10"/>
  <c r="AL157" i="10"/>
  <c r="AL156" i="10"/>
  <c r="AL155" i="10"/>
  <c r="AL154" i="10"/>
  <c r="AL113" i="10"/>
  <c r="AL112" i="10"/>
  <c r="AL111" i="10"/>
  <c r="AL110" i="10"/>
  <c r="AL11" i="10"/>
  <c r="AL109" i="10"/>
  <c r="AL108" i="10"/>
  <c r="AL70" i="10"/>
  <c r="AL107" i="10"/>
  <c r="AL106" i="10"/>
  <c r="AL105" i="10"/>
  <c r="AL104" i="10"/>
  <c r="AL103" i="10"/>
  <c r="AL101" i="10"/>
  <c r="AL100" i="10"/>
  <c r="AL98" i="10"/>
  <c r="AL97" i="10"/>
  <c r="AL96" i="10"/>
  <c r="AL95" i="10"/>
  <c r="AL94" i="10"/>
  <c r="AL93" i="10"/>
  <c r="AL91" i="10"/>
  <c r="AL89" i="10"/>
  <c r="AL79" i="10"/>
  <c r="AL78" i="10"/>
  <c r="AL77" i="10"/>
  <c r="AL76" i="10"/>
  <c r="AL67" i="10"/>
  <c r="AL74" i="10"/>
  <c r="AL73" i="10"/>
  <c r="AL72" i="10"/>
  <c r="AL71" i="10"/>
  <c r="AL69" i="10"/>
  <c r="AL66" i="10"/>
  <c r="AL65" i="10"/>
  <c r="AL64" i="10"/>
  <c r="AL63" i="10"/>
  <c r="AL62" i="10"/>
  <c r="AL30" i="10"/>
  <c r="AL27" i="10"/>
  <c r="AL60" i="10"/>
  <c r="AL57" i="10"/>
  <c r="AL59" i="10"/>
  <c r="AL56" i="10"/>
  <c r="AL54" i="10"/>
  <c r="AL50" i="10"/>
  <c r="AL53" i="10"/>
  <c r="AL52" i="10"/>
  <c r="AL49" i="10"/>
  <c r="AL48" i="10"/>
  <c r="R32" i="8" l="1"/>
  <c r="R9" i="8" l="1"/>
  <c r="R7" i="8"/>
  <c r="R6" i="8"/>
  <c r="R5" i="8"/>
  <c r="R4" i="8"/>
  <c r="R3" i="8"/>
  <c r="R2" i="8"/>
  <c r="R8" i="8" l="1"/>
  <c r="R10" i="8"/>
  <c r="R11" i="8"/>
  <c r="R12" i="8"/>
  <c r="R13" i="8"/>
  <c r="R14" i="8"/>
  <c r="R15" i="8"/>
  <c r="R16" i="8"/>
  <c r="R17" i="8"/>
  <c r="R18" i="8"/>
  <c r="R19" i="8"/>
  <c r="R20" i="8"/>
  <c r="R21" i="8"/>
  <c r="R22" i="8"/>
  <c r="R23" i="8"/>
  <c r="R24" i="8"/>
  <c r="R25" i="8"/>
  <c r="R26" i="8"/>
  <c r="R27" i="8"/>
  <c r="R28" i="8"/>
  <c r="R29" i="8"/>
  <c r="R30" i="8"/>
  <c r="R31" i="8"/>
  <c r="R33" i="8"/>
  <c r="R34" i="8"/>
  <c r="R35" i="8"/>
  <c r="R36" i="8"/>
  <c r="R37" i="8"/>
  <c r="R38" i="8"/>
  <c r="R39" i="8"/>
  <c r="R40" i="8"/>
  <c r="B2" i="1" l="1"/>
  <c r="C2" i="1"/>
  <c r="AQ4" i="6" l="1"/>
  <c r="H7" i="6"/>
  <c r="AQ8" i="6"/>
  <c r="C16" i="6"/>
  <c r="H3" i="6"/>
  <c r="AY12" i="6"/>
  <c r="G4" i="6"/>
  <c r="I3" i="6"/>
  <c r="AE11" i="6"/>
  <c r="H11" i="6"/>
  <c r="D8" i="6"/>
  <c r="L4" i="6"/>
  <c r="F12" i="6"/>
  <c r="C3" i="6"/>
  <c r="W3" i="6"/>
  <c r="C7" i="6"/>
  <c r="O7" i="6"/>
  <c r="K8" i="6"/>
  <c r="AM11" i="6"/>
  <c r="AQ12" i="6"/>
  <c r="AA12" i="6"/>
  <c r="K12" i="6"/>
  <c r="BB3" i="6"/>
  <c r="AT3" i="6"/>
  <c r="AL3" i="6"/>
  <c r="AD3" i="6"/>
  <c r="V3" i="6"/>
  <c r="N3" i="6"/>
  <c r="F3" i="6"/>
  <c r="E4" i="6"/>
  <c r="AU4" i="6"/>
  <c r="AM4" i="6"/>
  <c r="AE4" i="6"/>
  <c r="W4" i="6"/>
  <c r="O4" i="6"/>
  <c r="BB7" i="6"/>
  <c r="AT7" i="6"/>
  <c r="AL7" i="6"/>
  <c r="AD7" i="6"/>
  <c r="V7" i="6"/>
  <c r="N7" i="6"/>
  <c r="F7" i="6"/>
  <c r="AX8" i="6"/>
  <c r="AP8" i="6"/>
  <c r="AH8" i="6"/>
  <c r="Z8" i="6"/>
  <c r="R8" i="6"/>
  <c r="J8" i="6"/>
  <c r="BB11" i="6"/>
  <c r="AT11" i="6"/>
  <c r="AL11" i="6"/>
  <c r="AD11" i="6"/>
  <c r="V11" i="6"/>
  <c r="N11" i="6"/>
  <c r="F11" i="6"/>
  <c r="AX12" i="6"/>
  <c r="AP12" i="6"/>
  <c r="AH12" i="6"/>
  <c r="Z12" i="6"/>
  <c r="R12" i="6"/>
  <c r="J12" i="6"/>
  <c r="AE3" i="6"/>
  <c r="AN4" i="6"/>
  <c r="AE7" i="6"/>
  <c r="AY8" i="6"/>
  <c r="C11" i="6"/>
  <c r="G11" i="6"/>
  <c r="AI12" i="6"/>
  <c r="S12" i="6"/>
  <c r="BA3" i="6"/>
  <c r="AS3" i="6"/>
  <c r="AK3" i="6"/>
  <c r="AC3" i="6"/>
  <c r="U3" i="6"/>
  <c r="M3" i="6"/>
  <c r="E3" i="6"/>
  <c r="BB4" i="6"/>
  <c r="AT4" i="6"/>
  <c r="AL4" i="6"/>
  <c r="AD4" i="6"/>
  <c r="V4" i="6"/>
  <c r="N4" i="6"/>
  <c r="BA7" i="6"/>
  <c r="AS7" i="6"/>
  <c r="AK7" i="6"/>
  <c r="AC7" i="6"/>
  <c r="U7" i="6"/>
  <c r="M7" i="6"/>
  <c r="E7" i="6"/>
  <c r="AW8" i="6"/>
  <c r="AO8" i="6"/>
  <c r="AG8" i="6"/>
  <c r="Y8" i="6"/>
  <c r="Q8" i="6"/>
  <c r="I8" i="6"/>
  <c r="BA11" i="6"/>
  <c r="AS11" i="6"/>
  <c r="AK11" i="6"/>
  <c r="AC11" i="6"/>
  <c r="U11" i="6"/>
  <c r="M11" i="6"/>
  <c r="E11" i="6"/>
  <c r="AW12" i="6"/>
  <c r="AO12" i="6"/>
  <c r="AG12" i="6"/>
  <c r="Y12" i="6"/>
  <c r="Q12" i="6"/>
  <c r="I12" i="6"/>
  <c r="AN16" i="6"/>
  <c r="F4" i="6"/>
  <c r="X4" i="6"/>
  <c r="G7" i="6"/>
  <c r="S8" i="6"/>
  <c r="O11" i="6"/>
  <c r="H16" i="6"/>
  <c r="AZ3" i="6"/>
  <c r="AR3" i="6"/>
  <c r="AJ3" i="6"/>
  <c r="AB3" i="6"/>
  <c r="T3" i="6"/>
  <c r="L3" i="6"/>
  <c r="D3" i="6"/>
  <c r="BA4" i="6"/>
  <c r="AS4" i="6"/>
  <c r="AK4" i="6"/>
  <c r="AC4" i="6"/>
  <c r="U4" i="6"/>
  <c r="M4" i="6"/>
  <c r="AZ7" i="6"/>
  <c r="AR7" i="6"/>
  <c r="AJ7" i="6"/>
  <c r="AB7" i="6"/>
  <c r="T7" i="6"/>
  <c r="L7" i="6"/>
  <c r="D7" i="6"/>
  <c r="AV8" i="6"/>
  <c r="AN8" i="6"/>
  <c r="AF8" i="6"/>
  <c r="X8" i="6"/>
  <c r="P8" i="6"/>
  <c r="H8" i="6"/>
  <c r="AZ11" i="6"/>
  <c r="AR11" i="6"/>
  <c r="AJ11" i="6"/>
  <c r="AB11" i="6"/>
  <c r="T11" i="6"/>
  <c r="L11" i="6"/>
  <c r="D11" i="6"/>
  <c r="AV12" i="6"/>
  <c r="AN12" i="6"/>
  <c r="AF12" i="6"/>
  <c r="X12" i="6"/>
  <c r="P12" i="6"/>
  <c r="H12" i="6"/>
  <c r="AU3" i="6"/>
  <c r="O3" i="6"/>
  <c r="P4" i="6"/>
  <c r="W7" i="6"/>
  <c r="AA8" i="6"/>
  <c r="AU11" i="6"/>
  <c r="AJ16" i="6"/>
  <c r="AY3" i="6"/>
  <c r="AQ3" i="6"/>
  <c r="AI3" i="6"/>
  <c r="AA3" i="6"/>
  <c r="S3" i="6"/>
  <c r="K3" i="6"/>
  <c r="C4" i="6"/>
  <c r="AZ4" i="6"/>
  <c r="AR4" i="6"/>
  <c r="AJ4" i="6"/>
  <c r="AB4" i="6"/>
  <c r="T4" i="6"/>
  <c r="AY7" i="6"/>
  <c r="AQ7" i="6"/>
  <c r="AI7" i="6"/>
  <c r="AA7" i="6"/>
  <c r="S7" i="6"/>
  <c r="K7" i="6"/>
  <c r="C8" i="6"/>
  <c r="AU8" i="6"/>
  <c r="AM8" i="6"/>
  <c r="AE8" i="6"/>
  <c r="W8" i="6"/>
  <c r="O8" i="6"/>
  <c r="G8" i="6"/>
  <c r="AY11" i="6"/>
  <c r="AQ11" i="6"/>
  <c r="AI11" i="6"/>
  <c r="AA11" i="6"/>
  <c r="S11" i="6"/>
  <c r="K11" i="6"/>
  <c r="C12" i="6"/>
  <c r="AU12" i="6"/>
  <c r="AM12" i="6"/>
  <c r="AE12" i="6"/>
  <c r="W12" i="6"/>
  <c r="O12" i="6"/>
  <c r="G12" i="6"/>
  <c r="AM3" i="6"/>
  <c r="AV4" i="6"/>
  <c r="AU7" i="6"/>
  <c r="AI8" i="6"/>
  <c r="W11" i="6"/>
  <c r="I16" i="6"/>
  <c r="AX3" i="6"/>
  <c r="AP3" i="6"/>
  <c r="AH3" i="6"/>
  <c r="Z3" i="6"/>
  <c r="R3" i="6"/>
  <c r="J3" i="6"/>
  <c r="D4" i="6"/>
  <c r="AY4" i="6"/>
  <c r="AI4" i="6"/>
  <c r="AA4" i="6"/>
  <c r="S4" i="6"/>
  <c r="K4" i="6"/>
  <c r="AX7" i="6"/>
  <c r="AP7" i="6"/>
  <c r="AH7" i="6"/>
  <c r="Z7" i="6"/>
  <c r="R7" i="6"/>
  <c r="J7" i="6"/>
  <c r="BB8" i="6"/>
  <c r="AT8" i="6"/>
  <c r="AL8" i="6"/>
  <c r="AD8" i="6"/>
  <c r="V8" i="6"/>
  <c r="N8" i="6"/>
  <c r="F8" i="6"/>
  <c r="AX11" i="6"/>
  <c r="AP11" i="6"/>
  <c r="AH11" i="6"/>
  <c r="Z11" i="6"/>
  <c r="R11" i="6"/>
  <c r="J11" i="6"/>
  <c r="BB12" i="6"/>
  <c r="AT12" i="6"/>
  <c r="AL12" i="6"/>
  <c r="AD12" i="6"/>
  <c r="V12" i="6"/>
  <c r="N12" i="6"/>
  <c r="G3" i="6"/>
  <c r="AF4" i="6"/>
  <c r="AM7" i="6"/>
  <c r="D17" i="6"/>
  <c r="AW3" i="6"/>
  <c r="AO3" i="6"/>
  <c r="AG3" i="6"/>
  <c r="Y3" i="6"/>
  <c r="Q3" i="6"/>
  <c r="H4" i="6"/>
  <c r="AX4" i="6"/>
  <c r="AP4" i="6"/>
  <c r="AH4" i="6"/>
  <c r="Z4" i="6"/>
  <c r="R4" i="6"/>
  <c r="J4" i="6"/>
  <c r="AW7" i="6"/>
  <c r="AO7" i="6"/>
  <c r="AG7" i="6"/>
  <c r="Y7" i="6"/>
  <c r="Q7" i="6"/>
  <c r="I7" i="6"/>
  <c r="BA8" i="6"/>
  <c r="AS8" i="6"/>
  <c r="AK8" i="6"/>
  <c r="AC8" i="6"/>
  <c r="U8" i="6"/>
  <c r="M8" i="6"/>
  <c r="E8" i="6"/>
  <c r="AW11" i="6"/>
  <c r="AO11" i="6"/>
  <c r="AG11" i="6"/>
  <c r="Y11" i="6"/>
  <c r="Q11" i="6"/>
  <c r="I11" i="6"/>
  <c r="BA12" i="6"/>
  <c r="AS12" i="6"/>
  <c r="AK12" i="6"/>
  <c r="AC12" i="6"/>
  <c r="U12" i="6"/>
  <c r="M12" i="6"/>
  <c r="E12" i="6"/>
  <c r="AV16" i="6"/>
  <c r="AV3" i="6"/>
  <c r="AN3" i="6"/>
  <c r="AF3" i="6"/>
  <c r="X3" i="6"/>
  <c r="P3" i="6"/>
  <c r="AW4" i="6"/>
  <c r="AO4" i="6"/>
  <c r="AG4" i="6"/>
  <c r="Y4" i="6"/>
  <c r="Q4" i="6"/>
  <c r="I4" i="6"/>
  <c r="AV7" i="6"/>
  <c r="AN7" i="6"/>
  <c r="AF7" i="6"/>
  <c r="X7" i="6"/>
  <c r="P7" i="6"/>
  <c r="AZ8" i="6"/>
  <c r="AR8" i="6"/>
  <c r="AJ8" i="6"/>
  <c r="AB8" i="6"/>
  <c r="T8" i="6"/>
  <c r="L8" i="6"/>
  <c r="AV11" i="6"/>
  <c r="AN11" i="6"/>
  <c r="AF11" i="6"/>
  <c r="X11" i="6"/>
  <c r="P11" i="6"/>
  <c r="AZ12" i="6"/>
  <c r="AR12" i="6"/>
  <c r="AJ12" i="6"/>
  <c r="AB12" i="6"/>
  <c r="T12" i="6"/>
  <c r="L12" i="6"/>
  <c r="D12" i="6"/>
  <c r="AU16" i="6"/>
  <c r="AM16" i="6"/>
  <c r="AE16" i="6"/>
  <c r="W16" i="6"/>
  <c r="O16" i="6"/>
  <c r="G16" i="6"/>
  <c r="AY17" i="6"/>
  <c r="AQ17" i="6"/>
  <c r="AI17" i="6"/>
  <c r="AA17" i="6"/>
  <c r="S17" i="6"/>
  <c r="K17" i="6"/>
  <c r="AT16" i="6"/>
  <c r="AD16" i="6"/>
  <c r="N16" i="6"/>
  <c r="F16" i="6"/>
  <c r="AX17" i="6"/>
  <c r="AP17" i="6"/>
  <c r="AH17" i="6"/>
  <c r="Z17" i="6"/>
  <c r="R17" i="6"/>
  <c r="J17" i="6"/>
  <c r="BB16" i="6"/>
  <c r="AL16" i="6"/>
  <c r="V16" i="6"/>
  <c r="BA16" i="6"/>
  <c r="AS16" i="6"/>
  <c r="AK16" i="6"/>
  <c r="AC16" i="6"/>
  <c r="U16" i="6"/>
  <c r="M16" i="6"/>
  <c r="E16" i="6"/>
  <c r="AW17" i="6"/>
  <c r="AO17" i="6"/>
  <c r="AG17" i="6"/>
  <c r="Y17" i="6"/>
  <c r="Q17" i="6"/>
  <c r="I17" i="6"/>
  <c r="AZ16" i="6"/>
  <c r="AR16" i="6"/>
  <c r="AB16" i="6"/>
  <c r="T16" i="6"/>
  <c r="L16" i="6"/>
  <c r="D16" i="6"/>
  <c r="AV17" i="6"/>
  <c r="AN17" i="6"/>
  <c r="AF17" i="6"/>
  <c r="X17" i="6"/>
  <c r="P17" i="6"/>
  <c r="H17" i="6"/>
  <c r="AQ16" i="6"/>
  <c r="S16" i="6"/>
  <c r="AU17" i="6"/>
  <c r="AM17" i="6"/>
  <c r="AE17" i="6"/>
  <c r="W17" i="6"/>
  <c r="O17" i="6"/>
  <c r="G17" i="6"/>
  <c r="AI16" i="6"/>
  <c r="K16" i="6"/>
  <c r="AX16" i="6"/>
  <c r="AP16" i="6"/>
  <c r="AH16" i="6"/>
  <c r="Z16" i="6"/>
  <c r="R16" i="6"/>
  <c r="J16" i="6"/>
  <c r="BB17" i="6"/>
  <c r="AT17" i="6"/>
  <c r="AL17" i="6"/>
  <c r="AD17" i="6"/>
  <c r="V17" i="6"/>
  <c r="N17" i="6"/>
  <c r="F17" i="6"/>
  <c r="AY16" i="6"/>
  <c r="AA16" i="6"/>
  <c r="C17" i="6"/>
  <c r="AW16" i="6"/>
  <c r="AO16" i="6"/>
  <c r="AG16" i="6"/>
  <c r="Y16" i="6"/>
  <c r="Q16" i="6"/>
  <c r="BA17" i="6"/>
  <c r="AS17" i="6"/>
  <c r="AK17" i="6"/>
  <c r="AC17" i="6"/>
  <c r="U17" i="6"/>
  <c r="M17" i="6"/>
  <c r="E17" i="6"/>
  <c r="AF16" i="6"/>
  <c r="X16" i="6"/>
  <c r="P16" i="6"/>
  <c r="AZ17" i="6"/>
  <c r="AR17" i="6"/>
  <c r="AJ17" i="6"/>
  <c r="AB17" i="6"/>
  <c r="T17" i="6"/>
  <c r="L17" i="6"/>
  <c r="AQ13" i="6" l="1"/>
  <c r="Z13" i="6"/>
  <c r="BF3" i="6"/>
  <c r="BF4" i="6"/>
  <c r="BF2" i="6"/>
  <c r="J13" i="6"/>
  <c r="BF5" i="6"/>
  <c r="BC16" i="6"/>
  <c r="AN13" i="6"/>
  <c r="AF13" i="6"/>
  <c r="R9" i="6"/>
  <c r="AV13" i="6"/>
  <c r="X13" i="6"/>
  <c r="AM9" i="6"/>
  <c r="AP9" i="6"/>
  <c r="AH13" i="6"/>
  <c r="AH9" i="6"/>
  <c r="AX13" i="6"/>
  <c r="AX9" i="6"/>
  <c r="Z9" i="6"/>
  <c r="AQ9" i="6"/>
  <c r="H9" i="6"/>
  <c r="AM5" i="6"/>
  <c r="G5" i="6"/>
  <c r="R13" i="6"/>
  <c r="P13" i="6"/>
  <c r="AP13" i="6"/>
  <c r="AY13" i="6"/>
  <c r="K13" i="6"/>
  <c r="J9" i="6"/>
  <c r="K9" i="6"/>
  <c r="U5" i="6"/>
  <c r="V5" i="6"/>
  <c r="Q9" i="6"/>
  <c r="S9" i="6"/>
  <c r="AN5" i="6"/>
  <c r="Y9" i="6"/>
  <c r="S13" i="6"/>
  <c r="D9" i="6"/>
  <c r="X9" i="6"/>
  <c r="Q13" i="6"/>
  <c r="AO9" i="6"/>
  <c r="O5" i="6"/>
  <c r="AO13" i="6"/>
  <c r="AU9" i="6"/>
  <c r="T13" i="6"/>
  <c r="AR9" i="6"/>
  <c r="O13" i="6"/>
  <c r="AK13" i="6"/>
  <c r="C13" i="6"/>
  <c r="AT13" i="6"/>
  <c r="F9" i="6"/>
  <c r="AV9" i="6"/>
  <c r="AW13" i="6"/>
  <c r="I9" i="6"/>
  <c r="AA9" i="6"/>
  <c r="AB13" i="6"/>
  <c r="AZ9" i="6"/>
  <c r="AS13" i="6"/>
  <c r="E9" i="6"/>
  <c r="BB13" i="6"/>
  <c r="N9" i="6"/>
  <c r="F13" i="6"/>
  <c r="AA13" i="6"/>
  <c r="W13" i="6"/>
  <c r="D13" i="6"/>
  <c r="U13" i="6"/>
  <c r="AS9" i="6"/>
  <c r="E5" i="6"/>
  <c r="H13" i="6"/>
  <c r="O9" i="6"/>
  <c r="AE13" i="6"/>
  <c r="AI9" i="6"/>
  <c r="AU13" i="6"/>
  <c r="AJ13" i="6"/>
  <c r="G9" i="6"/>
  <c r="BA13" i="6"/>
  <c r="M9" i="6"/>
  <c r="AE9" i="6"/>
  <c r="V9" i="6"/>
  <c r="C9" i="6"/>
  <c r="AV5" i="6"/>
  <c r="AR13" i="6"/>
  <c r="U9" i="6"/>
  <c r="AD9" i="6"/>
  <c r="P9" i="6"/>
  <c r="I13" i="6"/>
  <c r="AG9" i="6"/>
  <c r="AY9" i="6"/>
  <c r="W9" i="6"/>
  <c r="AZ13" i="6"/>
  <c r="L9" i="6"/>
  <c r="E13" i="6"/>
  <c r="AC9" i="6"/>
  <c r="N13" i="6"/>
  <c r="AL9" i="6"/>
  <c r="AI13" i="6"/>
  <c r="T9" i="6"/>
  <c r="M13" i="6"/>
  <c r="AK9" i="6"/>
  <c r="V13" i="6"/>
  <c r="AT9" i="6"/>
  <c r="AF9" i="6"/>
  <c r="AB9" i="6"/>
  <c r="AZ5" i="6"/>
  <c r="AD13" i="6"/>
  <c r="BB9" i="6"/>
  <c r="Y13" i="6"/>
  <c r="AW9" i="6"/>
  <c r="AN9" i="6"/>
  <c r="AG13" i="6"/>
  <c r="L13" i="6"/>
  <c r="AJ9" i="6"/>
  <c r="AC13" i="6"/>
  <c r="BA9" i="6"/>
  <c r="G13" i="6"/>
  <c r="AL13" i="6"/>
  <c r="AM13" i="6"/>
  <c r="AG5" i="6"/>
  <c r="L5" i="6"/>
  <c r="Q5" i="6"/>
  <c r="AI5" i="6"/>
  <c r="P5" i="6"/>
  <c r="Y5" i="6"/>
  <c r="AU5" i="6"/>
  <c r="M5" i="6"/>
  <c r="X5" i="6"/>
  <c r="AY5" i="6"/>
  <c r="AD5" i="6"/>
  <c r="AF5" i="6"/>
  <c r="S5" i="6"/>
  <c r="AE5" i="6"/>
  <c r="N5" i="6"/>
  <c r="J5" i="6"/>
  <c r="AQ5" i="6"/>
  <c r="D5" i="6"/>
  <c r="AO5" i="6"/>
  <c r="Z5" i="6"/>
  <c r="AC5" i="6"/>
  <c r="AL5" i="6"/>
  <c r="AW5" i="6"/>
  <c r="AH5" i="6"/>
  <c r="T5" i="6"/>
  <c r="AK5" i="6"/>
  <c r="AT5" i="6"/>
  <c r="I5" i="6"/>
  <c r="R5" i="6"/>
  <c r="AP5" i="6"/>
  <c r="K5" i="6"/>
  <c r="AB5" i="6"/>
  <c r="AS5" i="6"/>
  <c r="BB5" i="6"/>
  <c r="W5" i="6"/>
  <c r="AX5" i="6"/>
  <c r="AJ5" i="6"/>
  <c r="BA5" i="6"/>
  <c r="C5" i="6"/>
  <c r="AA5" i="6"/>
  <c r="AR5" i="6"/>
  <c r="F5" i="6"/>
  <c r="H5" i="6"/>
  <c r="BC11" i="6"/>
  <c r="BC12" i="6"/>
  <c r="BC4" i="6"/>
  <c r="BC7" i="6"/>
  <c r="BC3" i="6"/>
  <c r="BC17" i="6"/>
  <c r="BC8" i="6"/>
  <c r="BC13" i="6" l="1"/>
  <c r="BC9" i="6"/>
  <c r="BC5" i="6"/>
  <c r="F12" i="11" l="1"/>
  <c r="E12" i="11" l="1"/>
  <c r="H12" i="11" s="1"/>
</calcChain>
</file>

<file path=xl/sharedStrings.xml><?xml version="1.0" encoding="utf-8"?>
<sst xmlns="http://schemas.openxmlformats.org/spreadsheetml/2006/main" count="12855" uniqueCount="4852">
  <si>
    <t>CR</t>
  </si>
  <si>
    <t>ISS-026302</t>
  </si>
  <si>
    <t>CR-0109316-00</t>
  </si>
  <si>
    <t>Marcio Militani</t>
  </si>
  <si>
    <t>Gabriel conceição</t>
  </si>
  <si>
    <t>CR-0109284-00</t>
  </si>
  <si>
    <t>CR-0109320-00</t>
  </si>
  <si>
    <t>CR-0109534-00</t>
  </si>
  <si>
    <t>Projeto</t>
  </si>
  <si>
    <t>VS30</t>
  </si>
  <si>
    <t>GEM</t>
  </si>
  <si>
    <t>CR-0109404-00</t>
  </si>
  <si>
    <t>CR-0109163-00</t>
  </si>
  <si>
    <t>GEM MY 22 e 22/5</t>
  </si>
  <si>
    <t>CR-0108981-00</t>
  </si>
  <si>
    <t>CR-0109174-00</t>
  </si>
  <si>
    <t>Due to the transfer of machinery of GMI to Camanducaia, we do not have a machine to cut the E03239500 tube and it is necessary to replace it with the E21429600. Verificar esta CR com relação a esta troca de tubo</t>
  </si>
  <si>
    <t>GEM MY 22.5</t>
  </si>
  <si>
    <t>CR-0109003-00</t>
  </si>
  <si>
    <t>CR's PENDENTES</t>
  </si>
  <si>
    <t>Verificar com o Márcio sobre as CR'spendentes</t>
  </si>
  <si>
    <t>CR-0109151-00</t>
  </si>
  <si>
    <t>Due to the transfer of machinery of GMI to Camanducaia, we do not have a machine to cut the E03239500 tube and it is necessary to replace it with the E21429700.Verificar esta CR com relação a esta troca de tubo</t>
  </si>
  <si>
    <t>DCN-2021-0010462-VS30-4</t>
  </si>
  <si>
    <t>CR-0107176-01</t>
  </si>
  <si>
    <t>DCN</t>
  </si>
  <si>
    <t>Robson Avelino</t>
  </si>
  <si>
    <t>Sem Impacto</t>
  </si>
  <si>
    <t>CR-0107174-00</t>
  </si>
  <si>
    <t>DCN-2021-0010464-VS30-4</t>
  </si>
  <si>
    <t>DCN-2021-0010465-VS30-4</t>
  </si>
  <si>
    <t>CR-0107964-00</t>
  </si>
  <si>
    <t>DCN-2021-0010466-VS30-4</t>
  </si>
  <si>
    <t>CR-0107970-00/</t>
  </si>
  <si>
    <t>DCN-2021-0010467-VS30-4</t>
  </si>
  <si>
    <t>CR-0107590-00</t>
  </si>
  <si>
    <t>DCN-2021-0010126-GEM-4</t>
  </si>
  <si>
    <t>Rogerio Naus</t>
  </si>
  <si>
    <t>Alteração de termo retrátil de GPN-E15828200/GPN-E02090100 (27mm) para GPN-E30547700 (40mm) do terminal olhal X633G108_DIRTY_X1. Complementado a CR-0102835-00 é necessário adição de mastic de GPN-E24835800 no terminal olhal X633G108_DIRTY_X1. Utilizar 1g (grama) de mastic para cada aplicação do termo retrátil GPN-E30547700 + mastic GPN-E24835800</t>
  </si>
  <si>
    <t>Alteração de termo retrátil de GPN-E15828200/GPN-E02090100 (27mm) para GPN-E30547700 (40mm) do terminal olhal X633G108_DIRTY_X1. Complementado a CR-0102835-00 é necessário adição de mastic de GPN-E24835800 no terminal olhal X633G108_DIRTY_X1. Utilizar 1g (grama) de mastic para cada aplicação do termo retrátil GPN-E30547700 + mastic GPN-E24835800.</t>
  </si>
  <si>
    <t>DCN-2021-0010127-GEM-4</t>
  </si>
  <si>
    <t>DCN-2021-0010128-GEM-4</t>
  </si>
  <si>
    <t>DCN-2021-0010129-GEM-4</t>
  </si>
  <si>
    <t>CR-0102325-00</t>
  </si>
  <si>
    <t>DCN-2021-0010171-GEM-4</t>
  </si>
  <si>
    <t>CR-0102205-00 / CR-0102594-00</t>
  </si>
  <si>
    <t>DCN-2021-0010148-GEM-4</t>
  </si>
  <si>
    <t>CR-0102545-00,CR-0102565-00,CR-0102567-00,CR-0102603-00,CR-0102849-01 e CR-0102839-01</t>
  </si>
  <si>
    <t>Oficializando troca do terminal de E14568800 para E21821100 RN234.</t>
  </si>
  <si>
    <t>DCN-2021-0010150-GEM-4</t>
  </si>
  <si>
    <t>CR-0102546-00</t>
  </si>
  <si>
    <t>Oficializando troca do terminal de E14568800 para E21821100 RN243.</t>
  </si>
  <si>
    <t>OK</t>
  </si>
  <si>
    <t>Não tem matéria prima para efetuar o teste</t>
  </si>
  <si>
    <t>Sendo avaliado pelo Rogerio</t>
  </si>
  <si>
    <t>Já temos este terminal  validado</t>
  </si>
  <si>
    <t>IP</t>
  </si>
  <si>
    <t>Márcio Pericles Militani</t>
  </si>
  <si>
    <t>TW117_5  aumetando o comprimento de 720mm para 750 mm</t>
  </si>
  <si>
    <t>CR-0110178-00</t>
  </si>
  <si>
    <t>sem impacto</t>
  </si>
  <si>
    <t>CR-0110179-00</t>
  </si>
  <si>
    <t>WLL, STOCK IN USER</t>
  </si>
  <si>
    <t>CR-0110382-00.</t>
  </si>
  <si>
    <t>circuito 6651B-terminal de  E09199300 para E11424400 / circuito 6652B - 6653B-6654B- terminal de 3201511A1 para E11225200 /</t>
  </si>
  <si>
    <t>CR-0110673-00.</t>
  </si>
  <si>
    <t>WLL DE SPLICE, MULTICRIMP E CIRCUITOS COMUNS. Sem necessidade de investimento</t>
  </si>
  <si>
    <t>CR-0110672-00</t>
  </si>
  <si>
    <t>Alteração de WLL e TLL. SEM NECESSIDADE DE INVESTIMENTO</t>
  </si>
  <si>
    <t>CR-0115570-00</t>
  </si>
  <si>
    <t>Troca do termoencolhível de E02000700 (65mm/135°C) para E16718500 (50mm/125°C)</t>
  </si>
  <si>
    <t>Não achei na lista de terminal, favor avaliar</t>
  </si>
  <si>
    <t>Avaliado</t>
  </si>
  <si>
    <t>Paulo Lima</t>
  </si>
  <si>
    <t>Necessário validação de todas as splices para aprovação. Total de 60 splices para fazer aa validação. Custo de R$2678,1 para as amostras</t>
  </si>
  <si>
    <t>CR-0115703-00</t>
  </si>
  <si>
    <t>Marcelo</t>
  </si>
  <si>
    <t>Troca do terminal 3202532V5 para 3202650S8</t>
  </si>
  <si>
    <t>Necessário investimento de um miniapicador, validação e peças de reposição. Aplicador novo</t>
  </si>
  <si>
    <t>CR-0115655-00</t>
  </si>
  <si>
    <t>Troca de posicionamento da presilha</t>
  </si>
  <si>
    <t>CR-0115594-00</t>
  </si>
  <si>
    <t>Troca do tubo liso de E12128600 para E14165400</t>
  </si>
  <si>
    <t>Sem necessidade de investimento</t>
  </si>
  <si>
    <t>CR-0116167-00</t>
  </si>
  <si>
    <t>Necessidade de 02 miniaplicadores para o terminal 32025Y1G5 e 32025Y1G6</t>
  </si>
  <si>
    <t>Novo Chicote da bomba do limpador do parabrisa.</t>
  </si>
  <si>
    <t>CR-0115838-00</t>
  </si>
  <si>
    <t>Marcelo Santos</t>
  </si>
  <si>
    <t>Sem impacto par corte e Lead prep. analise feita base WLL , entrando 4 circuitos diretos novos.</t>
  </si>
  <si>
    <t>CR-0115976-00</t>
  </si>
  <si>
    <t>William Naves</t>
  </si>
  <si>
    <t>8horas de operacional
16 horas técnicas de engenharia 
10 validações conforme Norma GMW17136 ( Bubble Test )
R$2.932,80  scrap das amostras de validação</t>
  </si>
  <si>
    <t>Sem impacto para corte e Lead prep.Alteração do cabo 16AC12020 Para E25180500 no SAP para adequação da unidade de medida.</t>
  </si>
  <si>
    <t xml:space="preserve">CR-0115590-00 </t>
  </si>
  <si>
    <t xml:space="preserve"> CR-0115251-00</t>
  </si>
  <si>
    <t xml:space="preserve"> 15:49</t>
  </si>
  <si>
    <t>Esse já é  item implementado favor desconsiderar os investimentos.</t>
  </si>
  <si>
    <t>Sem investimento, Condicionado a aprovação dos investimentos reportados na CR-0115083-00, Troca do terminal 3202574I6 para  3202538H3,1 Validação de terminal conforme norma USCAR21
2 validações  Multicrimp conforme norma USCAR 38,2 validações conforme Norma GMW17136 ( Bubble Test )</t>
  </si>
  <si>
    <t>2 Aplicadores  modelo mecal MRSJ1 para o terminal 320257A99
1 Aplicadores  modelo mecal MRSJ1 para o terminal E04322000,2 Validações de terminal conforme norma USCAR21.</t>
  </si>
  <si>
    <t xml:space="preserve"> CR-0115440-00</t>
  </si>
  <si>
    <t>CR-0115702-00</t>
  </si>
  <si>
    <t>Condicionado a aprovação das validações solicitadas na CR-0110967-00</t>
  </si>
  <si>
    <t xml:space="preserve">CR-0115589-01 </t>
  </si>
  <si>
    <t>CR-0115274-00</t>
  </si>
  <si>
    <r>
      <t xml:space="preserve">                Sem impacto em Lead Prep! Implementação condicionada à aprovação da aplicação sob a norma </t>
    </r>
    <r>
      <rPr>
        <sz val="10"/>
        <color rgb="FF000000"/>
        <rFont val="Segoe UI"/>
        <family val="2"/>
      </rPr>
      <t xml:space="preserve">GMW </t>
    </r>
    <r>
      <rPr>
        <sz val="12"/>
        <color theme="1"/>
        <rFont val="Times New Roman"/>
        <family val="1"/>
      </rPr>
      <t>17136</t>
    </r>
    <r>
      <rPr>
        <sz val="10"/>
        <color rgb="FF000000"/>
        <rFont val="Segoe UI"/>
        <family val="2"/>
      </rPr>
      <t xml:space="preserve"> </t>
    </r>
  </si>
  <si>
    <t xml:space="preserve">!
                Sem impacto em Lead Prep! Implementação condicionada à aprovação da aplicação sob a norma GMW 17136 
</t>
  </si>
  <si>
    <t>CR-0115111-00</t>
  </si>
  <si>
    <t>Sem impacto para corte e lead prep. Alteração do clip E02498200 Para E07869100.</t>
  </si>
  <si>
    <t>CR-0115728-00</t>
  </si>
  <si>
    <t xml:space="preserve">1 hora operacional
3horas técnicas de engenharia 
2 validações conforme Norma GMW17136 ( Bubble Test ), condicionada a aprovação das validações comuns com essa CR, Solicitado na CR-0115688-00Scrap  R$ 475,00  de amostras de validação.
</t>
  </si>
  <si>
    <t>CR-0115699-00</t>
  </si>
  <si>
    <t>CR-0115700-00</t>
  </si>
  <si>
    <t>CR-0115706-00</t>
  </si>
  <si>
    <t xml:space="preserve">Sem impacto para corte e Lead prep. </t>
  </si>
  <si>
    <t>Sem impacto para corte e Lead Prep.</t>
  </si>
  <si>
    <t>ip</t>
  </si>
  <si>
    <t>CR-0115337-00</t>
  </si>
  <si>
    <t>BODY</t>
  </si>
  <si>
    <t>CR-0115566-00</t>
  </si>
  <si>
    <t xml:space="preserve">
01 - Aplicador modelo Mecal MRSJ1 para o terminal 320250AC7.
02 - Validações de terminal conforme norma USCAR21.
02 – Validações de Multicrimp conforme USCAR 38.</t>
  </si>
  <si>
    <t>CR reprovada até o momento. Cabo de 1,00 mm² é incompatível para a aplicação do terminal E15834400. Para o terminal 320257WX8 é necessário uma validação para avaliar as condições de crimpagem e de detecção para uma maior confiabilidade.</t>
  </si>
  <si>
    <t>CR-0115340-00</t>
  </si>
  <si>
    <t xml:space="preserve">Uma validação USCAR – 21 para o terminal 3202538H3.
Duas validações  Multicrimp conforme norma USCAR 38
um aplicador modelo mecal MRSJ1 para o terminal 3202538H3. </t>
  </si>
  <si>
    <t>CR-0115342-00</t>
  </si>
  <si>
    <t>Um Aplicador modelo mecal MRSJ1 para o terminal 3202537J9;
Uma validação de terminal conforme nora USCAR 21.</t>
  </si>
  <si>
    <t>CR-0115450-00</t>
  </si>
  <si>
    <t>Engine</t>
  </si>
  <si>
    <t xml:space="preserve">Sem impacto de investimento para a CR </t>
  </si>
  <si>
    <t>CR-0115834-00</t>
  </si>
  <si>
    <t xml:space="preserve"> CR-0116167-01</t>
  </si>
  <si>
    <t>CR-0116274-00</t>
  </si>
  <si>
    <t>Sem impacto para corte e Lead prep.</t>
  </si>
  <si>
    <t xml:space="preserve"> CR-0115344-00</t>
  </si>
  <si>
    <t xml:space="preserve">
1 Aplicador  modelo mecal MRSJ1 para o terminal 3202537M3
1 Validações de terminal conforme norma USCAR21.</t>
  </si>
  <si>
    <t>CR-0116544-00</t>
  </si>
  <si>
    <t>Body</t>
  </si>
  <si>
    <t>CR-0115662-02</t>
  </si>
  <si>
    <t>CR-0116994-00</t>
  </si>
  <si>
    <t>CR-0117003-00</t>
  </si>
  <si>
    <t>CR-0117008-00</t>
  </si>
  <si>
    <t>CR-0117005-00</t>
  </si>
  <si>
    <t>CR-0116995-00</t>
  </si>
  <si>
    <t>CR-0116996-00</t>
  </si>
  <si>
    <t>CR-0117009-00</t>
  </si>
  <si>
    <t>CR-0117006-00</t>
  </si>
  <si>
    <t>CR-0117011-00</t>
  </si>
  <si>
    <t>CR-0117012-00</t>
  </si>
  <si>
    <t>CR-0116997-00</t>
  </si>
  <si>
    <t>CR-0116999-00</t>
  </si>
  <si>
    <t>CR-0117013-00</t>
  </si>
  <si>
    <t>CR-0117000-00</t>
  </si>
  <si>
    <t>CR-0117001-00</t>
  </si>
  <si>
    <t>CR-0117007-00</t>
  </si>
  <si>
    <t>CR-0116544-01</t>
  </si>
  <si>
    <t>2 validações  Multicrimp conforme norma USCAR 38</t>
  </si>
  <si>
    <t>Sem impacto para corte e Lead Prep. condicionado á aprovação dos investimentos reportados na CR-0116994-00</t>
  </si>
  <si>
    <t>CR-0116842-00</t>
  </si>
  <si>
    <t>2 validações  Multicrimp conforme norma USCAR45</t>
  </si>
  <si>
    <t xml:space="preserve">Sem impacto para corte e Lead Prep. condicionado a aprovação dos investimentos solicitados na CR-0116994-00.
</t>
  </si>
  <si>
    <t>Sem impacto para corte e Lead Prep. condicionado a aprovação dos investimentos solicitados na CR-0116994-00.</t>
  </si>
  <si>
    <t>CR-0116845-00</t>
  </si>
  <si>
    <t>CR-0110114-00</t>
  </si>
  <si>
    <t>ISS-026053</t>
  </si>
  <si>
    <t>2 validações  Splice conforme norma USCAR45</t>
  </si>
  <si>
    <t>Nome 
Resp. CR</t>
  </si>
  <si>
    <t xml:space="preserve">Data </t>
  </si>
  <si>
    <t>Hora</t>
  </si>
  <si>
    <t>OBSERVAÇÃO</t>
  </si>
  <si>
    <t>OBSERVAÇÃO 02</t>
  </si>
  <si>
    <t>CR's com erros de informação, foi enviado um e-mail no dia 20/01/2022 para o Willian Naves relatando o problema quese encontrava nas CR's</t>
  </si>
  <si>
    <t>CR-0116847-00</t>
  </si>
  <si>
    <t xml:space="preserve">Naves, William da Silva </t>
  </si>
  <si>
    <t>CR-0116848-00</t>
  </si>
  <si>
    <t>CR-0116849-00</t>
  </si>
  <si>
    <t>CR-0116851-00</t>
  </si>
  <si>
    <t>CR-0116852-00</t>
  </si>
  <si>
    <t>CR-0116854-00</t>
  </si>
  <si>
    <t>CR-0116855-00</t>
  </si>
  <si>
    <t>CR-0115790-01</t>
  </si>
  <si>
    <t>CR-0117504-00</t>
  </si>
  <si>
    <t>Body 2021-02 / SORP</t>
  </si>
  <si>
    <t>Sem necessidade de investimento (Replace connector 3216738C2 with 32165K41K. Change does not affect CUT and Labor.)</t>
  </si>
  <si>
    <t>CR-0117505-00</t>
  </si>
  <si>
    <t>Sem necessidade de investimetno ( apenas substituição da capa do terminal)</t>
  </si>
  <si>
    <t>CR-0117530-00</t>
  </si>
  <si>
    <t>Sem necessidade de investimento( troca apenas alguns fios de módulo)</t>
  </si>
  <si>
    <t>CR-0117536-00</t>
  </si>
  <si>
    <t>CR-0117699-00</t>
  </si>
  <si>
    <t>CR-0115566-01</t>
  </si>
  <si>
    <t>FrontDoor</t>
  </si>
  <si>
    <t>FRONTBUMPER</t>
  </si>
  <si>
    <t>AUTARK</t>
  </si>
  <si>
    <t>Body2021-02/SORP</t>
  </si>
  <si>
    <t>Body–MY2023/MVBS</t>
  </si>
  <si>
    <t>Sem impacto para corte e Lead Prep.
Observação considerando utilização do circuito antigo como stock use.</t>
  </si>
  <si>
    <t>CR reprovada, delta Cutsheet não reflete alteração.
Está mudando Clip, porém na Cutsheet está mudando splice e multcrimp</t>
  </si>
  <si>
    <t xml:space="preserve"> CR-0116847-00</t>
  </si>
  <si>
    <t>CR reprovada, Delta-cutsheet não reflete alteração.
Está somente realocando Splice, porem no delta-cutsheet está marcado alteração na Multicrimp.</t>
  </si>
  <si>
    <t xml:space="preserve">Body </t>
  </si>
  <si>
    <t>CR reprovada, Delta-Cutsheet não reflete alteração.
Está somente realocando Splice, porem no delta-Cutsheet está marcado alteração na Multicrimp.</t>
  </si>
  <si>
    <t>CR-0117703-00</t>
  </si>
  <si>
    <t>Sem impacto, apenas a troca do relê from E07878800 to E07878300</t>
  </si>
  <si>
    <t>CR-0117790-00</t>
  </si>
  <si>
    <t>IP 2021-02 / SORP</t>
  </si>
  <si>
    <t>Sem impacto (Changes part of the module content from A9075400162 to A9075409269 and from A9075408788 to A9075409363)</t>
  </si>
  <si>
    <t>CR-0117814-00</t>
  </si>
  <si>
    <t>VS30 - WIRING HARNESS BODY</t>
  </si>
  <si>
    <t>Sem necessidade de investimento ( Remove module A9075402584 and add modules A9075402485 and A9075402583 from the structures)</t>
  </si>
  <si>
    <t>CR-0117729-00</t>
  </si>
  <si>
    <t>Engine – 2022.5 - MVBS</t>
  </si>
  <si>
    <t>GEM MY 22 e MY22.5</t>
  </si>
  <si>
    <t>CR-0117806-00</t>
  </si>
  <si>
    <t>Sem impacto para corte e Lead Prep. analise feita base WLL.</t>
  </si>
  <si>
    <t>CR-0117727-00</t>
  </si>
  <si>
    <t>Body – 2022.5</t>
  </si>
  <si>
    <t>Sem impacto para corte e Lead Prep.remoção Tyzal</t>
  </si>
  <si>
    <t>CR-0117730-00</t>
  </si>
  <si>
    <t>IP – 2022.5</t>
  </si>
  <si>
    <t>Sem impacto para corte e Lead  Prep. Stock use</t>
  </si>
  <si>
    <t>CR-0117813-00</t>
  </si>
  <si>
    <t xml:space="preserve">2021 - PSORP                                                                                         </t>
  </si>
  <si>
    <t>CR-0117941-00</t>
  </si>
  <si>
    <t>VS30-AS</t>
  </si>
  <si>
    <t xml:space="preserve">Sem impacto para corte e Lead  Prep. </t>
  </si>
  <si>
    <t xml:space="preserve"> CR-0113402-00</t>
  </si>
  <si>
    <t xml:space="preserve">2022.5 - MVBS                                                                                     </t>
  </si>
  <si>
    <t xml:space="preserve">CR-0117807-00 </t>
  </si>
  <si>
    <t>CR-0117808-00</t>
  </si>
  <si>
    <t>CR-0117815-00</t>
  </si>
  <si>
    <t xml:space="preserve">FRONT Bumper – 2021 </t>
  </si>
  <si>
    <t xml:space="preserve">FRONT Bumper – 2022 </t>
  </si>
  <si>
    <t xml:space="preserve">2022 - MVBS                                                                                     </t>
  </si>
  <si>
    <t>Sem  impacto para corte e Lead Prep. analise feita base TLL STOCK USE</t>
  </si>
  <si>
    <t xml:space="preserve">CR-0117967-00 </t>
  </si>
  <si>
    <t>CR-0117968-00</t>
  </si>
  <si>
    <t>Body e IP 2021-02 / SORP</t>
  </si>
  <si>
    <t xml:space="preserve">CR-0117969-00 </t>
  </si>
  <si>
    <t>Body  2021-02 / SORP</t>
  </si>
  <si>
    <t>Sem necessidade de investimento( Drawing corrections. Does not affect BOM, CUT or Labor)</t>
  </si>
  <si>
    <t xml:space="preserve">Sem impacto para corte e Lead Prep.  condicionado a aprovação e compra da calha de selo 320452667 reportado na CR-0116544-01, e Compra do aplicador par terminal E11424400 Paulo lima está comprando, Scrap R$ 2.414,30 </t>
  </si>
  <si>
    <t>Sem necessidade de investimento ( Adds guidance for S42*1-B, M5/1*1-B, and S42/2*1-B branchs. Does not affect BOM, CUT or Labor)</t>
  </si>
  <si>
    <t>CR-0118031-00</t>
  </si>
  <si>
    <t>RIGHT REAR DOOR  SORP</t>
  </si>
  <si>
    <t>Sem necessidade de investimento ( Correction of the location and plugdirection of Clip CL004_01682. Does not affect BOM, CUT or Labor)</t>
  </si>
  <si>
    <t>CR-0117140-01</t>
  </si>
  <si>
    <t xml:space="preserve"> Body</t>
  </si>
  <si>
    <t>Revisão da CR - 0117140-00. considerar : 14 Bigornas do condutor;14 bigornas do isolante;14 grampeadores do isolante;14 grampeadores do condutor;07 validações conforme norma USCAR 21.</t>
  </si>
  <si>
    <t>Necessidade de calores para dar baixa no scrap (Circuitos : R$ 8 527,00;Tubos      : R$ 752,95</t>
  </si>
  <si>
    <t>Sem necessidade de investimento, scrap gerado será igual CR -0117807-00</t>
  </si>
  <si>
    <t>CR-0118153-00</t>
  </si>
  <si>
    <t>Naves, William da Silva</t>
  </si>
  <si>
    <t xml:space="preserve">Sem impacto para corte e Lead Prep. </t>
  </si>
  <si>
    <t>CR-0118155-00</t>
  </si>
  <si>
    <t>CR-0116848-01</t>
  </si>
  <si>
    <t>CR-0116844-00</t>
  </si>
  <si>
    <t>Sem impacto para corte e Lead Prep. Calculado apenas scrap no valor de R$10648,00 para as 24 CR's.</t>
  </si>
  <si>
    <t>CR-0115381-01</t>
  </si>
  <si>
    <t>Front Bumper</t>
  </si>
  <si>
    <t>Considerado apenas scrap no valor de R$485,95</t>
  </si>
  <si>
    <t>CR-0118969-00</t>
  </si>
  <si>
    <t>Body 2021_01</t>
  </si>
  <si>
    <t xml:space="preserve">Sem  impacto para corte e Lead Prep. </t>
  </si>
  <si>
    <t>CR-0118970-00</t>
  </si>
  <si>
    <t>Body 2021_01 SORP</t>
  </si>
  <si>
    <t>CR-0118976-00</t>
  </si>
  <si>
    <t>CR-0118992-00</t>
  </si>
  <si>
    <t>CR-0119035-00</t>
  </si>
  <si>
    <t>CR-0119044-00</t>
  </si>
  <si>
    <t>CR-0119238-00</t>
  </si>
  <si>
    <t>CR-0119250-00</t>
  </si>
  <si>
    <t>GEM/2023 /MVBS</t>
  </si>
  <si>
    <t>CR-0119360-00</t>
  </si>
  <si>
    <t>MY 22.5</t>
  </si>
  <si>
    <t>TWO4308603</t>
  </si>
  <si>
    <t>Está sendo trocado o tubo de E12128500 para E15819800, porém, ambos os tubos não são fabricados mais aqui ana planta. Aguardando resposta, pois os tubos que estão sendo trocados não fabricam mais aqui na planta.</t>
  </si>
  <si>
    <t>CR-0119530-00</t>
  </si>
  <si>
    <t>GEM/2022.5 /MVBS</t>
  </si>
  <si>
    <t>2 validações de Splice conforme norma USCAR 45
2 validações conforme Norma GMW17136 ( Bubble Test )</t>
  </si>
  <si>
    <t>CR-0119468-00</t>
  </si>
  <si>
    <t>GEM/2024.5 - IVER</t>
  </si>
  <si>
    <t>Considerando que trata-se de fase IVER do MY24.5 em que as peças serão montadas e testadas em modo prototipal, onde a aplicação de terminais será feita com alicate de aplicação manual e selos serão inseridos  manualmente, não será necessário investimento para a CR acima citada.
Caso entre em produção, devemos considerar o investimento abaixo:
•	01 mini aplicador   para  o terminal 320261506
•	01 calha de selo 320454523
•	01 calha de selo 320455AKQ
•	01 validação conforme norma USCAR-21
•	01 validação conforme norma USCAR-45</t>
  </si>
  <si>
    <t>CR-0119665-00</t>
  </si>
  <si>
    <t>Change tape from E07930900 (Certoplast) to E04242800 (Taeyoung Chemical)</t>
  </si>
  <si>
    <t>CR-0119677-00</t>
  </si>
  <si>
    <t>Idea: Change tape from E07930900 (Certoplast) to E04242800 (Taeyoung Chemical)</t>
  </si>
  <si>
    <t>CR-0119681-00</t>
  </si>
  <si>
    <t>VS30-AS Body 2021_01 SORP</t>
  </si>
  <si>
    <t>CR-0115728-01</t>
  </si>
  <si>
    <t>GEM/2021 REAR BUMPER</t>
  </si>
  <si>
    <t>Necessidade de amostra para vaidação conforme norma GME15491</t>
  </si>
  <si>
    <t>CR-0115632-01</t>
  </si>
  <si>
    <t>Sem necessidade de investimento para a CR acima. Lembrando que o part number do tubo não corresponde ao part number produzido em nossa planta. De acordo com e-mail anexo estamos desconsiderando, pois se trata do mesmo assunto.</t>
  </si>
  <si>
    <t>CR-0115597-01</t>
  </si>
  <si>
    <t>CR-0093913-01</t>
  </si>
  <si>
    <t>troca de conector, sem necessidade de investimento</t>
  </si>
  <si>
    <t>Previsto entrar em abril /2022, foi enviado um e-mail da Aline Teodoro no dia 24/01/2022 as 13:50 sobre a  planilha dos investimentos de scrap que será jogado fora para a implementação desta CR. Foi retirado os investimentos de calha de selo, devido a não ser um novo selo no projeto.</t>
  </si>
  <si>
    <r>
      <t xml:space="preserve">1 aplicador TE para terminal 3202505N8
</t>
    </r>
    <r>
      <rPr>
        <strike/>
        <sz val="11"/>
        <color theme="1"/>
        <rFont val="Calibri"/>
        <family val="2"/>
        <scheme val="minor"/>
      </rPr>
      <t xml:space="preserve">1 calha de selo Modelo Schleuniger para selo 320452667
1 calha de selo Modelo Schleuniger para selo 320453616
1 calha de selo Modelo Schleuniger para selo 3204542E9
2 </t>
    </r>
    <r>
      <rPr>
        <sz val="11"/>
        <color theme="1"/>
        <rFont val="Calibri"/>
        <family val="2"/>
        <scheme val="minor"/>
      </rPr>
      <t>validação de terminal conforme norma VS30</t>
    </r>
  </si>
  <si>
    <t>CR-0119746-00</t>
  </si>
  <si>
    <t>Body/IP 2021_01 SORP</t>
  </si>
  <si>
    <t>Sem necessidade de investimento todos os tubos já temos em produção</t>
  </si>
  <si>
    <t>CR-0119588-00</t>
  </si>
  <si>
    <t xml:space="preserve"> GEM/2024 - PPV</t>
  </si>
  <si>
    <t>CR-0120492-00</t>
  </si>
  <si>
    <t>CR-0119590-00</t>
  </si>
  <si>
    <t>GEM – MY2022.5 Body</t>
  </si>
  <si>
    <t>GEM/2024 PPV Body</t>
  </si>
  <si>
    <t>01 Mini aplicador MRSJ  Restyling Standard Lateral com regulagem Micrométrica , Mecânico, C/ Carrinho e QR Code
01 validação conforme norma USCAR21</t>
  </si>
  <si>
    <t>CR-0119591-00</t>
  </si>
  <si>
    <t>GEM/2024 - PPV Body</t>
  </si>
  <si>
    <t>CR-0119586-00</t>
  </si>
  <si>
    <t xml:space="preserve">Sem necessidade de investimento </t>
  </si>
  <si>
    <t>CR-0119585-00</t>
  </si>
  <si>
    <t xml:space="preserve">necessidade de investimento Favor considerar:
 01 mini aplicador p/n- 3202535N2;
01 validação conforme norma USCAR21
Troca do terminal de 3202555A6 para 3202535N2
</t>
  </si>
  <si>
    <t>CR-0119587-00</t>
  </si>
  <si>
    <t>Sem necessidade de investimento porqu já foi considerado na CR-0119588-00</t>
  </si>
  <si>
    <t>01 Mini aplicador MRSJ  Restyling Standard Lateral com regulagem Micrométrica , Mecânico, C/ Carrinho e QR Code
01 validação conforme norma USCAR21
Troca do terminal 3202536X7 para o terminal E00000266</t>
  </si>
  <si>
    <t>CR-0119589-00</t>
  </si>
  <si>
    <t>Sem necessidade de investimento para a CR acima, pois, já foram considerados os investimentos na CR -0119590-00. 
Trata-se da mesma modificação.</t>
  </si>
  <si>
    <t>CR-0119592-00</t>
  </si>
  <si>
    <t>Necessidade de um mini aplicador 
está sendo trcado o terminal de  p/n-E06973900 para p/n - 32025Y196</t>
  </si>
  <si>
    <t>CR-0113825-00</t>
  </si>
  <si>
    <t>REAR BUMBER GEM - MY21- PSORP</t>
  </si>
  <si>
    <t xml:space="preserve">Sem necessidade de investimento para a CR acima.  </t>
  </si>
  <si>
    <t>CR-0120084-00</t>
  </si>
  <si>
    <t>GEM - MY202- MVBs</t>
  </si>
  <si>
    <t xml:space="preserve">Sem necessidade de investimento para a CR acima.  Troca de fita </t>
  </si>
  <si>
    <t>CR-0120267-00</t>
  </si>
  <si>
    <t>Sem necessidade de investimento, apenas modificação no comprimento dos tubos. Data da efetivação no dia 03/03/2022</t>
  </si>
  <si>
    <t>CR-0102092-01</t>
  </si>
  <si>
    <t>GEM - MY202.5- MVBs</t>
  </si>
  <si>
    <t>CR-0119945-00</t>
  </si>
  <si>
    <t>Lift Gate</t>
  </si>
  <si>
    <t>Troca do terminal de 3202585H5(0-1241388-1) para 3202594J9 (28272.306.185)
Necessidade de um miniaplicador</t>
  </si>
  <si>
    <t>CR-0120457-00</t>
  </si>
  <si>
    <t>GEM – MY204 PPV</t>
  </si>
  <si>
    <t>Sem necesidade de investimento</t>
  </si>
  <si>
    <t>CR-0120246-00</t>
  </si>
  <si>
    <t>GEM - MY203- MVBs</t>
  </si>
  <si>
    <t>Sem necessidade de investimetno (Troca de bitola de multicrimp</t>
  </si>
  <si>
    <t>CR-0119995-00</t>
  </si>
  <si>
    <t>01 Mini aplicador MRSJ  Restyling Standard Lateral com regulagem Micrométrica , Mecânico, C/ Carrinho e QR Code
03 validação conforme norma USCAR21
Troca do terminal de 3202585A0 para 3202594K7</t>
  </si>
  <si>
    <t>CR-0120487-00</t>
  </si>
  <si>
    <t xml:space="preserve">Sem necessidade de ivestimento </t>
  </si>
  <si>
    <t>CR-0120704-00</t>
  </si>
  <si>
    <t>MY203 SORP Body</t>
  </si>
  <si>
    <t>CR-0120743-00</t>
  </si>
  <si>
    <t>CR-0120699-01</t>
  </si>
  <si>
    <t>GEM – MY203 SORP IP</t>
  </si>
  <si>
    <t>CR-0119723-00</t>
  </si>
  <si>
    <t>GEM – MY2024 PPV</t>
  </si>
  <si>
    <t>Troca do terminal 3202585H5 para o terminal 3202594J9.
Considerar:
•	01 aplicador MRSJ1 modelo Restyling Standard Lateral com regulagem Micrométrica , Mecânico, C/ Carrinho e QR Code.
•	04 validações conforme norma USCAR 21.
•	Scrap R$ 902,50  de amostras de validação</t>
  </si>
  <si>
    <t>CR-0119731-00</t>
  </si>
  <si>
    <t>GEM – MY2024 PPV  IP</t>
  </si>
  <si>
    <t xml:space="preserve">Troca do terminal 3202585A0 para o terminal 3202594K7.
Favor considerar:
•	01 aplicador MRSJ1 modelo Restyling Standard Lateral com regulagem Micrométrica , Mecânico, C/ Carrinho e QR Code.
•	03 validações conforme norma USCAR 21.
•	Scrap R$ 1389,45 de amostras de validação e WIP.
</t>
  </si>
  <si>
    <t>CR-0119733-00</t>
  </si>
  <si>
    <t>Troca do terminal 32025Y2SR para o terminal E000111031.
Favor considerar:
•	01 aplicador MRSJ1 modelo Restyling Standard Lateral com regulagem Micrométrica , Mecânico, C/ Carrinho e QR Code.
•	02 validações conforme norma USCAR 21.
•	Scrap R$ 1389,45 de amostras de validação e WIP.</t>
  </si>
  <si>
    <t>CR-0119734-00</t>
  </si>
  <si>
    <t>Troca do terminal 320257QA9 para o terminal E00011489.
Favor considerar:
•	01 aplicador MRSJ1 modelo Restyling Standard Lateral com regulagem Micrométrica , Mecânico, C/ Carrinho e QR Code.
•	03 validações conforme norma USCAR 21.
•	Scrap R$ 1389,45 de amostras de validação e WIP.</t>
  </si>
  <si>
    <t>CR-0121064-00</t>
  </si>
  <si>
    <t>Sem necessidade de investimento para a CR acima. 
Estou desconsiderando a aba “composite”, pois está tratando de uma modificação de clipe e nesta aba está com troca de bitola de cabo para multicrimps.</t>
  </si>
  <si>
    <t>CR-0121065-00</t>
  </si>
  <si>
    <t>CR-0121066-00</t>
  </si>
  <si>
    <t>CR-0121068-00</t>
  </si>
  <si>
    <t>CR-0116872-00</t>
  </si>
  <si>
    <t>CR-0121350-00</t>
  </si>
  <si>
    <t>CR-0121361-00</t>
  </si>
  <si>
    <t>Body 2021_02 SORP</t>
  </si>
  <si>
    <t>GEM – MY2022.5 MVBs</t>
  </si>
  <si>
    <t>CR-0121035-00</t>
  </si>
  <si>
    <t>CR-0121442-00</t>
  </si>
  <si>
    <t>GEM – MY2022.5 MVBs - Engine</t>
  </si>
  <si>
    <t>CR-0121317-00</t>
  </si>
  <si>
    <t>GEM – MY2021 - Rear Door</t>
  </si>
  <si>
    <t>CR-0121325-00</t>
  </si>
  <si>
    <t>CR-0121346-00</t>
  </si>
  <si>
    <t>CR-0121450-00</t>
  </si>
  <si>
    <t>MY2022.5  MVBs -  Engine</t>
  </si>
  <si>
    <t>CR-0121597-00</t>
  </si>
  <si>
    <t xml:space="preserve">GEM – MY2024.5 IVER - Engine                                                                                                                                  </t>
  </si>
  <si>
    <t>Fase IVER, não é necessário investimento</t>
  </si>
  <si>
    <t>CR-0121594-00</t>
  </si>
  <si>
    <t>GEM – MY2023 - Engine</t>
  </si>
  <si>
    <t>CR-0121600-00</t>
  </si>
  <si>
    <t>CR-0121839-00</t>
  </si>
  <si>
    <t xml:space="preserve"> 2021_02 SORP - AWE</t>
  </si>
  <si>
    <t>Sem necessidade de inverstimento (TROCA DE CLIP)</t>
  </si>
  <si>
    <t>GEM – MY2024 / MVBNs - RR DOOR</t>
  </si>
  <si>
    <t>CR-0121959-00</t>
  </si>
  <si>
    <t>GEM – MY2024  / MVBNs - RR DOOR</t>
  </si>
  <si>
    <t>CR-0121888-00</t>
  </si>
  <si>
    <t>GEM – MY2024  / PPV -  IP</t>
  </si>
  <si>
    <t>CR-0121894-00</t>
  </si>
  <si>
    <t>GEM – MY2024  / PPV -  IP EXT</t>
  </si>
  <si>
    <t>CR-0121879-00</t>
  </si>
  <si>
    <t>CR-0121877-00</t>
  </si>
  <si>
    <t>CR-0121878-00</t>
  </si>
  <si>
    <t>CR-0121890-00</t>
  </si>
  <si>
    <t>CR-0122035-00</t>
  </si>
  <si>
    <t>GEM – MY2024  / PPV -  Body</t>
  </si>
  <si>
    <t>CR-0122129-00</t>
  </si>
  <si>
    <t>MY2024  / MVBNs - Rear Door</t>
  </si>
  <si>
    <t>CR-0121964-00</t>
  </si>
  <si>
    <t>CR-0122039-00</t>
  </si>
  <si>
    <t>GEM – MY2024 / MVBNs - Body</t>
  </si>
  <si>
    <t>CR-0122041-00</t>
  </si>
  <si>
    <t>GEM – MY2024 / PPV - Body</t>
  </si>
  <si>
    <t>CR-0122050-00</t>
  </si>
  <si>
    <t>CR-0122069-00</t>
  </si>
  <si>
    <t>CR-0122075-00</t>
  </si>
  <si>
    <t>CR-0122072-00</t>
  </si>
  <si>
    <t>CR-0122076-00</t>
  </si>
  <si>
    <t>CR-0122086-00</t>
  </si>
  <si>
    <t>CR-0122087-00</t>
  </si>
  <si>
    <t>CR-0122090-00</t>
  </si>
  <si>
    <t>CR-0122091-00</t>
  </si>
  <si>
    <t>CR-0122093-00</t>
  </si>
  <si>
    <t>CR reprovada, aba Composite com troca de configuração e somatória de bitolas para multicrimps. BOM trata apenas de troca de presilha. 
Bom dia.
De acordo com o e-mail do Marcio Militani enviado no dia 21/03/2022 ás 12:38 hs.; não será considerado a aba composite para a CR acima.
Sendo assim não será necessário investimento.
Fico ao dispor.</t>
  </si>
  <si>
    <t>09:26
10:09</t>
  </si>
  <si>
    <t>CR-0122073-00</t>
  </si>
  <si>
    <t>De acordo com o e-mail do Marcio Militani enviado no dia 21/03/2022 ás 12:38 hs.; não é para considerar as linhas da aba composite para a CR acima, porém, alguns circuitos estão modificando os comprimentos na aba composite oque deve ser considerado ao meu entender. Mas, além da aba composite, estamos tendo modificação no nome da splice nas abas dos derivativos também. 
Sendo assim, não estaremos considerando na aba composite (Section 4:DELTA SPLICE e Section 5:DELTA MULTICRIMP) e para as abas dos derivativos não estremos considerando as modificações de nomes das splices. E considerando que os cabos serão stock in use.
Sendo assim, não será necessário investimento.
Caso haja algo diferente do que foi passado acima, é necessário reavaliar a CR.
Fico ao dispor.</t>
  </si>
  <si>
    <t>CR-0122049-00</t>
  </si>
  <si>
    <t>De acordo com o e-mail do Marcio Militani enviado no dia 21/03/2022 ás 12:38 hs.; não será considerado aba composite para a CR acima, porém, Mas, além da aba composite, estamos tendo modificação no nome da splice nas abas dos derivativos também. 
Sendo assim, não estaremos considerando na aba composite e para as abas dos derivativos não estaremos considerando as modificações de nomes das splices já que se trata apenas de troca de clip.
Sendo assim, não será necessário investimento.
Caso haja algo diferente do que foi passado acima, é necessário reavaliar a CR.
Fico ao dispor.</t>
  </si>
  <si>
    <t>CR-0122095-00</t>
  </si>
  <si>
    <t>De acordo com o e-mail do Marcio Militani enviado no dia 21/03/2022 ás 12:38 hs.; não será considerado aba composite para a CR acima.
 Não estaremos considerando na aba composite já que se trata apenas de troca de clip.
Sendo assim, não será necessário investimento.
Caso haja algo diferente do que foi passado acima, é necessário reavaliar a CR.
Fico ao dispor.</t>
  </si>
  <si>
    <t>CR reprovada porque a informação do PDF e BOM (Troca de Clips) está divergente com a informação do Delta report 26373894 - Delt Cut sheet- pasta Composite que está alterando bitola da splice e derivativo.
De acordo com o e-mail do Marcio Militani enviado no dia 21/03/2022 ás 12:38 hs.; não será considerado aba composite para a CR acima já que se trata apenas de troca de clip.
Sendo assim, não será necessário investimento.
Fico ao dispor.</t>
  </si>
  <si>
    <t xml:space="preserve">08:15
14:44
</t>
  </si>
  <si>
    <t>Bom dia a todos.
Conforme conversa com Marcos Melo, vou ficar aguardando a verificação dos itens que estamos em dúvida com relação a troca do terminal onde na pasta Delta Cut sheet “Composite” está tendo troca de splices e multicrimps.  Precisamos entender o porquê estes itens estão aparecendo com frequência nas CR’s.
Após a confirmação estaremos respondendo as CR acima.
Favor considerar :
•	02 mini aplicadores modelo mecal MRSJ1 para 3202537C5
•	02 Validações conforme norma USCA 21
Observação: implementação condicionada aos testes e aprovação conforme Normas USCAR21</t>
  </si>
  <si>
    <t>12:09:00
16:22</t>
  </si>
  <si>
    <t>11/03/2022
23/02/2022</t>
  </si>
  <si>
    <t xml:space="preserve">12:23:00
07:04
</t>
  </si>
  <si>
    <t>Sem necessidade de investimento 
Bom dia.
Conforme foi dito abaixo continuamos sem necessidade de investimento para a CR acima.</t>
  </si>
  <si>
    <t>11/03/2022
23/03/2022</t>
  </si>
  <si>
    <t>07:25
07:16</t>
  </si>
  <si>
    <t>Marcação incoerente entre delta cut sheet e BOM.
Cr REPROVADA
Sem necessidade de investimento para a CR acima.</t>
  </si>
  <si>
    <t>09:39:00
07:25</t>
  </si>
  <si>
    <t>15/03/2022
23/03/2022</t>
  </si>
  <si>
    <t>09:49:00
07:33</t>
  </si>
  <si>
    <t>Sem necessidade de inverstimento (TROCA DE CLIP)
Foi reavaliado e não necessita de investimento para a CR acima.</t>
  </si>
  <si>
    <t>11:38:00
09:22</t>
  </si>
  <si>
    <t>Sem necessidade de inverstimento (troca apenas clip e comprimento do cabo)
Foi reavaliado e mantido sem necessidade de investimento para a CR acima.</t>
  </si>
  <si>
    <t>07:20:00
09:33</t>
  </si>
  <si>
    <t>17/03/2022
23/03/2022</t>
  </si>
  <si>
    <t>CR reprovada, aba Composite com troca de configuração e somatória de bitolas para multicrimps . BOM trata apenas de troca de clip. Recebi um e-mail do willian naves dia 18/03 ás 11:07 dizendo que era pra desconsiderar apenas as splice e retornei o e-mail dia 21/03 ás 08:53 perguntando se deveria desconsiderar as muilticrimps e as pastas dos derivativos que tambem trocava o nome das splice.
Foi desconsiderado a planilha da Cut Sheet.
Sem necessidade de investimento para a CR acima.</t>
  </si>
  <si>
    <t>10:24:00
09:46</t>
  </si>
  <si>
    <t>13:51:00
09:54</t>
  </si>
  <si>
    <t>sem necesssidade de investimento ( muda comprimetno de twister e multicrimp)
Foi reavaliado e mantemos sem necessidade de investimento para a CR acima.</t>
  </si>
  <si>
    <t>CR reprovada, aba Composite com troca de configuração e somatória de bitolas para multicrimps e splice. BOM trata apenas de troca de presilha.
Sem necessidade de investimento para a CR acima. 
De acordo com o e-mail do Marcio Militani enviado no dia 21/03/2022 ás 12:38 hs.; não será considerado aba composite para a CR acima por se tratar da troca do strap de 3203502D2 para fita E15837200, PET, 19mm, 150°C.</t>
  </si>
  <si>
    <t>10:01:00
11:43</t>
  </si>
  <si>
    <t>sem necesssidade de investimento (Change clip PN from E17443500 to E05168500)
Após reavaliado, continua sem necessidade de investimento para a CR acima.</t>
  </si>
  <si>
    <t>09:09:00
11:52</t>
  </si>
  <si>
    <t>21/03/2022
23/03/2022</t>
  </si>
  <si>
    <t>09:21:00
12:49</t>
  </si>
  <si>
    <t>sem necesssidade de investimento (Change Edge clip PN from E10036400 to 3203506P1)
CR reavaliada e continua sem necessidade de investimento para engenharia Corte Lead prep.</t>
  </si>
  <si>
    <t>Sem necessidade de investimento 
De acordo com o e-mail do Marcio Pericles no dia 23/03/2022 08:58, Esta CR foi cancelada não havendo necessidade de avaliação.</t>
  </si>
  <si>
    <t>CR-0116872-01</t>
  </si>
  <si>
    <t>GEM – 2022.5 / MVBs - Engine</t>
  </si>
  <si>
    <t>Sem necessidade de investimento ( troca de fita )</t>
  </si>
  <si>
    <t>08:40:00
14:53</t>
  </si>
  <si>
    <t>Sem necessidade de inverstimento 
Após reanálise, continuamos sem necessidade de investimento para a CR acima.
Foi reavaliado de favor manter a mesma resposta do e-mail anterior.</t>
  </si>
  <si>
    <t>15/03/2022
24/03/2022</t>
  </si>
  <si>
    <t>CR reprovada, aba Composite com troca de configuração e somatória de bitolas para splice e multicrimps. BOM trata apenas de troca de cilps.
De acordo com o e-mail do Marcio Militani enviado no dia 21/03/2022 ás 12:38 hs.; não será considerado aba composite para a CR acima já que se trata apenas de troca de clip.
Sendo assim, não será necessário investimento
Foi reavaliado e manteremos sem necessidade de investimento para a CR acima.</t>
  </si>
  <si>
    <t>11:45:00
11:34</t>
  </si>
  <si>
    <t>Sem necessidade de inverstimento (troca apenas comprimento do cabo)
Foi reavaliado e manteremos sem necessidade de investimento para a CR acima.</t>
  </si>
  <si>
    <t>17/03/2022
25/03/2022</t>
  </si>
  <si>
    <t>07:32:00
10:49</t>
  </si>
  <si>
    <t>Sem necessidade de investimento (remove fita  do chicote E02862500)
CR foi reavaliada e manteremos sem necessidade de investimento para engenharia corte/lead prep.</t>
  </si>
  <si>
    <t>08:15:00
09:30</t>
  </si>
  <si>
    <t>17/03/2022
28/03/2022</t>
  </si>
  <si>
    <t>CR reprovda.  
Aba Composite com troca de configuração de splice sendo que BOM é somente para troca de fita e presilha.
Bom dia.
Sem necessidade de investimento para a CR acima. 
De acordo com o e-mail do Marcio Militani enviado no dia 21/03/2022 ás 12:38 hs.; não será considerado aba composite para a CR acima por se tratar da troca do Strap 3203502D2 by Spot PVC Tape (E02862500, PVC, 19mm, 125°C) from connector A65High_LVL_X1 - Option 3.</t>
  </si>
  <si>
    <t>sem necessidade de investimento (troca de clip)
Bom dia.
CR reavaliada e manteremos sem necessidade de investimento para engenharia corte/lead prep.</t>
  </si>
  <si>
    <t>10:04:00
09:36</t>
  </si>
  <si>
    <t>09:31:00
09:49</t>
  </si>
  <si>
    <t>CR reprovada.
Delta cut sheet  com toca de configuração nas multicrimps. BOM troca apenas clips.
 Fico no aguardo das informações para nova avaliação.
Sem necessidade de investimento para a CR acima. 
De acordo com o e-mail do Marcio Militani enviado no dia 21/03/2022 ás 12:38 hs.; não será considerado aba composite para a CR acima por se tratar de Change EDGE Tie Strap Clip by EDGE Tie Strap Clip (Clip126/Clip124) - From: E10036400 To: E05374200.</t>
  </si>
  <si>
    <t>21/03/2022
28/03/2022</t>
  </si>
  <si>
    <t>09:53:00
09:56</t>
  </si>
  <si>
    <t>CR reprovada. Cut sheet na pasta composite está trocando configuração da multicrimps e BOM troca apenas cavity plug e conector.
Fico no aguardo das informações pra posterior avaliação.
Sem necessidade de investimento para a CR acima. 
De acordo com o e-mail do Marcio Militani enviado no dia 21/03/2022 ás 12:38 hs.; não será considerado aba composite para a CR acima por se tratar de - Change FTZM TE connetor (TE, 7-2109446-2, 13537506, E25226300) full open cavities to TE connector (TE, 8-2109446-7, 13537507, E35651100) with blocked cavities 5/6/14/20 and 29</t>
  </si>
  <si>
    <t>11:42:00
12:12</t>
  </si>
  <si>
    <t>CR reprovada, dados inconsistente.
Delta cut sheet, aba Composite está trocando configuração de splice e multicrimps e na aba dos derivativos está trocando o nome das splices.
BOM remove apenas uma presilha.
Sem necessidade de investimento para a CR acima. 
De acordo com o e-mail do Marcio Militani enviado no dia 21/03/2022 ás 12:38 hs.; não será considerado aba composite para a CR acima por se tratar apenas de uma remoção de clip .Body - Remove 01 Strap 3203502D2 from the channel 9.</t>
  </si>
  <si>
    <t>CR reprovada. 
Está tendo alteração no delta cut sheet , aba composite para configurações de splice e multicrimps, e nas abas dos derivativos está modificando o nome das splices. 
BOM está modificando apenas fita.
Fico no aguardo  das informações para posterior avaliação.
Sem necessidade de investimento para a CR acima. 
De acordo com o e-mail do Marcio Militani enviado no dia 21/03/2022 ás 12:38 hs.; não será considerado aba composite para a CR acima por se tratar apenas de troca de clip.
From: E15837200 (PET, 19mm, 150°C) To: E15837100 (Fleece, 19mm, 105°C) - Option 1</t>
  </si>
  <si>
    <t>10:19:00
10:47</t>
  </si>
  <si>
    <t>CR reprovada. 
Está tendo alteração no delta cut sheet , aba composite para configurações de multicrimps. 
BOM está reovendo  apenas fita.
Fico no aguardo  das informações para posterior avaliação.
Sem necessidade de investimento para a CR acima. 
De acordo com o e-mail do Marcio Militani enviado no dia 21/03/2022 ás 12:38 hs.; não será considerado aba composite para a CR acima por se tratar apenas de uma remoção de fita . - Remove 01 Spot Tape 127129026 (PVC, Gray, 19mm, 105°C) from grommet GROM1 - This spot is indicated by layer 3</t>
  </si>
  <si>
    <t>15:09:00
15:08</t>
  </si>
  <si>
    <t>21/03/2022
29/03/2022</t>
  </si>
  <si>
    <t>11:58:00
07:11</t>
  </si>
  <si>
    <t>CR reprovada. 
Está tendo alteração no delta cut sheet , aba composite para configurações de splice e multicrimps, e nas abas dos derivativos está modificando o nome das splices. 
BOM está modificando apenas fita.
Fico no aguardo  das informações para posterior avaliação.
Sem necessidade de investimento para a CR acima. 
De acordo com o e-mail do Marcio Militani enviado no dia 21/03/2022 ás 12:38 hs.; não será considerado aba composite para a CR acima por se tratar apenas de troca de fita . - From: E15837200 (PET, 19mm, 150°C) To: E02862500 (PVC, 19mm, 125°C) - Option 2</t>
  </si>
  <si>
    <t>15:31:00
07:16</t>
  </si>
  <si>
    <t>CR reprovada. 
Está tendo alteração no delta cut sheet , aba composite para configurações de splice e multicrimps, e nas abas dos derivativos está modificando o nome das splices. 
BOM está modificando apenas fita.
Fico no aguardo  das informações para posterior avaliação.
Sem necessidade de investimento para a CR acima. 
De acordo com o e-mail do Marcio Militani enviado no dia 21/03/2022 ás 12:38 hs.; não será considerado aba composite para a CR acima por se tratar apenas de troca de fita . - Change Spot tape applied over the Tape On Clip: From: E15837100 (Fleece, 19mm, 105°C) to E15837000 (PVC, 19mm, 105°C)</t>
  </si>
  <si>
    <t>CR reprovada. 
Está tendo alteração no delta cut sheet , aba composite para configurações de splice e multicrimps, e nas abas dos derivativos está modificando o nome das splices. 
BOM está modificando apenas clip.
Fico no aguardo  das informações para posterior avaliação.
Sem necessidade de investimento para a CR acima. 
De acordo com o e-mail do Marcio Militani enviado no dia 21/03/2022 às 12:38 hs.; não será considerado aba composite para a CR acima por se tratar apenas de troca de clip.  Change Sngl Hole Clip from E04117400 to 3299590J9</t>
  </si>
  <si>
    <t>08:07:00
07:21</t>
  </si>
  <si>
    <t>08:12:00
07:25</t>
  </si>
  <si>
    <t>CR reprovada. 
Está tendo alteração no delta cut sheet , aba composite para configurações de splice e multicrimps, e nas abas dos derivativos está modificando o nome das splices. 
BOM está modificando apenas clip.
Fico no aguardo  das informações para posterior avaliação.
Sem necessidade de investimento para a CR acima. 
De acordo com o e-mail do Marcio Militani enviado no dia 21/03/2022 ás 12:38 hs.; não será considerado aba composite para a CR acima por se tratar apenas de troca de clip. Change Sngl Hole Clip: From E13245100 to E14167500</t>
  </si>
  <si>
    <t>CR reprovada. 
Está tendo alteração no delta cut sheet , aba composite para configurações de  multicrimps. 
BOM está modificando apenas clip.
Fico no aguardo  das informações para posterior avaliação.
Sem necessidade de investimento para a CR acima. 
De acordo com o e-mail do Marcio Militani enviado no dia 21/03/2022 ás 12:38 hs.; não será considerado aba composite para a CR acima por se tratar apenas de troca de clip. - Change Stud Clip: From 3203510G5 to 3203507Z6</t>
  </si>
  <si>
    <t>08:54:00
07:28</t>
  </si>
  <si>
    <t>CR-0121887-00</t>
  </si>
  <si>
    <t>GEM – MY2024 / PPV - IP</t>
  </si>
  <si>
    <t>Sem necessidade de investimento para a CR acima. Ttata-se apenas troca de fita.</t>
  </si>
  <si>
    <t>CR-0121886-00</t>
  </si>
  <si>
    <t>Sem necessidade de investimento para da CR acima para engenharia corte/lead prep. Trata-se apenas de troca de fita.</t>
  </si>
  <si>
    <t>CR-0121880-00</t>
  </si>
  <si>
    <t>Sem necessidade de investimento para da CR acima para engenharia corte/lead prep. Trata-se apenas de remoção de strap.</t>
  </si>
  <si>
    <t>CR-0121881-00</t>
  </si>
  <si>
    <t>CR-0121882-00</t>
  </si>
  <si>
    <t>CR-0121883-00</t>
  </si>
  <si>
    <t>CR-0121884-00</t>
  </si>
  <si>
    <t>CR-0121885-00</t>
  </si>
  <si>
    <t>CR cancelada</t>
  </si>
  <si>
    <t>CR-0121942-00</t>
  </si>
  <si>
    <t>GEM - Front door</t>
  </si>
  <si>
    <t>Estou desconsiderando a planilha cut sheet, pois trata-se de troca de clip de E07495400 para E07869100.
Na planilha Cut Sheet existe troca de bitolas de multicrrimp e nomes de splice.
@Melo, Marcos, poderia avaliar se a planilha realmente está não conforme? Esta CR não está na lista que foi enviada das CR’s com erros.
Caso seja para desconsiderar a planilha Cut Sheet, não precisaremos de investimento para engenharia corte/lead prep.</t>
  </si>
  <si>
    <t>CR-0121985-00</t>
  </si>
  <si>
    <t>GEM - BODY</t>
  </si>
  <si>
    <t>CR-0121994-00</t>
  </si>
  <si>
    <t>CR-0121998-00</t>
  </si>
  <si>
    <t>CR-0122097-00</t>
  </si>
  <si>
    <t>GEM - Body</t>
  </si>
  <si>
    <t>Bom dia.
Estou desconsiderando a planilha cut sheet, pois trata-se apenas de troca de conector.
Na planilha Cut Sheet existe troca de bitolas de multicrrimp.
@Melo, Marcos, poderia avaliar se a planilha realmente está não conforme? Esta CR não está na lista que foi enviada das CR’s com erros.
Caso seja para desconsiderar a planilha Cut Sheet, não precisaremos de investimento para engenharia corte/lead prep.</t>
  </si>
  <si>
    <t>CR-0122004-00</t>
  </si>
  <si>
    <t>Estou desconsiderando a planilha cut sheet, pois trata-se apenas de troca de clip.
Na planilha Cut Sheet existe troca de bitolas de multicrrimp, splice e mudança de nome de splice.
@Melo, Marcos, poderia avaliar se a planilha realmente está não conforme? Esta CR não está na lista que foi enviada das CR’s com erros.
Caso seja para desconsiderar a planilha Cut Sheet, não precisaremos de investimento para engenharia corte/lead prep.</t>
  </si>
  <si>
    <t>CR-0122011-00</t>
  </si>
  <si>
    <t>CR-0122029-00</t>
  </si>
  <si>
    <t>Estou desconsiderando a planilha cut sheet, pois trata-se apenas de troca de clip.
Na planilha Cut Sheet existe troca de bitolas de multicrrimp, splice e mudança de nome de splice.
@Melo, Marcos, poderia avaliar se a planilha realmente está não conforme? Esta CR não está na lista que foi enviada das CR’s com erros.
Caso seja para desconsiderar a planilha Cut Sheet, não precisaremos de investimento para engenharia corte/lead prep</t>
  </si>
  <si>
    <t>CR-0122070-00</t>
  </si>
  <si>
    <t>CR-0122322-00</t>
  </si>
  <si>
    <t>GEM  2023 / MVBs - Body</t>
  </si>
  <si>
    <t>CR-0122003-00</t>
  </si>
  <si>
    <t>CR-0121964-01</t>
  </si>
  <si>
    <t>GEM – MY2024 - MVBNs - RR DOOR</t>
  </si>
  <si>
    <t>CR-0122530-00</t>
  </si>
  <si>
    <t>GEM – MY2023 - MVBs - Body</t>
  </si>
  <si>
    <t>Estou desconsiderando na planilha cut sheet, o Delta multi crimp pois trata-se apenas de modificação de comprimento de cabos.
Na planilha Cut Sheet no delta multicrimp está trocando a configuração de bitolas.
@Melo, Marcos, poderia avaliar se a planilha realmente está não conforme? Esta CR não está na lista que foi enviada das CR’s com erros.
Caso seja para desconsiderar na planilha Cut Sheet a aba desta multicrimp, favor considerar apenas scrap no valor de R$23500,00</t>
  </si>
  <si>
    <t>CR-0122466-00</t>
  </si>
  <si>
    <t>VS30-AS - 2021_01 / SORP - Body</t>
  </si>
  <si>
    <t>CR-0122468-00</t>
  </si>
  <si>
    <t>CR-0122465-00</t>
  </si>
  <si>
    <t>CR-0122098-00</t>
  </si>
  <si>
    <t>Boa tarde.
De acordo com a CR, novamente estamos desconsiderando a planilha Composite or se tratar apenas de uma remoção do clip.
Caso eta informação esteja correta, favor considerar sem necessidade de investimento para engenharia corte lead prep.</t>
  </si>
  <si>
    <t>CR-0122074-00</t>
  </si>
  <si>
    <t>Sem necessidade de investimento para a CR acima.</t>
  </si>
  <si>
    <t>CR-0122082-00</t>
  </si>
  <si>
    <t>GEM - Front Door</t>
  </si>
  <si>
    <t>CR-0122089-00</t>
  </si>
  <si>
    <t>CR-0122092-00</t>
  </si>
  <si>
    <t>CR-0122084-00</t>
  </si>
  <si>
    <t>CR-0077254-01</t>
  </si>
  <si>
    <t>CR-0077048-01</t>
  </si>
  <si>
    <t>CR-0076908-01</t>
  </si>
  <si>
    <t>CR-0121885-01</t>
  </si>
  <si>
    <t>Gilço falou que o Autark não vai mais ser feito, FOI CANCELADO A COMPRA DESTE APLICADOR</t>
  </si>
  <si>
    <t>1 aplicador TE para terminal 3202505N8
1 calha de selo Modelo Schleuniger para selo 320452667
1 calha de selo Modelo Schleuniger para selo 320453616
1 calha de selo Modelo Schleuniger para selo 3204542E9
2 validação de terminal conforme norma VS30</t>
  </si>
  <si>
    <t xml:space="preserve">Troca do terminal de E03457800 para 320272164 ( necessidade de compra de uma ferramenta para aplicação do novo terminal)e necessidade de duas vlidações </t>
  </si>
  <si>
    <t>CR-0122217-00</t>
  </si>
  <si>
    <t>CR-0122242-00</t>
  </si>
  <si>
    <t>GEM – MY2024 - PPV  -IP</t>
  </si>
  <si>
    <t>GEM – MY2024 - MVBNs - IP</t>
  </si>
  <si>
    <t>GEM – MY2024 - PPV -  IP</t>
  </si>
  <si>
    <t>sem investimento para aCR.trata-se apenas de troca de fita</t>
  </si>
  <si>
    <t>: GEM – MY2024.5 / IVER  - : Body</t>
  </si>
  <si>
    <t>Sem necessidade de investimento.
Remove alguns circuitos e adiciona a função E-Stop.
Temmos todas as ferramentas já validadas.</t>
  </si>
  <si>
    <t>GEM – MY2024.5 / IVE - Body</t>
  </si>
  <si>
    <t>Sem necessidade de investimento 
Altera apenas os derivativos</t>
  </si>
  <si>
    <t>CR-0122429-00</t>
  </si>
  <si>
    <t>GEM – MY2024 - PPV - Body</t>
  </si>
  <si>
    <t>sem necessidade de investimento.
Troca do terminal 32025Y3B8 to E02656000, porém, já temos a ferramenta e as validações</t>
  </si>
  <si>
    <t>CR-0077256-01</t>
  </si>
  <si>
    <t>CR-0077047-01</t>
  </si>
  <si>
    <t xml:space="preserve">GEM – MY2024 / PPV- Body                   </t>
  </si>
  <si>
    <t>CR-0076917-01</t>
  </si>
  <si>
    <t>CR-0076891-01</t>
  </si>
  <si>
    <t>GEM – MY2024 / PPV - : Body</t>
  </si>
  <si>
    <t>CR-0077033-01</t>
  </si>
  <si>
    <t>CR-0077255-01</t>
  </si>
  <si>
    <t>CR-0076887-01</t>
  </si>
  <si>
    <t>CR-0076914-01</t>
  </si>
  <si>
    <t>CR-0123168-00</t>
  </si>
  <si>
    <t>Remove alguns ramais.
Sem necessidade de investimento</t>
  </si>
  <si>
    <t>CR-0122302-00</t>
  </si>
  <si>
    <t>sem necessidade de investimento.
Troca do terminal 32025Y3B8 to E02656000, porém, já temos a ferramenta e as validações
Já temos uma CR-0122429-00 respondida antes desta CR.</t>
  </si>
  <si>
    <t>CR-0123152-00</t>
  </si>
  <si>
    <t>CR-0123171-00</t>
  </si>
  <si>
    <t>CR-0123174-00</t>
  </si>
  <si>
    <t>GEM – MY2024 / PPV -: Engine</t>
  </si>
  <si>
    <t>sem necessidade de investimento
ENGINE WH – BCS Shortage Replacement of BCS (Battery Current Sensor) by IBS (Intelligent Battery Sensor).</t>
  </si>
  <si>
    <t>CR-0123118-00</t>
  </si>
  <si>
    <t xml:space="preserve">Troca de Cable Seal pn from 3204542B6 to 320450463
</t>
  </si>
  <si>
    <t>Troca do termina E02741500 para E12411700.
Favor considerar:
•	1 aplicador de terminal modelo mecal MRSJ1 para o terminal E12411700
•	1 Validações de terminal conforme norma USCAR21.
•	Scrap  318,69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</si>
  <si>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Favor considerar:
Troca do termina E02719100 to E11997000.
Favor considerar:
•            1 aplicador de terminal modelo mecal MRSJ1 para o terminal E11997000
•            1 Validação de terminal conforme norma USCAR21.
•            Scrap  214,16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</si>
  <si>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Bom dia.
Troca do terminal E02743600 para E11996500.
Favor considerar:
•	01 validação conforme norma USCAR21. Temos uma ferramenta disponível, porém não temos a validação para a bitola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</si>
  <si>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E02741500 para E12411700
Favor considerar
•	1 aplicador modelo MECAL MRSJ1 para o terminal E12411700. OBS: ESTE APLICADOR JÁ FOI CONSIDERADO NA CR-0077254-01.
•	2 validação conforme norma USCAR 21.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</si>
  <si>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E02719100 to E11997000
Favor considerar
•	1 aplicador modelo MECAL MRSJ1 para o terminal E11997000. OBS: ESTE APLICADOR JÁ FOI CONSIDERADO NA CR-0077048-01.
•	3 validações conforme norma USCAR 21.
•	Scrap 435,74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</si>
  <si>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E02743600 to E11996500
Favor considerar:
•	1 mini aplicador modelo Mecal MRSJ 1 para o terminal E11996500.
•	2 validações  conforme norma USCAR 21.
•	Scrap  489,12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</si>
  <si>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from E02742700 to E11997200
aplicação dupla com ferramenta Mecal ( já temoa a ferramenta.
Favor considerar:
•	Duas validações conforme norma USCAR 21.
•	Scrap  432,87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</si>
  <si>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E02719100 to E11997000
Favor considerar:
•	1 aplicador modelo Mecal MRSJ1 para o terminal E11997000. ESTA FERRAMENTA JÁ FOI PEDIDA NA CR-0077048-01 E TAMBÉM NA CR-0077047-01.
•	3 validações conforme norma USCAR 21. ESTA VALIDAÇÃO JÁ FOI PEDIDA NA CR-0077047-01.
•	Scrap 432.65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</si>
  <si>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T From E02741500 to E12411700
Favor considerar
•	1 aplicador modelo MECAL MRSJ1 para o terminal E12411700. OBS: ESTE APLICADOR JÁ FOI CONSIDERADO NA CR-0077254-01 E NA CR-0077256-01.
•	1 validação conforme norma USCAR 21. ESTA VALIDAÇÃO JÁ FOI CONSIDERADA NA CR-0077254-01 E NA CR-0077256-01.
•	Scrap : 432,65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</si>
  <si>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 from E02742700 to E11997200
aplicação dupla com ferramenta Mecal ( já temoa a ferramenta.
Favor considerar:
•	Duas validações conforme norma USCAR 21.
•	Scrap  432,87
ESTA VALIDAÇÃO JÁ FOI CONSIDERADA NA CR-0076891-01.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</si>
  <si>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Troca do terminalE02743600 to E11996500
Favor considerar:
•	1 mini aplicador modelo Mecal MRSJ 1 para o terminal E11996500. ESTE MINI APLICADOR JÁ FOI CONSIDERADO NA CR-0076917-01.
•	2 validações  conforme norma USCAR 21. ESTA VALIDAÇÃO JÁ FOI CONSIDERADA NA CR-0076917-01.
•	Scrap  489,12
Bom dia.
Conforme Marcos melo citou, favor desconsiderar o investimento de aplicadores e validação de todas as CR’s abaixo, pois, pelo que entendi, este assunto estava  sendo tratado em paralelo e eu não tinha o conhecimento. Trata-se de uma troca de terminal feita pelo fornecedor TE e o mesmo vai efetuar as validações conforme norma USCAR 21 não sendo necessário o investimento.
Fico ao dispor.</t>
  </si>
  <si>
    <t>Retificando.</t>
  </si>
  <si>
    <t>Favor considerar apenas:</t>
  </si>
  <si>
    <t>Scrap  489,12</t>
  </si>
  <si>
    <t>Scrap : 432,65</t>
  </si>
  <si>
    <t>Bom dia.
Retificando.
Favor considerar apenas:
•	Scrap : 432,65</t>
  </si>
  <si>
    <t>Bom dia.
Retificando.
Favor considerar apenas:
•	Scrap 432.65</t>
  </si>
  <si>
    <t>Bom dia.
Retificando.
Favo considerar apenas:
•	Scrap  432,87</t>
  </si>
  <si>
    <t>Bom dia
Favor considerar apenas :
•	Scrap  489,12</t>
  </si>
  <si>
    <t>Bom dia.
Retificando.
Favor considerar apenas :
•	Scrap 435,74</t>
  </si>
  <si>
    <t>Bom dia.
Retificando.
Favor considerar sem investimento para a CR acima.</t>
  </si>
  <si>
    <t>Bom dia.
Retificando.
Favor considerar apenas:
•	   Scrap  214,16</t>
  </si>
  <si>
    <t>Bom dia.
Favor considerar apenas:
•	Scrap  318,69</t>
  </si>
  <si>
    <t>15:39:00
10:07
10:18</t>
  </si>
  <si>
    <t>02/04/2022
04/04/2022
04/04/2022</t>
  </si>
  <si>
    <t>15:25:00
10:07
10:20</t>
  </si>
  <si>
    <t>15:08:00
10:07
10:22</t>
  </si>
  <si>
    <t>14:51:00
10:07
10:24</t>
  </si>
  <si>
    <t>14:11:00
10:07
10:25</t>
  </si>
  <si>
    <t>13:28:00
10:07
10:26</t>
  </si>
  <si>
    <t>12:53:00
10:07
10:28</t>
  </si>
  <si>
    <t>12:19:00
10:07
10:29</t>
  </si>
  <si>
    <t>10:33:00
10:07
10:31</t>
  </si>
  <si>
    <t>10:15:00
10:07
10:32</t>
  </si>
  <si>
    <t>08:57:00
10:07
10:34</t>
  </si>
  <si>
    <t>CR-0122000-00</t>
  </si>
  <si>
    <t>Bom dia.
CR Já reportada como “no fesible” pelo time de engenharia de processos no dia 25/03/2022 16:58.</t>
  </si>
  <si>
    <t>CR-0123376-00</t>
  </si>
  <si>
    <t xml:space="preserve">VS30-AS - 2021_02 / SORP - Body </t>
  </si>
  <si>
    <t>sem necessidade deinvestimento</t>
  </si>
  <si>
    <t>CR-0122429-01</t>
  </si>
  <si>
    <t>sem necessidade deinvestimento
Troca do terminal 32025Y3B8 to E02656000, porém, já temos a ferramenta e as validações
Já temos uma CR-0122429-00 e  a CR-0123152-00respondida antes desta CR.
Já foi reportada esta CR 0122429-00</t>
  </si>
  <si>
    <t>CR-0123468-00</t>
  </si>
  <si>
    <t>GEM – MY2024 / PPV - Engine</t>
  </si>
  <si>
    <t>Troca do selo de 3204542B6 para 320450463.
Necessidade de uma calha de selo MCI 761 para Komax Alpha 355</t>
  </si>
  <si>
    <t>CR-0122073-01</t>
  </si>
  <si>
    <t>alteração lapenas no comprimento do enfitametno.
Sem necessidade de investimento para a CR</t>
  </si>
  <si>
    <t>CR-0123310-00</t>
  </si>
  <si>
    <t>Apenas realocação do chicote
Sem necessidade de investimento para a CR</t>
  </si>
  <si>
    <t>CR-0121887-01</t>
  </si>
  <si>
    <t>Trocsa apenas fita
sem necessidade de investimento</t>
  </si>
  <si>
    <t>GEM – MY2024 - PPV - IP</t>
  </si>
  <si>
    <t>CR-0123947-00</t>
  </si>
  <si>
    <t>VS30-SA – 2021-2 SORP -  IP</t>
  </si>
  <si>
    <t>Mudança apenas de comprimento de circuito.
Sem necessidade de investimento</t>
  </si>
  <si>
    <t>CR-0123950-00</t>
  </si>
  <si>
    <t>VS30-SA – 2021-2 SORP -  BOody</t>
  </si>
  <si>
    <t>CR-0123862-00</t>
  </si>
  <si>
    <t>VS30-SA - 2022 - IP</t>
  </si>
  <si>
    <t>Todas as alterações já temos aqui na planta em nosso processo. sem investimento</t>
  </si>
  <si>
    <t>CR-0123553-00</t>
  </si>
  <si>
    <t>GEM – MY2023 - MVBs - Engine</t>
  </si>
  <si>
    <t>Troca de fita apenas
sem necessidade de investimento</t>
  </si>
  <si>
    <t>CR-0123537-00</t>
  </si>
  <si>
    <t>CR-0124144-00</t>
  </si>
  <si>
    <t>CR-0124145-00</t>
  </si>
  <si>
    <t>Apenas WLL
Favor considerar:
•	Scrap – R$1845,26
A pedido do Willian Navers, foi reitificado a CR e considerado sem investimento.</t>
  </si>
  <si>
    <t>CR-0124196-00</t>
  </si>
  <si>
    <t>GEM – MY2024 - PPV - REAR DOOR</t>
  </si>
  <si>
    <t>CR-0124202-00</t>
  </si>
  <si>
    <t>GEM – MY2024 - PPV - Rear DOOR</t>
  </si>
  <si>
    <t>Favor considerar:
•	1 mini aplicador modelo Mecal MRSJ 1 para o terminal 320258FW8. (Motivo é que temos apenas um mini aplicador deste na planta e o outro lado da plicação também temos penas um aplicador não sendo possível a não aquisição, pois, precisaremos aplicar em duas máquinas de corte e teremos conflito de ferramentas.)
•	2 validações  conforme norma USCAR 21. Bitolas de 1,50 e 2,00 mm²)
•	Scrap R$2580,00</t>
  </si>
  <si>
    <t>Aguardando confirrmação do fornecedor para responder a CR.
Fornecedor respondeu e já foi respondida da CR</t>
  </si>
  <si>
    <t xml:space="preserve">20/04/2022
</t>
  </si>
  <si>
    <t>CR-0124170-00</t>
  </si>
  <si>
    <t xml:space="preserve"> GEM - ENGINE  </t>
  </si>
  <si>
    <t>Militani, Marcio Pericles</t>
  </si>
  <si>
    <t xml:space="preserve">22/04/2022
</t>
  </si>
  <si>
    <t>Enviado e-mail  no dia 22/04/2022 ás 18:44 para a Komax para ver se o mesmo kit de palicaçãode selo pode aplicar o selo que está sendo trocado.</t>
  </si>
  <si>
    <t>Aguardando resposta da Komax para responder a CR.</t>
  </si>
  <si>
    <t>CR-0124064-00</t>
  </si>
  <si>
    <t>Troca do terminal from 3202577Z3 (TE, 1534594-1) to E05944100 (Hulane, 60521110KSS)
Favor considerar:
•	1 mini aplicador modelo Mecal MRSJ 1 para o terminal E05944100 . (Motivo volume desta aplicação é alta e somente temos três mini aplicadores. 
•	1 Validação  conforme norma USCAR 21. 0,35 mm²)
•	Scrap R$1234,62</t>
  </si>
  <si>
    <t>CR-0124057-00</t>
  </si>
  <si>
    <t xml:space="preserve">Troca de cavity plug
sem necessidade de investimento
</t>
  </si>
  <si>
    <t>CR-0124058-00</t>
  </si>
  <si>
    <t>CR-0124102-00</t>
  </si>
  <si>
    <t>troca do terminal Terminal from E15834400 (Aptiv, 54001400RWC) to 320258FW8 (Aptiv, 10762803) - All Car set
Favor considerar:
•	1 mini aplicador modelo Mecal MRSJ 1 para o terminal E05944100 . (Motivo : não temos este mini aplicador para o projeto GEM. 
•	1 Validação  conforme norma USCAR 21. 0,35 mm²)
•	Scrap R$325,21</t>
  </si>
  <si>
    <t>CR-0124080-00</t>
  </si>
  <si>
    <t>Troca de cavit plug. Sem necessidade de investimento
1. Change plug from 320455611 (TE, 0-0963531-1) to E15719100 (Fangyi, FY030-11339) - All Car set</t>
  </si>
  <si>
    <t>CR-0124075-00</t>
  </si>
  <si>
    <t>Troca de cavit plug. Sem necessidade de investimento
. Change seal from 320450455 (TE, 0-0828922-1) to E09503100 (Fangyi, FY060-11147) - All Car set</t>
  </si>
  <si>
    <t>CR-0124093-00</t>
  </si>
  <si>
    <t>Troca do terminal from 3202577Z3 (TE, 1534594-1) to E05944100 (Hulane, 60521110KSS)
Favor considerar:
•	1 mini aplicador modelo Mecal MRSJ 1 para o terminal E05944100 . (Motivo volume desta aplicação é alta e somente temos três mini aplicadores. 
•	1 Validação  conforme norma USCAR 21. 0,35 mm²)
•	Scrap R$1234,62
ESTE MINIAPLICADOR JÁ FOI CONSIDERADO NA CR-0124064-00.</t>
  </si>
  <si>
    <t>CR-0124073-00</t>
  </si>
  <si>
    <t xml:space="preserve">Troca de cavity plug. Sem necessidade de investimento.
Change plug from 3299853NG (34345-0001) to E16663000 (Fangyi, FYSM15-022) - All Car set
</t>
  </si>
  <si>
    <t>CR-0124059-00</t>
  </si>
  <si>
    <t xml:space="preserve">Troca de cavity plug. Sem necessidde de investimetno.
: 1. Change plug from 320455611 (TE, 0-0963531-1) to  E15719100 (Fangyi, FY030-11339) - All Car set
</t>
  </si>
  <si>
    <t>CR-0124165-00</t>
  </si>
  <si>
    <t>Troca de cavity plug. Sem necessidde de investimetno.
Change plug from 3204503F4 (Yazaki, 7158-3114-90) to E16661700 (Fangyi, FY-3114-90) - All Car</t>
  </si>
  <si>
    <t>CR-0124192-00</t>
  </si>
  <si>
    <t>Troca de cavity plug. Sem necessidde de investimetno.
Change plug from 3299853NG (34345-0001)  to E16663000 (Fangyi, FYSM15-022) - All Car set</t>
  </si>
  <si>
    <t>CR-0124183-00</t>
  </si>
  <si>
    <t>Troca de cavity plug. Sem necessidde de investimetno.
. Change plug from 3299853NG (34345-0001)  to E16663000 (Fangyi, FYSM15-022) - All Car set</t>
  </si>
  <si>
    <t>CR-0124310-00</t>
  </si>
  <si>
    <t>GEM – MY2024 - PPV - REAR BUMPER</t>
  </si>
  <si>
    <t>Troca de cavity plug. Sem necessidde de investimetno.
 Change plug from 3299853NG (34345-0001) to E16663000 (Fangyi, FYSM15-022)</t>
  </si>
  <si>
    <t>VS30-SA - Body 2022  SORP</t>
  </si>
  <si>
    <t>Todos os cabos e terminais que estão adicionando já temos em produçaõ normal.
sem necessidade de investimento</t>
  </si>
  <si>
    <t>CR-0124656-00</t>
  </si>
  <si>
    <t>CR-0123862-01</t>
  </si>
  <si>
    <r>
      <t xml:space="preserve">Boa tarde Paulo.
Estou precisando de uma ajuda sua para verificar se vamos ter a necessidade de  compra do kit completo de aplicação de seal para a sigma. Estamos trocando um selo que já aplicamos aqui na planta por um outro selo onde não temos ele fisicamente aqui na planta, e gostaria de saber se o mesmo kit será possível ou não efetuar esta aplicação.
Estou enviando para você algumas informações sobre os selos abaixo:
Segue os dados do selo que temos aqui na planta:
•	Aplicação em bitola de 0,50mm² FLRYA
•	p/n do fornecedor do selo : E1644-01 (pink) cable seal;
•	p/n lear : 3204509J9
•	Desenho em anexo.
Segue os dados do selo que iremos aplicar no lugar do 3204509J9:
•	Aplicação em bitolas de 0,50mm²
•	p/n fornecedor do selo : FY050-11373 (pink) cable seal;
•	p/n lear : E09876700;
•	Desenho em anexo
</t>
    </r>
    <r>
      <rPr>
        <sz val="12"/>
        <color theme="1"/>
        <rFont val="Calibri"/>
        <family val="2"/>
        <scheme val="minor"/>
      </rPr>
      <t xml:space="preserve">Segue abaixo a necessidade:
•	01 kit completo de aplicação de selo composto por vibradora e conjunto de inserção.
Infelizmente para este selo não é possível identificar o conjunto de aplicação, comparando os desenhos, os mesmos mostram que não são da mesma família tendo variação no dimensional e somente é possível identificar se conseguimos ou não a aplicação com nossos kits que temos em produção através de testes.
Por este motivo será necessário o investimento.
</t>
    </r>
    <r>
      <rPr>
        <sz val="11"/>
        <color theme="1"/>
        <rFont val="Calibri"/>
        <family val="2"/>
        <scheme val="minor"/>
      </rPr>
      <t xml:space="preserve">
Fico ao dispor para maiores detalhes se necessário.
Boa tarde.
Retificando.
De acordo com nosso fornecedor, o selo apresentado não é compatível com nossos equipamentos podendo gerar problemas de qualidade na aplicação, portanto, favor considerar como no feasible esta CR.
CR reprovada para engenharia de processos corte/lead prep.</t>
    </r>
  </si>
  <si>
    <t>20/04/2022
22/04/2022
27/04/2022</t>
  </si>
  <si>
    <t>15:24:00
16:15
12:44
12:45</t>
  </si>
  <si>
    <t>GEM - ENGINE</t>
  </si>
  <si>
    <t>Boa tarde.
De acordo com nosso fornecedor, o selo apresentado não é compatível com nossos equipamentos podendo gerar problemas de qualidade na aplicação, portanto, favor considerar como no feasible esta CR.
CR reprovada para engenharia de processos corte/lead prep.</t>
  </si>
  <si>
    <t>CR-0124056-00</t>
  </si>
  <si>
    <t>CR-0124063-00</t>
  </si>
  <si>
    <t>CR-0124090-00</t>
  </si>
  <si>
    <t>CR-0124096-00</t>
  </si>
  <si>
    <t>GEM – MY2024 - PPV - Front Door</t>
  </si>
  <si>
    <t>CR-0124062-00</t>
  </si>
  <si>
    <t>CR-0124061-00</t>
  </si>
  <si>
    <t>CR-0124088-00</t>
  </si>
  <si>
    <t>CR-0124086-00</t>
  </si>
  <si>
    <t>CR-0124084-00</t>
  </si>
  <si>
    <t>CR-0124072-00</t>
  </si>
  <si>
    <t>CR-0124060-00</t>
  </si>
  <si>
    <t>CR-0124175-00</t>
  </si>
  <si>
    <t>GEM – MY2024 - PPV - ENGINE</t>
  </si>
  <si>
    <t>CR-0124201-00</t>
  </si>
  <si>
    <t>GEM –  LIFTGATE</t>
  </si>
  <si>
    <t>CR-0124166-00</t>
  </si>
  <si>
    <t>CR-0124184-00</t>
  </si>
  <si>
    <t>CR-0124185-00</t>
  </si>
  <si>
    <t>CR-0124186-00</t>
  </si>
  <si>
    <t xml:space="preserve">Change CPA from 3219505D5 (Aptiv, 12160437) to E07432200 (Hulane, 306216014ACL)
SEM NECESSIDADE DE INVESTIMENTO </t>
  </si>
  <si>
    <t>CR-0124189-00</t>
  </si>
  <si>
    <t>Bom dia.
De acordo com nosso fornecedor, o selo apresentado não é compatível com nossos equipamentos podendo gerar problemas de qualidade na aplicação, portanto, favor considerar como no feasible esta CR.
CR reprovada para engenharia de processos corte/lead prep.</t>
  </si>
  <si>
    <t>CR-0124299-00</t>
  </si>
  <si>
    <t>GEM – MY2024 - PPV - CONSOLE</t>
  </si>
  <si>
    <t>CR-0124308-00</t>
  </si>
  <si>
    <t xml:space="preserve">Troca de cavity seal
sem necessidade de investimento
</t>
  </si>
  <si>
    <t>CR-0124658-00</t>
  </si>
  <si>
    <t>SORP - VS30 Release 2022_01</t>
  </si>
  <si>
    <t>CR-0124670-00</t>
  </si>
  <si>
    <t>GEM – MY2024 - MV - Engine</t>
  </si>
  <si>
    <t>Favor considerar:
•	Um conjunto de guias para corte de tubos, valor aproximado de R$7000,00 Necessidade devido ao tipo e diâmetro utilizado.
•	Scrap : R$320,12
•	Fica também condicionado a uma validação do corte de tubos na máquina.</t>
  </si>
  <si>
    <t>CR-0124988-00</t>
  </si>
  <si>
    <t>GEM – MY2023 -Body</t>
  </si>
  <si>
    <t>troca de conector
sem necessidade de investimento</t>
  </si>
  <si>
    <t>CR-0124991-00</t>
  </si>
  <si>
    <t>GEM – MY2024 - Body</t>
  </si>
  <si>
    <t>TROCA DE TERMINAL E CONECTOR
Favor considerar:
•            1 mini aplicador modelo Mecal MRSJ 1 para o terminal E07424100 . (Motivo :não temos este aplicador na planta. Terminal novo.)
•            1 Validação  conforme norma USCAR 21. 0,35 mm²)
•            Scrap R$389,25</t>
  </si>
  <si>
    <t>3 validações de Splice conforme norma USCAR 45.
sem necessidde de investimento para a CR. Emial enviado no dia 17/02/2022 às 09:45 hs. Já temos estas validações de USCAR 45</t>
  </si>
  <si>
    <t>CR-0124998-00</t>
  </si>
  <si>
    <t>GEM – MY2024  -MVBNS - REAR DOOR</t>
  </si>
  <si>
    <t>CR-0124946-00</t>
  </si>
  <si>
    <t>Troca do terminal E04004100 para o terminal E07424100.
Favor considerar:
•	1 mini aplicador modelo Mecal MRSJ 1 para o terminal E07424100 . (Motivo: terminal novo.
•	1 validação conforme norma USCAR21
•	Scrap R$1154,23</t>
  </si>
  <si>
    <t>CR-0124945-00</t>
  </si>
  <si>
    <t>Troca do terminal E04004100 para o terminal E07424100.
Favor considerar:
•	1 mini aplicador modelo Mecal MRSJ 1 para o terminal E07424100 . (Motivo: terminal novo.
•	1 validação conforme norma USCAR21
•	Scrap R$1154,23
Esta ferramenta já foi considerada na CR-0124946-00</t>
  </si>
  <si>
    <t>CR-0125197-00</t>
  </si>
  <si>
    <t>VS30-AS - Body 2022  SORP</t>
  </si>
  <si>
    <t>CR-0125200-00</t>
  </si>
  <si>
    <t xml:space="preserve">apenas adiciona clip
sem necessidade de investimento </t>
  </si>
  <si>
    <t>Verificar oporque o terminal atual não é o mesmo do terminal que está efetuando a troca.
Recebido um e-mail do Saulo NO DIA 09/05/2022 ÀS 11:26 para considerar oque está na CR
Troca do terminal E04004100 para o terminal E07424100.
Favor considerar:
•	1 mini aplicador modelo Mecal MRSJ 1 para o terminal E07424100 . (Motivo: terminal novo.
•	1 validação conforme norma USCAR21
•	Scrap R$1154,23
Esta ferramenta já foi considerada na CR-0124946-00</t>
  </si>
  <si>
    <t>CR-0125089-00</t>
  </si>
  <si>
    <t>GEM – MY2024 - Engine</t>
  </si>
  <si>
    <t>Está sendo adicionado nesta CR alguns circuitos, tubos , multicrimp e splice, porém, todos os circuito são iguais aos que temos na planta.
Sem necessidade de investimento para a CR</t>
  </si>
  <si>
    <t>•	Necessário teste de validação para todas as configurações conforme norma GMW17136 (Bubble test).
•	Scrap : R$725,16
CR aprovada sob condicionamento de liberação das validações. Desenho não disponível no SEM.</t>
  </si>
  <si>
    <t>CR-0125146-00</t>
  </si>
  <si>
    <t>CR-0125384-00</t>
  </si>
  <si>
    <t>GEM – MY2023 - BODY</t>
  </si>
  <si>
    <t xml:space="preserve"> VS30-AS - Body 2022  SORP</t>
  </si>
  <si>
    <t>Muda comprimento do cabo, tubo corrugado -de E15481600 para E15481200, mas já temos este tubo em produção. Entra uma  SPLICE COM TRES CABOS DE 0,50 MM², mas já temos  a validação.
Favor considerar:
•	Scrap de cabos : R$1326,54
•	Scrap de tubos : R$60,00</t>
  </si>
  <si>
    <t>CR-0125147-00</t>
  </si>
  <si>
    <t>GEM – MY2023 - IP</t>
  </si>
  <si>
    <t>Troca apenas a bitola de uma multicrimp 
Favor considerar:
•	01 validação conforme norma USCAR 38
•	SCRAP : R$735,21</t>
  </si>
  <si>
    <t>CR-0125090-00</t>
  </si>
  <si>
    <t>GEM – MY2024/PPV - Engine</t>
  </si>
  <si>
    <t>Troca do termo encolhível de E14168600 para E05900900.
Favor considerar:
•	08 validações conforme norma GMW17136
•	SCRAP : R$726,15</t>
  </si>
  <si>
    <t>CR-0125145-00</t>
  </si>
  <si>
    <t>GEM – MY2023 - Body</t>
  </si>
  <si>
    <t>11/05/2022
13/05/2022</t>
  </si>
  <si>
    <t>Boa tarde. 
CR reprovada para engenharia de processos corte/lead prep. Terminal de multicrimp p/n - E15132900 Não é compatível com a configuração do cabo a ser aplicado.
Confomrme informação do Alexsandro no dia 12/05/2022 às 08:06 foi pedido para desconsiderar a aba  multicrimp.
neste caso 
Baseado na resposta do Alexandro, estou desconsiderando a parte do Delta multicrimps.
Favor considerar:
•	Scrap : R$ 1632,54 motivo - troca dos circuitos das splices.</t>
  </si>
  <si>
    <t>VS30-AS - 2022  SORP</t>
  </si>
  <si>
    <t>CR-0125636-00</t>
  </si>
  <si>
    <t>Está entrando um subassembly. Conector com cabo trançado.
Sem necessidade de investimento</t>
  </si>
  <si>
    <t>CR-0124195-00</t>
  </si>
  <si>
    <t>GEM – MY2024/PPV -  Body</t>
  </si>
  <si>
    <t xml:space="preserve">Troca de termoaencolhível de E16718500 (CGY, 50mm, 125°C, 5,75 ID) to 3299362G2 (TE, 50mm, 110°, 6 ID) 
Favor considerar:
•	34 validações conforme norma GMW17136 e GMW15491;
•	SCRAP : R$3060,00
</t>
  </si>
  <si>
    <t>CR-0125608-00</t>
  </si>
  <si>
    <t>CR reprovada para engenharia de processos corte/lead prep. Terminal de multicrimp p/n - E15132900 Não é compatível com a configuração do cabo a ser aplicado.
Não estou considerando na cut sheet o Delta multicrimps conforme informação do Alexandro.
Net caso, sem necessidade de investimento para engenharia corte/lead prep.</t>
  </si>
  <si>
    <t>13/05/2022
16/05/2022</t>
  </si>
  <si>
    <t>09:42:00
09:57</t>
  </si>
  <si>
    <t>GEM – MY2024/PPV - IP</t>
  </si>
  <si>
    <t>CR-0125625-00</t>
  </si>
  <si>
    <t xml:space="preserve">Troca do tubo termoencolhível de E16718500 (CGY, 50mm, 125°C, 5,75 ID) para  3299362G2
Bom dia.
Favor considerar:
•	34 validações conforme norma GMW17136 e GMW15491;
•	SCRAP : R$3060,00 </t>
  </si>
  <si>
    <t>CR-0125626-00</t>
  </si>
  <si>
    <t>GEM – MY2024/PPV - FRONT DOOR</t>
  </si>
  <si>
    <t>troca do  termoencolhível de E16718500 (CGY, 50mm, 125°C, 5,75 ID) to 3299362G2 (TE, 50mm, 110°, 6 ID) 
Bom dia.
Favor considerar:
•	06 validações conforme norma GMW17136 e GMW15491; (validação interna)
•	SCRAP : R$375,00</t>
  </si>
  <si>
    <t>Toca de termo encolhível de E16718500 (CGY, 50mm, 125°C, 5,75 ID) to 3299362G2 (TE, 50mm, 110°, 6 ID) 
Bom dia.
CR com inconsistência na aba Cut sheet delta multicrimps. Bitolas acima da capacidade de aplicação do terminal.
@Melo, Marcos, poderia avaliar para mim por favor?
Fico no aguardo de sua resposta para depois, passar as necessidades.
Desconsiderando os Deltas multicrimps e Splice, favor considerar:
•	25 validações conforme norma GMW17136 e GMW15491;
•	SCRAP : R$2060,00</t>
  </si>
  <si>
    <t>16/05/2022
18/05/2022</t>
  </si>
  <si>
    <t>07:33:00
07:31</t>
  </si>
  <si>
    <t>11:18:00
08:01</t>
  </si>
  <si>
    <t>RECR-0126140-00</t>
  </si>
  <si>
    <t>: GEM – MY2023 - MVBs - ENGINE</t>
  </si>
  <si>
    <t xml:space="preserve">Tear down
sem necessidade de invetimento </t>
  </si>
  <si>
    <t>CR-0124194-00</t>
  </si>
  <si>
    <t>Favor considerar:
•	Scrap R$1021,00 ( devido a modificação do circuito 9 e 9B)</t>
  </si>
  <si>
    <t xml:space="preserve">CR-0125928-00 </t>
  </si>
  <si>
    <t>Favor considerar:
•	Scrap R$1151,00 ( devido a modificação do circuito 9 e 9B)</t>
  </si>
  <si>
    <t xml:space="preserve">CR-0126155-00 </t>
  </si>
  <si>
    <t>Favor considerar:
Scrap : R$725,30</t>
  </si>
  <si>
    <t>CR-0126532-00</t>
  </si>
  <si>
    <t>VS30-AS - Body 2021_2 SORP</t>
  </si>
  <si>
    <t>Favor considerar:
•	01 kits de aplicação de selo completo para estação de selo S1441G. (selo novo)                Valor aproximado de R$50000,00
•	01 kits de aplicação de selo completo para estação de selo S1441.   (selo novo)                Valor aproximado de R$50000,00
•	01 mini aplicador heavy gauge Mecal para o terminal 3202598Y0    (Terminal novo)               Valor aproximado de R$22000,00
•	01 mini aplicador TE para o terminal E06899700.                                  (Terminal novo)               Valor aproximado de R$7000,00
•	02 validação conforme norma VS30 ( VALIDAÇÃO FEITA NO FORNECEDOR)                         Valor aproximado de R$50000,00
•	Scrap  R$ 475,00  de amostras de validação.</t>
  </si>
  <si>
    <t>CR-0124197-00</t>
  </si>
  <si>
    <t>Apenas tres derivativos são removisos.
Sem impacto 
favor considerar:  scrap R$2354,21</t>
  </si>
  <si>
    <t>CR-0126611-00</t>
  </si>
  <si>
    <t>Favor considerar:
•	01 validação conforme norma USCAR 38;
•	SCRAP r$825,14</t>
  </si>
  <si>
    <t>CR-0126597-00</t>
  </si>
  <si>
    <t>sem necessidade de investimento.</t>
  </si>
  <si>
    <t>CR-0126140-01</t>
  </si>
  <si>
    <t>GEM – MY2023 / MVBS - IP</t>
  </si>
  <si>
    <t>CR-0125636-01</t>
  </si>
  <si>
    <t>CR-0127814-00</t>
  </si>
  <si>
    <t>Sem necessidade de investimento para a CR acima</t>
  </si>
  <si>
    <t>CR-0128071-00</t>
  </si>
  <si>
    <t>Troca de comprimento de tubo de borracha que corta na máquinaPS9550
Sem necessidade de investimento para a CR acima</t>
  </si>
  <si>
    <t>CR-0128076-00</t>
  </si>
  <si>
    <t>A alteração se trata apenas da inclusão de uma nota no desenho do Body, não afetando labor, CUT e BOM
sem necessidade de investimento para a CR</t>
  </si>
  <si>
    <t>CR-0128082-00</t>
  </si>
  <si>
    <t>conforme e-mail do Willian Naves, esta CR foi cancelada e será enviada outra CR 01</t>
  </si>
  <si>
    <t>CR-0128071-01</t>
  </si>
  <si>
    <t>VS30-SA - Body 2021-2  SORP</t>
  </si>
  <si>
    <t>Troca de comprimento de tubo de borracha que corta na máquina PS9550
Sem necessidade de investimento para a CR acima
JÁ REPORTADO NA CR-0128071-00</t>
  </si>
  <si>
    <t>CR-0128083-00</t>
  </si>
  <si>
    <t>AEHJ2022_01-2054w, apenas estpa inserindoa troca de relê no desenho 2D.
Sem necessidade de investimento para a CR.</t>
  </si>
  <si>
    <t>CR-0128086-00</t>
  </si>
  <si>
    <t>CR-0128082-01</t>
  </si>
  <si>
    <t>Cable length between CL001_24354 and CL002_24354 was shortened from 195mm to 170mm
Sem necessidade de investimento para a CR. Apenas scrap de R$498,62</t>
  </si>
  <si>
    <t xml:space="preserve">Manter oque foi respondido anteriormente </t>
  </si>
  <si>
    <t>CR-0128176-00</t>
  </si>
  <si>
    <t>Favor considerar:
•	Scrap : R$784,64
Com relação ao circuito especificado abaixo, hoje já estamos fazendo com o comprimento de 5300 mm de acordo com o UCS.</t>
  </si>
  <si>
    <t>CR-0128372-00</t>
  </si>
  <si>
    <t>Troca de relê
sem necessidade de investimento</t>
  </si>
  <si>
    <t>21/06/2022
22/06/2022</t>
  </si>
  <si>
    <t>08:14:00
10:59</t>
  </si>
  <si>
    <t>Bom dia.
CR reprovada por engenharia corte/lead prep.
Especificação de T1 - E15481200 (17) não é a mesma que usamos atualmente, o part number do tubo usado atualmente é E15480900. Os novos comprimentos que estão sendo modificados também não condiz com o atual, estes novos comprimentos já estão em produção.
*De acordo com Iago, estamos apenas acertando os part numbers de acordo com o desenho. Neste caso, estaremos acertando e modificando o tubo T1 onde vai ser stock in use.
Retificando:
Sem necessidade de investimento para a CR acima.</t>
  </si>
  <si>
    <t>CR-0128529-00</t>
  </si>
  <si>
    <t>GEM – MY2024 - MVBS - ROOF</t>
  </si>
  <si>
    <t>Está entrando um tubo, porém já vem cortado.
sem necessidade de investimento</t>
  </si>
  <si>
    <t>CR-0129035-00</t>
  </si>
  <si>
    <t>04/072022</t>
  </si>
  <si>
    <t>CR-0124199-00</t>
  </si>
  <si>
    <t>GEM – MY2024  - MVBs - Body</t>
  </si>
  <si>
    <t>Troca terminal de 320272164 para E03457800 (já temos esta ferramenta) . Troca nome da splice- entra algumas multicrimps.
Favor considerar: 
Scrap: R$812,00</t>
  </si>
  <si>
    <t>CR-0124198-00</t>
  </si>
  <si>
    <t>Troca do circuito 9B onde vai ser aplicado o terminal 3202577Z3 no lugar da splice e troca o comprimento também.
Tem que ser verificado em qual máquina vai ser aplicado. Temos 5 aplicadores
Temos troca de comprimento de tubo corrugado e splice.
Favor considerar:	Scrap : 1345,20</t>
  </si>
  <si>
    <t>Troca d o comprimento de wire.
Temos troca de comprimento de tubo corrugado e splice.
Favor considerar:	Scrap : 932,45</t>
  </si>
  <si>
    <t>CR-0129203-00</t>
  </si>
  <si>
    <t>CR-0124199-01</t>
  </si>
  <si>
    <t>Favor manter a mesma resposta do e-mail anterior da CR-0124199-00  com o scrap de : 1345,20.</t>
  </si>
  <si>
    <t>CR-0130205-00</t>
  </si>
  <si>
    <t>Tear Down
Sem necessidade de investimento para engenharia corte/lead prep.</t>
  </si>
  <si>
    <t>CR-0129155-00</t>
  </si>
  <si>
    <t>GEM – MY2023 IP</t>
  </si>
  <si>
    <t>•	Sem necessidade de investimento para engenharia corte/lead prep.</t>
  </si>
  <si>
    <t>CR-0129156-00</t>
  </si>
  <si>
    <t>CR-0129204-00</t>
  </si>
  <si>
    <t>GEM – MY2023 Body</t>
  </si>
  <si>
    <t>Body- MY2024-PPV</t>
  </si>
  <si>
    <t>CR-0124200-00</t>
  </si>
  <si>
    <t>Apenas troca de fitas.
Sem necessidade de investimento</t>
  </si>
  <si>
    <t>CR-0130264-00</t>
  </si>
  <si>
    <t>CR-0130236-00</t>
  </si>
  <si>
    <t xml:space="preserve"> GEM – MY2024 - MVBs - Body</t>
  </si>
  <si>
    <t>Troca do terminal de E02842200 para 3202585H5
Temos 7 ferramentas na planta
Sem necessidade de investimento</t>
  </si>
  <si>
    <t>CR-0130240-00</t>
  </si>
  <si>
    <t>GEM – MY2024 - MVBNs - IP Ext</t>
  </si>
  <si>
    <t>Troca de fitas.
Sem encessidade de investimento</t>
  </si>
  <si>
    <t>CR-0130244-00</t>
  </si>
  <si>
    <t xml:space="preserve">GEM – MY2024 - MVBNs - REAR DOORS </t>
  </si>
  <si>
    <t>CR-0124198-01</t>
  </si>
  <si>
    <t>De acordo com o que foi informado na CR_0124198-00, Favor considerar:           
•	Scrap : 932,45</t>
  </si>
  <si>
    <t>CR-0129203-01</t>
  </si>
  <si>
    <t>Conforme foi informado na C0129203-00,
Favor considerar:	Scrap : 1345,20</t>
  </si>
  <si>
    <t>CR-0129204-01</t>
  </si>
  <si>
    <t>Troca muitos comprimentos de circuitos, splice e multicrimps
Favor considerar:
•	Scrap :  R$ 1259,26</t>
  </si>
  <si>
    <t>CR-0129156-01</t>
  </si>
  <si>
    <t>Adiciona derivativos, muda splice e multicrimp que já são cadastradas.
•	Sem necessidade de investimento para engenharia corte/lead prep.</t>
  </si>
  <si>
    <t>CR-0129155-01</t>
  </si>
  <si>
    <t>GEM – MY2024 - MVBs - IP</t>
  </si>
  <si>
    <t>CR-0130253-00</t>
  </si>
  <si>
    <t>GEM – MY2024-PPV - IP</t>
  </si>
  <si>
    <t>Troca de fita.
Sem necessidade de investiomento</t>
  </si>
  <si>
    <t>CR-0130514-00</t>
  </si>
  <si>
    <t>GEM – MY2024 - MVBNs - ENGINE</t>
  </si>
  <si>
    <t>CR-0130644-00</t>
  </si>
  <si>
    <t>CR é apenas MVA, com ajuste sistêmico de material, portanto, não afeta tecnicamente a produção. (MVA application for BODY HARNESS)
Sem necessidade de investimento para engenharia Corte / lead prep</t>
  </si>
  <si>
    <t>CR-0130724-00</t>
  </si>
  <si>
    <t>Apenas WLL
Favor considerar:
•	Scrap : R$2246,49</t>
  </si>
  <si>
    <t>CR-0130842-00</t>
  </si>
  <si>
    <t>VS30-SA- 2022  SORP - IP</t>
  </si>
  <si>
    <t>CR é apenas MVA, com ajuste sistêmico de material, portanto, não afeta tecnicamente a produção. (2. MVA application for IP HARNESS )
Sem necessidade de investimento para engenharia Corte / lead prep</t>
  </si>
  <si>
    <t>CR-0130877-00</t>
  </si>
  <si>
    <t>VS30-SA- 2022  SORP - AUTARKE</t>
  </si>
  <si>
    <t>está entrando dois cirtcuitos do Autark - 490 e 491. já temos a ferramenta.
Sem necessidade de investimento.</t>
  </si>
  <si>
    <t>CR-0130919-00</t>
  </si>
  <si>
    <t>WLL de circuitos e troca de uma splice para um circuito normal.
Favor considerar :
scrap :  R$916,55</t>
  </si>
  <si>
    <t>CR-0130941-00</t>
  </si>
  <si>
    <t>: VS30-AS - Body 2022  SORP</t>
  </si>
  <si>
    <t>Apenas modificação de comprimento de circuito ( WLL)
FAVOR CONSIDERAR R$5662,41</t>
  </si>
  <si>
    <t>CR-0131333-00</t>
  </si>
  <si>
    <t>SPIN – MY2025 - IVER  - SEAT DRIVER/CO-DRIVER Harness - LICENSE PLATE Harness - CONSOLE Harness</t>
  </si>
  <si>
    <t>SPIN</t>
  </si>
  <si>
    <t>No delta Cut 52169548 temos uma troca de terminal e selo em dois circuitos. Tanto o terminal e selo são novos e exclusivos para o projeto. Para a troca de terminal ainda podemos não considerar a compra de mini aplicador porque ainda não foi feito as PO para compra e temos tempo de substituir para o terminal novo. Já para o selo será necessário a compra de um kit de aplicação porque o selo anterior ainda vai ficar ativo no projeto.
Favor considerar:
•	01  kit de calha de selo para MCI 765.</t>
  </si>
  <si>
    <t>CR-0131336-00</t>
  </si>
  <si>
    <t>VS30-SA- 2022_02  SORP - IP</t>
  </si>
  <si>
    <t>Boa tarde.
Está sendo trocado o terminal E00029155 para o terminal E00029139 para o circuito 3141 e 3142, porém, já temos a ferramenta.
Está sendo trocado o terminal 320261381 para o terminal E25482900 para o circuito 3141 e 3142 e também temos a ferramenta.
Está entrando no terminal 2” no circuito 3037 o terminal 320261050 porém também temos a ferramenta disponível.
Favor considerar:
•	Scrap : R$ 459,86</t>
  </si>
  <si>
    <t>CR-0131510-00</t>
  </si>
  <si>
    <t>SPIN – MY2025 - IVER  - Engine</t>
  </si>
  <si>
    <t>Troca do terminal 320151FH5 para E37297900 no circuito 1850, o terminal 320151FH5 usa em outros circuitos.
Bom dia.
Favor considerar:
•	01 mini aplicador MRSJ1 Std para o terminal E37297900.
•	Scrap R$253,87</t>
  </si>
  <si>
    <t>Conforme conversamos, devemos considerar porque é um terminal novo.
Favor considerar:
•	01 mini aplicador MRSJ1 Std para o terminal E37297900.
•	01 validação conforme Norma USCAR 21
•	Scrap R$253,87</t>
  </si>
  <si>
    <t>CR-0131470-00</t>
  </si>
  <si>
    <t>VS30-SA- 2022_02  SORP - DOOR</t>
  </si>
  <si>
    <t>CR está sendo deletado  módulos.
Favor considerar:
•	Scrap : R$ 525,08</t>
  </si>
  <si>
    <t>CR-0131640-00</t>
  </si>
  <si>
    <t>GEM – MY2023 - MVBs - IP</t>
  </si>
  <si>
    <t>wll de circuitos. Stock in use.
sem necessidade de investimento para engenharia corte / lead prep.</t>
  </si>
  <si>
    <t>CR-0131440-00</t>
  </si>
  <si>
    <t>SPIN – MY2025 - IVER  - IP</t>
  </si>
  <si>
    <t>Troca terminal, porém, o outro terminal já está na cut.
Sem necessdade de investimento para engenharia Corte / Lead prep.</t>
  </si>
  <si>
    <t>CR-0124199-02</t>
  </si>
  <si>
    <t>GEM – MY2024 - MVBs  - Body</t>
  </si>
  <si>
    <t>CR Cancelada.
Revisão 03 já gerada.
Irei enviar ainda hoje para analise</t>
  </si>
  <si>
    <t>CR-0131401-00</t>
  </si>
  <si>
    <t>Troca de commprimento de circuitos, porém não está no UCS.
Troca de bitola total de splice, porém já temos outros iguais aqui na planta.
Sem necessidade de investimento para engenharia Corte/Lead prep.</t>
  </si>
  <si>
    <t>CR-0131347-00</t>
  </si>
  <si>
    <t>GEM – MY2023  - Body</t>
  </si>
  <si>
    <t>Sem necessidade de investimento para engenharia Corte/Lead prep.</t>
  </si>
  <si>
    <t>CR-0129203-02</t>
  </si>
  <si>
    <t>GEM – MY2024 - MVBs - Body</t>
  </si>
  <si>
    <t>CR Cancelada.
Revisão 03 já gerada.
Irei enviar ainda hoje para analise.</t>
  </si>
  <si>
    <t>CR-0129155-02</t>
  </si>
  <si>
    <t>Sem necessidade de investimento para engenharia Corte / Lead prep.</t>
  </si>
  <si>
    <t>CR-0131734-00</t>
  </si>
  <si>
    <t>apenas TLL
Sem necessidade de inverstimento</t>
  </si>
  <si>
    <t>CR-0131402-00</t>
  </si>
  <si>
    <t>GEM – MY2024 - MVBs - BODY</t>
  </si>
  <si>
    <t>Sem necessidade de inverstimento</t>
  </si>
  <si>
    <t>CR-0124199-03</t>
  </si>
  <si>
    <t>CR-0131403-00</t>
  </si>
  <si>
    <t>CR-0129203-03</t>
  </si>
  <si>
    <t>Favor considerar:
•	Scrap – R$4716,27  Total de 58 circuitos com modificação de comprimento. Estou utilizando uma média de 10% de scrap já considerando produção.</t>
  </si>
  <si>
    <t>CR-0131665-00</t>
  </si>
  <si>
    <t>Favor considerar:
•	Scrap – R$ 1324,63</t>
  </si>
  <si>
    <t>CR-0131400-00</t>
  </si>
  <si>
    <t>CR-0131440-01</t>
  </si>
  <si>
    <t>SPIN – MY2025 - IVER - IP</t>
  </si>
  <si>
    <t>CR-0131877-00</t>
  </si>
  <si>
    <t xml:space="preserve">VS30-SA- 2022  SORP - </t>
  </si>
  <si>
    <t>Está saindo o terminal de anilha do polvo pn- E16666500 
aguardando o Willian para veirficar a aplicação</t>
  </si>
  <si>
    <t>VS30-SA- 2022  SORP</t>
  </si>
  <si>
    <t>CR-0131926-00</t>
  </si>
  <si>
    <t>CR-0131929-00</t>
  </si>
  <si>
    <t>Troca de clip tie
sem necessidade de investimento</t>
  </si>
  <si>
    <t>CR-0131932-00</t>
  </si>
  <si>
    <t>CR-0131404-01</t>
  </si>
  <si>
    <t>CR-0131933-00</t>
  </si>
  <si>
    <t>Sem necessidade de investimento para engenharia corte/lead prep.</t>
  </si>
  <si>
    <t>CR-0131935-00</t>
  </si>
  <si>
    <t>Troca do tubocorrugado de PN: E15481600 de diâmetro 25,5mm to PN: E21429600 de diâmetro 18,55mm
Já temos este tubo no GEM.
Sem necessidade de investimento para engenharia corte / lead prep</t>
  </si>
  <si>
    <t>CR-0131727-00</t>
  </si>
  <si>
    <t>Remove spot tape (E00291600, Coroplast, Fleece, 125°C, 19mm, Black) under clips on the body harness
Sem necessidade de investimento para engenharia corte/lead prep</t>
  </si>
  <si>
    <t>CR-0131813-00</t>
  </si>
  <si>
    <t>Troca de conector apenas.
GEM B NARROW BODY HARNESS 26415366 MY24 VAVE GEM-ROW-VAVE-929-000 Change Inline to POA FUEL Tank X304 - From: Molex MX150 Connector (E16792700, 16W, All Cavities opened) to Molex MX150 (E38187000, 16W, 
Sem necessidade de investimento para engenharia corte / lead prep</t>
  </si>
  <si>
    <t>CR-0131819-00</t>
  </si>
  <si>
    <t>GEM – MY2024 - MVBs   -  Body</t>
  </si>
  <si>
    <t>Troca de conector apenas.
GEM B NARROW BODY HARNESS 26415366 MY24 VAVE GEM-ROW-VAVE-930-000 Change Inline to POA FUEL Tank X304A - From: Molex MX150 Connector (E16799500, 8W, All Cavities opened) to Molex MX150 (E38187100, 8W, closed 
Sem necessidade de investimento para engenharia corte / lead prep</t>
  </si>
  <si>
    <t>CR-0132009-00</t>
  </si>
  <si>
    <t>VS30-SA- 2022  SORP - Body</t>
  </si>
  <si>
    <t>removendo spot tape e adicionando nota no conector.
. Removing white spot tape on branch E3/21*1_1-B (HECK) and adding note on connector X18/81*2-S
Sem necessidade de investimento para engenharia corte / lead prep.</t>
  </si>
  <si>
    <t>CR-0132042-00</t>
  </si>
  <si>
    <t>Adds a note on connector X30/20*1-B (BODY, FRONT topology) informing about the need to use the power distributor A0009820412 (E11197800). Component is already mounted in the harness, just note as a notification in the drawing.
Sem necessidade de investimento para engenharia corte / lead prep.</t>
  </si>
  <si>
    <t>Troca de tubo liso de PN: E10896800 diâmetro de 6,00mm  to PN: 127176154 diâmetro de 9,4mm
Verificar se temos ferramental para efetuar o corte deste tubo, se não precisar,
Sem necessidade de investimento para engenharia corte/lead prep</t>
  </si>
  <si>
    <t>CR-0131510-01</t>
  </si>
  <si>
    <t>Troca de terminal por outro,porém, já temos no projeto.
Sem necessidade de investimento para engenharia corte / lead prep.
Bom dia.
Favor desconsiderar o e-mail anterior.
Segue abaixo:
Favor considerar:
•	01 mini aplicador MRSJ1 Std para o terminal E37297900 conforme foi enviado na CR-0131510-00.
•	01 validação conforme Norma USCAR 21
•	Scrap R$253,87</t>
  </si>
  <si>
    <t>10:21:00
10:31</t>
  </si>
  <si>
    <t>CR-0131983-00</t>
  </si>
  <si>
    <t>Troca de fita de PVC.
Sem necessidade de investimento para engenharia CORTE / Lead prep</t>
  </si>
  <si>
    <t>CR-0131978-00</t>
  </si>
  <si>
    <t>CR-0131997-00</t>
  </si>
  <si>
    <t>Remoção de fita de PVC.
Sem necessidade de investimento para engenharia CORTE / Lead prep</t>
  </si>
  <si>
    <t>CR-0131998-00</t>
  </si>
  <si>
    <t>Troca de conector.
Sem necessidade de investiemento para engenharia corte / lead prep</t>
  </si>
  <si>
    <t>CR-0131999-00</t>
  </si>
  <si>
    <t>CR-0132152-00</t>
  </si>
  <si>
    <t>Troca do tizal.
Sem necessidade de investiemento para engenharia corte / lead prep</t>
  </si>
  <si>
    <t>CR-0131872-00</t>
  </si>
  <si>
    <t>CR-0132228-00</t>
  </si>
  <si>
    <t>GEM – MY2023 / MVBs - : Body</t>
  </si>
  <si>
    <t>WLL apenas.
Favor considerar:
•	Scrap : R$245,07</t>
  </si>
  <si>
    <t>CR-0132155-00</t>
  </si>
  <si>
    <t>CR-0132158-00</t>
  </si>
  <si>
    <t>GEM – MY2024 PPV - IP</t>
  </si>
  <si>
    <t>Change current Tyzall (129061017, Red, 310mm) by Gemini (E30572700, Red, 335mm)
Sem necessidade de investimento para engenharia corte / lead prep.</t>
  </si>
  <si>
    <t>CR-0132165-00</t>
  </si>
  <si>
    <t>GEM – MY2024 - MVBNs - Engine</t>
  </si>
  <si>
    <t>CR-0132136-00</t>
  </si>
  <si>
    <t>CR-0132138-00</t>
  </si>
  <si>
    <t>Remove Overlap Tape (Playmouth, E15837200, Cloth, 150°C, Black) from branches A638_X7 (On Star) and A638_X5 (On Star) - Option 1.
Sem necessidade de investimento para engenharia corte / lead prep.</t>
  </si>
  <si>
    <t>Change Overlap Tape for the branches A638_X7 (On Star) and A638_X5 (On Star) - From: (Playmouth, E15837200, Cloth, 150°C, Black) To: (Plymouth, E15837100, Fleece, 105°C, Black) - Option 2.
Sem necessidade de investimento para engenharia corte / lead prep.</t>
  </si>
  <si>
    <t>CR-0132140-00</t>
  </si>
  <si>
    <t>. Change Overlap Tape for the branches A638_X7 (On Star) and A638_X5 (On Star) - From: (Playmouth, E15837200, Cloth, 150°C, Black) To: (Certoplast, E07930900, Cloth, 125°C, Black) - Option 3
Sem necessidade de investimento para engenharia corte / lead prep.</t>
  </si>
  <si>
    <t>CR-0132292-00</t>
  </si>
  <si>
    <t>TLL 
Favor considerar:
•	Scrap: 455,35</t>
  </si>
  <si>
    <t xml:space="preserve">Está saindo o terminal de anilha do polvo pn- E16666500 
</t>
  </si>
  <si>
    <t>CR-0132309-00</t>
  </si>
  <si>
    <t>Redução de WLL.
Favor considerar:
•	Scrap : 1825,14</t>
  </si>
  <si>
    <t>CR-0131510-02</t>
  </si>
  <si>
    <t>SPIN – MY2025 - IVER - Engine</t>
  </si>
  <si>
    <t>Bom dia.
Sem necessidade de investimento para engenharia corte / lead prep.</t>
  </si>
  <si>
    <t>25/08/2022
25/08/2022</t>
  </si>
  <si>
    <t>11:09:00
11:15:00</t>
  </si>
  <si>
    <t>CR-0132099-00</t>
  </si>
  <si>
    <t>SPIN – MY2025 - IVER - Body</t>
  </si>
  <si>
    <t>CR-0131333-01</t>
  </si>
  <si>
    <t>11;26</t>
  </si>
  <si>
    <t>Favor considerar:
•	01 kit de aplicação de selo . valor aproximado de R$45000,00. Motivo - Selo E10690000 novo no projeto</t>
  </si>
  <si>
    <t>CR-0132540-00</t>
  </si>
  <si>
    <t>SPIN – MY2025 - IVER - BODY / LIFTGATE</t>
  </si>
  <si>
    <t>23/08/2022
30/08/2022</t>
  </si>
  <si>
    <t xml:space="preserve"> Estudo de VAVE para troca do terminal Ring de E02743600 para E37621700. Afeta Família do Body (4NB e 5HB).
@Costa Junior, Miguel Anastacio, esta CR está se a cut sheet. Para a troca do terminal E02743600 para o terminal E37621700  somente e possível para o circuito G15 - 2650; G16 e G17 – 1750. Para os outros circuitos não possui compatibilidade devido a bitola do cabo.
Poderiam avaliar se a troca é apenas para estes cabos mesmo?
Favor considerar para esta CR :
•	01 miniaplicador MRFPJ1, miniaplicador frontal pneumático.valor aproximado de R$ 8770,99 com ICMS e Pis/Cofins.
•	01 validação conforme norma USCAR21.
•	Scrap : R$ 953,02</t>
  </si>
  <si>
    <t>14:57:00
10:24</t>
  </si>
  <si>
    <t>CR-0131698-00</t>
  </si>
  <si>
    <t>Sem necessidade de investimetno para engenharia corte/ lead prep.</t>
  </si>
  <si>
    <t>CR-0132355-00</t>
  </si>
  <si>
    <t>MY2024</t>
  </si>
  <si>
    <t>CR-0132623-00</t>
  </si>
  <si>
    <t>GEM – MY2024 - PPV  - DRIVER DOOR</t>
  </si>
  <si>
    <t>Change terminal E16318300 (Aptiv, Male, 35091062, 1.2, Sn) by E16491700 (Sumitomo, Male, 8230-5752, 1.2, Sn) from connector E30524400 (S605DRIVER_EXT_X1)
Favor considerar:
•	01 miniaplicador MRSJ1 para o terminal E16491700.  Motivo : não temos este miniaplicador na planta.
•	01 validação conforme Norma USCAR21.</t>
  </si>
  <si>
    <t>De acordo com os dados passado pelo Matheus e Paula segue abaixo.
Não vamos considerar os kits de selos para estas aplicações. Os selos serão colocados manualmente e aplicados em prensa de bancada na área de lead prep.
Favor considerar:
•	01 miniaplicador Tyco para o terminal E35932700. Para aplicação na bitola de 0,50mm². Preço aproximado de R$7500,00
•	01miniaplicador Mecal para o terminal 3202598Y0, aplicação na bitola de 10,00mm². MRSPJ1, ou seja, lateral pneumático. Preço aproximado de R$ 10248,82
•	Scrap : R$1541,76.</t>
  </si>
  <si>
    <t>Entrando 66 circuitos novos com aplicaqção de terminal, splice , twister, porém, já termos aplicadores para isso.</t>
  </si>
  <si>
    <t>CR-0133089-00</t>
  </si>
  <si>
    <t>VS30-SA- 2024_1  SORP - Body/Autarke</t>
  </si>
  <si>
    <t>CR-0133104-00</t>
  </si>
  <si>
    <t>VS30-SA- 2024_1  SORP - Body</t>
  </si>
  <si>
    <t>Troca do tubo E15481000 de diâmetro externo de 15,8 mm por E15480800 de diâmetro externo de 11,9 mm.
Um conjunto de guias para corte de tubos, valor aproximado de R$7000,00 Necessidade devido ao tipo e diâmetro utilizado.
•	Scrap : R$320,12</t>
  </si>
  <si>
    <t>CR-0133209-00</t>
  </si>
  <si>
    <t>VS30-SA- 2022 - SORP - DOORS</t>
  </si>
  <si>
    <t>Três circuitos apenas estão trocando o termnal de 320258FW8 bitola de 2,5mm² para  E00020257, bitola de 2,5mm²
Não temos a ferramenta para esta palicação;
Favor considerar : Um mini aplicador Tyco Modelo OCEAN
                              Scrap : 789,25</t>
  </si>
  <si>
    <t>CR-0133632-00</t>
  </si>
  <si>
    <t xml:space="preserve">apenas redução no comprimento do tubo T64 do Engine.
sem necessidade de investimento </t>
  </si>
  <si>
    <t>CR-0133637-00</t>
  </si>
  <si>
    <t>GEM – MY2023 - MVBs Body</t>
  </si>
  <si>
    <t>WLL com stock in use
sem necessidade de investimento</t>
  </si>
  <si>
    <t>CR-0131400-01</t>
  </si>
  <si>
    <t>Sem necessidade de investimento para engenharia corte / lead prep.</t>
  </si>
  <si>
    <t>CR-0133801-00</t>
  </si>
  <si>
    <t>GEM – MY2023 - MVBs - ENGINE</t>
  </si>
  <si>
    <t>CR-0133959-00</t>
  </si>
  <si>
    <t>WLL, SEM NECESSIDADE DE INVESTIMENTO</t>
  </si>
  <si>
    <t>CR-0133955-00</t>
  </si>
  <si>
    <t>VS30-SA- 2022-2 - SORP - Body</t>
  </si>
  <si>
    <t>Entrando alguns circuitos, mas já temos as ferramentas
sem necessidade de investimento</t>
  </si>
  <si>
    <t>CR-0134283-00</t>
  </si>
  <si>
    <t>Retirado uma splice entra dois terminais no circuito 71,porém, já temos MA.
Sem necessidade de investimento</t>
  </si>
  <si>
    <t>CR-0134819-00</t>
  </si>
  <si>
    <t>CR-0135057-00</t>
  </si>
  <si>
    <t>apenas diminuição do ramal e está diminuindo alguns circuitos.
Favor considerar R$1598,26</t>
  </si>
  <si>
    <t>CR-0135091-00</t>
  </si>
  <si>
    <t>Troca do terminal 320272164 para E03457800 já temos a ferrramenta.
Sem necessidade de investimento</t>
  </si>
  <si>
    <t>CR-0135062-00</t>
  </si>
  <si>
    <t>Estou desconsiderando na cut sheet os valores de comprimento da aba wire sheet, e a aba  tube sheet, pois, segundo informações(@Neves, Matheus DE Moraes), já estamos produzindo atualmente.
Sem necessidade de investimento para engenharia corte/lead prep.</t>
  </si>
  <si>
    <t>CR-0135107-00</t>
  </si>
  <si>
    <t xml:space="preserve">  GEM – MY2023 - MVBs - Body</t>
  </si>
  <si>
    <t>Remove um spot tape
sem necessidade de investimento para engenharia corte/lead prep</t>
  </si>
  <si>
    <t>CR-0135116-00</t>
  </si>
  <si>
    <t>GEM – MY2023 - Running change - IP</t>
  </si>
  <si>
    <t>sem necessidade de investimento para engenharia corte/lead prep</t>
  </si>
  <si>
    <t>CR-0135080-00</t>
  </si>
  <si>
    <t>Relay A000 982 82 23 is replaced by A 002 542 88 19 at a position of F152*Kl30T-K. Just add the note in drawing 2D. This change is already included in the BOM, according to BR907_Sicherungs. Doesnt affect BOM, CUT and labor.
Sem necessidade de investiemnto para engenharia corte/lead prep</t>
  </si>
  <si>
    <t>CR-0133176-00</t>
  </si>
  <si>
    <t>GEM – MY2024 - MVBs - Engine</t>
  </si>
  <si>
    <t>Remove Spot Tape (E15837200) from Engine WH 52172425 - Requested by GM
Sem necessidade de investiemnto para engenharia corte/lead prep</t>
  </si>
  <si>
    <t>VS30-SA- 2022 - SORP - Body</t>
  </si>
  <si>
    <t>CR-0135319-00</t>
  </si>
  <si>
    <t xml:space="preserve">Relocation of branch X28/54*1-B and everything that involves it up to reference 150 Ref5. Optimized driver's side seat wiring connection for easier mounting.
Favor considerar:
•	Scrap: R$1824,30
</t>
  </si>
  <si>
    <t>CR-0135318-00</t>
  </si>
  <si>
    <t>Troca de um número apenas do terminal terra.
Sem necessidade de investimento para engenharia corte/ lead prep.</t>
  </si>
  <si>
    <t>CR-0135483-00</t>
  </si>
  <si>
    <t>Clip CL017_00082 is rotated 180° for BR907 LL. It just rotates clip already in the drawing
Sem necessidade de investimento para engenharia corte/ lead prep.</t>
  </si>
  <si>
    <t>CR-0135613-00</t>
  </si>
  <si>
    <t>Clip CL017_00082 is rotated 180° for BR907 LL. It just rotates clip already in the drawing.
Sem necessidade de investimento para engenharia corte/ lead prep.</t>
  </si>
  <si>
    <t>CR-0135846-00</t>
  </si>
  <si>
    <t>SPIN – MY2025 - APPV - Engine</t>
  </si>
  <si>
    <t>Troca de termoencolhível
Bom dia.
Em conversa com Naús e Vagner, decidimos inserir nesta CR os investimentos necessários, devido a não termos certeza de quando teremos este material aqui na planta para validarmos e se teremos a aprovação até a data de fevereiro da construção do chicote.
Favor considerar:
•	Validação  GMW 17136 – 13 Validações a R$3517,00 = R$45721,00
•	Scrap : R$146,25
Lembrando que será aprovado após os relatórios de aprovação assinados.</t>
  </si>
  <si>
    <t xml:space="preserve">CR-0135850-00 </t>
  </si>
  <si>
    <t>SPIN – MY2025 - APPV -License Plate</t>
  </si>
  <si>
    <t>Troca de termoencolhível
Bom dia.
Em conversa com Naús e Vagner, decidimos inserir nesta CR os investimentos necessários, devido a não termos certeza de quando teremos este material aqui na planta para validarmos e se teremos a aprovação até a data de fevereiro da construção do chicote.
Favor considerar:
•	Validação  GMW 17136 – 02 Validações a R$3517,00 = R$7034,00
•	Scrap : R$32,50
Lembrando que será aprovado após os relatórios de aprovação assinados.</t>
  </si>
  <si>
    <t>CR-0135853-00</t>
  </si>
  <si>
    <t>TLL, Diminuição do comprimento do tubo
Bom dia.
Favor considerar:
•	Scrap: R$213,00</t>
  </si>
  <si>
    <t>CR-0135852-00</t>
  </si>
  <si>
    <t>Bom dia.
Em conversa com Naús e Vagner, decidimos inserir nesta CR os investimentos necessários, devido a não termos certeza de quando teremos este material aqui na planta para validarmos e se teremos a aprovação até a data de fevereiro da construção do chicote.
Favor considerar:
•	Validação  GMW 17136 – 01 Validações = R$3517,00 
•	Scrap : R$16,25
Lembrando que será aprovado após os relatórios de aprovação assinados.</t>
  </si>
  <si>
    <t>CR-0135701-00</t>
  </si>
  <si>
    <t>SPIN – MY2025 - APPV - Liftgate</t>
  </si>
  <si>
    <t>Troca de fita 
sem necessidade de investimento para engenharia corte / lead prep</t>
  </si>
  <si>
    <t>CR-0135856-00</t>
  </si>
  <si>
    <t>Module and code change (creates new module)
Sem necessidade de investimento para engenharia corte/lead prep.</t>
  </si>
  <si>
    <t>CR-0135694-00</t>
  </si>
  <si>
    <t>CR-0135972-00</t>
  </si>
  <si>
    <t>VS30-SA- 2022_2 - SORP - Body</t>
  </si>
  <si>
    <t>Change from spiral tape to overlap tape in the area in front of the SG tachograph (A56*...).
Favor manter o que foi considerado na CR-0135853-00.</t>
  </si>
  <si>
    <t>CR-0136090-00</t>
  </si>
  <si>
    <t>Favor manter a mesma resposta da CR-0135856-00.</t>
  </si>
  <si>
    <t>CR-0136164-00</t>
  </si>
  <si>
    <t>GEM B NARROW I/P 52174448 1. Change Cavity Plug PN from 3299853NG to E18841700
Sem necessidade de investimento para engenharia corte/lead prep</t>
  </si>
  <si>
    <t>CR-0136000-00</t>
  </si>
  <si>
    <t>CR-0136218-00</t>
  </si>
  <si>
    <t>GEM – N/A</t>
  </si>
  <si>
    <t>Change Cavity Plug 329921217 by E36282200 - Relead indicated by the supplier ITW
sem necessidade de investimento para engenharia corte/lead prep</t>
  </si>
  <si>
    <t>CR-0135992-00</t>
  </si>
  <si>
    <t>GEM – 2024- MVBs - Body</t>
  </si>
  <si>
    <t>CR-0135994-00</t>
  </si>
  <si>
    <t>GEM – 2024- MVBs - IP</t>
  </si>
  <si>
    <t>CR-0135993-00</t>
  </si>
  <si>
    <t>Troca de termoencolhível por fita de polivinil.
GEM B NARROW BODY HARNESS 52174376 MY24 MVBS COST STUDY:
1. Change some Heatshrink tube PNs to splice tape 1271280Q0. (See mark-up)
Sem necessidade de investimento para engenharia corte/lead prep</t>
  </si>
  <si>
    <t>CR-0136225-00</t>
  </si>
  <si>
    <t>CR-0136226-00</t>
  </si>
  <si>
    <t>VS30-SA- 2022-2 - SORP - IP</t>
  </si>
  <si>
    <t>CR-0136227-00</t>
  </si>
  <si>
    <t>VS30-SA- 2022-2 - SORP - Doors</t>
  </si>
  <si>
    <t>3. Modification of TE heat shrink tubes to DSG Canusa (discontinuity),
4. The proposed heat shrink tube is a catalog item, we dont need to inform the customer about the change
Favor considerar:     •	Scrap : R$987,20
o	Condicionado a liberação dos testes e validação.</t>
  </si>
  <si>
    <t>3. Modification of TE heat shrink tubes to DSG Canusa (discontinuity),
4. The proposed heat shrink tube is a catalog item, we dont need to inform the customer about the change
Favor considerar:  •	Scrap : 1587,20
•	Condicionado a validação, teste e liberação.</t>
  </si>
  <si>
    <t>3. Modification of TE heat shrink tubes to DSG Canusa (discontinuity),
4. The proposed heat shrink tube is a catalog item, we dont need to inform the customer about the change
Favor considerar:  •	Scrap : R$1262,50
Necessário efetuar um cronograma para esta validação. Entrar nas reuniões de projeto para validação.</t>
  </si>
  <si>
    <t>CR-0136009-00</t>
  </si>
  <si>
    <t>Assunto: 1. GEM B NARROW BODY HARNESS 52174375 MY24 MVBS COST STUDY: 1. Change Heatshrink tube PN from 3299362G2 to E16718500.
2. Change Heatshrink tube PN from 3299362M9 to E16725300.
3. Change Heatshrink tube PN from 3299365JY to E16718900.
Favor considerar asseado na norma GMW15491
•	Validação GMW15491: R$66823,00
•	Scrap: 2978,00</t>
  </si>
  <si>
    <t>CR-0136153-00</t>
  </si>
  <si>
    <t>Assunto: 1. GEM B NARROW BODY HARNESS 52174375 MY24 MVBS COST STUDY: 1. Change terminal from 32025Y192 to 3202595P5.
2. Change terminal from 3202547K5 to 32025Y194.
3. Change terminal from 3202536X7 to E00000266.
4. Change terminal from 32025Y0VN to E00274300.
5. Change cavity plug from 3299853NG to E18841700.
Favor considerar:
•	04 mini aplicador - R$26500,00
•	05 validações USCAR 21 – R$16750,00
•	Scrap 232,00</t>
  </si>
  <si>
    <t>VERIFICAR COM OS RESPONSÁVEAssunto: 1. GEM B NARROW BODY HARNESS 52174376 MY24 MVBS COST STUDY: 1. Change Heatshrink tube PN from 3299362G2 to E16718500.
2. Change Heatshrink tube PN from 3299362M9 to E16725300.
3. Change Heatshrink tube PN from 3299365JY to E16718900IS 
Favor considerar:
•	08 validações USCAR 45 –     R$9040.00
•	01 validação USCAR 38 -       R$2380,00
•	19 validação GMW 17136 – R$66823,00
•	Scrap : R$453,20
Caso estas validações for iniciadas ainda no início do mês de dezembro deste ano, podemos desconsiderar estes investimentos, pois, já foi considerado na cotação, caso contrário, devemos manter.</t>
  </si>
  <si>
    <t>Troca de termoencolhível por fita de polivinil.
Assunto: 1. 1. GEM B NARROW I/P 52174448
1. Change some Heatshrink Tube PN from E16718500 to 1271280Q0
2. Change some Heatshrink Tube PN from 3299365JY to 1271280Q0
3. Change some Heatshrink Tube PN from E16725300 to 1271280Q0
Sem necessidade de investimento para engenharia corte/lead prep
Retificando.
Favor considerar:
•             Um dispensador automático de fitas R$22500,00</t>
  </si>
  <si>
    <t>13/10/2022
15/10/2022</t>
  </si>
  <si>
    <t>Troca de termoencolhível por fita de polivinil.
GEM B NARROW BODY HARNESS 52174375 MY24 MVBS COST STUDY: 1. Change some heat shrink tube PNs to 1271280Q0 (NOTCHED TAPE,ADH,PVC,DKBLU,DKBLU,40.00 MM-WIDE,105 C,_,3224). See mark-up
Sem necessidade de investimento para engenharia corte/lead prep
Retificando.
Favor considerar:
•	Um dispensador automático de fitas R$22500,00</t>
  </si>
  <si>
    <t xml:space="preserve">08:14:00
</t>
  </si>
  <si>
    <t>CR-0136037-00</t>
  </si>
  <si>
    <t>GEM – 2024- MVBs - FRONT BUMPER</t>
  </si>
  <si>
    <t>Assunto: 1. GEM B NARROW - FRONT BUMPER HARNESS 26293111 26294090
1. Change Heatshrink tube from E02000700 to E35099600
Favor considerar:
•	07 Validações de acordo com a Norma GMW15491
•	Scrap para as validações – R$1125,00
Condicionado aos testes de liberação e validação do processo.</t>
  </si>
  <si>
    <t>CR-0136166-00</t>
  </si>
  <si>
    <t>GEM – 2024- PPV - IP EXT</t>
  </si>
  <si>
    <t>GEM B NARROW I/P Ext 26415444 1. Change Cavity Plug PN from 3299853NG to E18841700
Sem necessidade de investimento para engenharia corte/lead prep.</t>
  </si>
  <si>
    <t>CR-0135873-00</t>
  </si>
  <si>
    <t>GEM – 2024- MVBs - Engine</t>
  </si>
  <si>
    <t>CHANGE TERMINAL PART NUMBER: FROM PN Lear: 3202571C2 - PN TE: 1326032-5 - Right Payoff - Current Application TO PN Lear: 320260AB8 - PN TE: 1-1326032-1 – Left Payoff - Proposal
Favor considerar:
•	01 miniaplicador : R$6800,00
•	01 Validação conforme USCAR 21: R$3400,00</t>
  </si>
  <si>
    <t>CR-0136159-00</t>
  </si>
  <si>
    <t>CHANGE TERMINAL PART NUMBER: From 3202578I2 to E18902700
Favor considerar:
•	01 miniaplicador para o terminal E18902700 – R$6800,00
•	01 validação conforme norma USCAR 21 – R$3400,00</t>
  </si>
  <si>
    <t>CR-0136267-00</t>
  </si>
  <si>
    <t>GEM – 2023- PSORP - Body</t>
  </si>
  <si>
    <t>Supplier Request – IP WH &amp; Body WH Assembly Boards Communization between MY23 and MY23.5 due to not be possible to have two conditions in the same board
Favor considerar:
•	Scrap dos tubos: R$550,00</t>
  </si>
  <si>
    <t>CR-0136254-00</t>
  </si>
  <si>
    <t>GEM – 2023- MVBs - Body</t>
  </si>
  <si>
    <t>. GEM B NARROW BODY HARNESS 52173158 MY23 MVBS TWO 4444096: GEM JBSC/JBJC CY23 &amp; MY24 MVBs – Supplier Request C.1) Change routing / dimensions of side blinker LH branch for all PNs of MY23. C.2) Keep dimension of main branch for 5HB MY23.5 / MY24 near to FTZM as it is in MY23 (133mm) instead of following dimension of ECR4363115 (113mm) for parts to be delivered for MVBs of MY23.5 (CY23).
Favor considerar:
•	Scrap de tubos : R$ 450,00</t>
  </si>
  <si>
    <t>GEM – 2024- MVBs - Rear Bumper</t>
  </si>
  <si>
    <t>CR-0136074-00</t>
  </si>
  <si>
    <t>GEM B NARROW REAR BUMPER HARNESS 26293109 26293110 1. Change Heatshrink tube pn from E02000700 to E35099600 2. Change Heatshrink tube pn from E16666700 to E16718500
Favor considerar:
•	08 validações conforme norma GMW15491 R$28136,00
•	Scrap – R$1125,00</t>
  </si>
  <si>
    <t>CR-0136024-00</t>
  </si>
  <si>
    <t>Change Heatshrink tube pn from E02000700 to E35099600 2. Change Heatshrink tube pn from E12538000 to E35099700 3. Change Heatshrink tube pn from E14168600 to E35100000 4. Change Heatshrink tube pn from E30547700 to E38846500
Favor considerar:
•	14 validações GMW15491 – R$49238,00
•	Scrap : R$2175,00
Condicionado a validação e liberação</t>
  </si>
  <si>
    <t>CR-0136154-00</t>
  </si>
  <si>
    <t>Assunto: 1. GEM B NARROW BODY HARNESS 52174376 MY24 MVBS COST STUDY:
1. Change terminal PN from 32025Y192 to 3202595P5.
2. Change terminal PN from 3202547K5 to 32025Y194.
3. Change terminal PN from 3202536X7 to E00000266.
4. Change terminal PN from 32025Y0VN to E00274300.
5. Change plug PN from 3299853NG to E18841700
Já foi considerado na CR-0136153-00 os investimentos.
Caso a CR-0136153-00 não seja aprovada, é necessário considerar os mesmos investimento para esta CR.
No momento, sem necessidade de investimento.</t>
  </si>
  <si>
    <t>CR-0136375-00</t>
  </si>
  <si>
    <t>GEM – 2024- MVBs - BODY</t>
  </si>
  <si>
    <t>Assunto: 1. GEM B NARROW BODY HARNESS 52174376 MY24 MVBS VAVE IDEA: GEM-ROW-VAVE-939-000 1 – Body 4NB - Remove Overlap tape (E15837200, Cloth tape, 150°C) from Ground Branch X633G305_X1 between the Nodes RN51 and RN285
Sem necessidade de investimento para engenharia corte/lead prep.</t>
  </si>
  <si>
    <t>CR-0136087-00</t>
  </si>
  <si>
    <t>GEM – 2024- MVBs - ROOF</t>
  </si>
  <si>
    <t>Assunto: 1. GEM B NARROW ROOF HARNESS 52173942 Change Heatshrink tube pn from E02000700 to E35099600.
Favor considerar:
•	08 validações conforme norma GMW15491 : R$28136,00
•	Scrap : R$562,50</t>
  </si>
  <si>
    <t>CR-0136284-00</t>
  </si>
  <si>
    <t>GEM – 2023- Running change - IP</t>
  </si>
  <si>
    <t>Assunto: 1. GEM B NARROW IP HARNESS 52173191 MY23 BRAZIL TWO 4444096: GEM JBSC/JBJC CY23 &amp; MY24 MVBs – Supplier Request B.2) Change branch takeout of connector A155_X3 as described below for PNs of MY23.
Sem necessidade de investimento para engenharia corte/lead prep.</t>
  </si>
  <si>
    <t>CR-0136173-00</t>
  </si>
  <si>
    <t>Assunto: 1. GEM B NARROW REAR BUMPER HARNESS 26293109 26293110 Change Cavity Plug pn from 3299853NG to E18841700
Sem necesidade de investimento para engenharia corte/lead prep.</t>
  </si>
  <si>
    <t>CR-0136013-00</t>
  </si>
  <si>
    <t>Assunto: 1. 1. GEM B NARROW I/P 52174448 1. Change Heatshrink Tube PN from 3299365JY to E16718900.
Favor considerar:
•	02 Validações conforme norma GMW15491
•	Scrap : R$140,00</t>
  </si>
  <si>
    <t>CR-0136199-00</t>
  </si>
  <si>
    <t>GEM – MY2021 ....</t>
  </si>
  <si>
    <t>Change Heat Shrink Tube from TE to Eurotech 3299374X2 to E35100200 E05900900 to E35099900 E05901000 to E39013200
Favor considerar:
•	02 validações conforme norma GMW 15491 : R$7034,00
•	Scrap : R$131,25</t>
  </si>
  <si>
    <t>CR-0136374-00</t>
  </si>
  <si>
    <t>GEM - FRONT DOOR</t>
  </si>
  <si>
    <t>Change Overlap Cloth tape (E15837200, Cloth tape, 150°C) by Overlap Fleece (E15837100, 105°, Fleece) Tape between the nodes RN7 and RN13
Sem necessidade de investimento para engenharia corte / lead prep</t>
  </si>
  <si>
    <t>CR-0136165-00</t>
  </si>
  <si>
    <t>GEM - FRONT BUMPER</t>
  </si>
  <si>
    <t>CHANGE CAVITY PLUG PART NUMBER:
FROM 3299853NG TO E18841700
Sem necessidade de investimento para engenharia corte / lead prep</t>
  </si>
  <si>
    <t>Assunto: 1. GEM B NARROW BODY HARNESS 52174376 MY24 MVBS
VAVE IDEA:
GEM-ROW-VAVE-940-000
3 – Body 4NB – Change Overlap cloth tape (E15837200, Cloth tape, 150°C) by Spiral PVC tape (E15837000, PVC, 105°C) between the nodes N34466 and N159 – Option 1</t>
  </si>
  <si>
    <t>CR-0136376-00</t>
  </si>
  <si>
    <t>GEM BODY</t>
  </si>
  <si>
    <t>CR-0136007-00</t>
  </si>
  <si>
    <t>GEM LIFTGATE</t>
  </si>
  <si>
    <t>Assunto: 1. 1. GEM B NARROW LIFTGATE 26302799
Change Heatshrink Tube PN from E02000700 to E35099600
Favor considerar:
•	01 validação conforme norma GMW15491 : R$3517,00
•	Scrap : R420,00</t>
  </si>
  <si>
    <t>CR-0136378-00</t>
  </si>
  <si>
    <t xml:space="preserve">Body 4NB – Change Overlap cloth tape (E15837200, Cloth tape, 150°C) by Spiral Fleece tape (E15837100, Fleece, 105°C) between the nodes N34466 and N159 – Option 2
</t>
  </si>
  <si>
    <t>CR-0136297-00</t>
  </si>
  <si>
    <t>GEM IP</t>
  </si>
  <si>
    <t>GEM-ROW-VAVE-946-000
1. Remove Overlap tape (E15837200, Cloth tape, 150°C) from Ground Branch X633G204_X1 between the Nodes RN133 and RN121</t>
  </si>
  <si>
    <t>CR-0136379-00</t>
  </si>
  <si>
    <t xml:space="preserve">Assunto: 1. GEM B NARROW BODY HARNESS 52174376 MY24 MVBS
VAVE IDEA:
GEM-ROW-VAVE-942-000
BODY 4NB/5HB – Change Spot tape over tape On Clips E27677300 – From E15837100 (Fleece, 105°, Back) to E15837000 (PVC, 105°C, Black) – Applied for the clips N34381/N34438/N34341/N34391/N34473/N34412/N34418/N34475
</t>
  </si>
  <si>
    <t>CR-0136315-00</t>
  </si>
  <si>
    <t>CR-0136380-00</t>
  </si>
  <si>
    <t>CR-0136337-00</t>
  </si>
  <si>
    <t>CR-0136369-00</t>
  </si>
  <si>
    <t>CR-0136325-00</t>
  </si>
  <si>
    <t>CR-0136753-00</t>
  </si>
  <si>
    <t>CR-0136811-00</t>
  </si>
  <si>
    <t>CR-0136750-00</t>
  </si>
  <si>
    <t>CR-0136968-00</t>
  </si>
  <si>
    <t>CR-0137079-00</t>
  </si>
  <si>
    <t>GEM - IP</t>
  </si>
  <si>
    <t>Marcio Militanni</t>
  </si>
  <si>
    <t>Paulo lima</t>
  </si>
  <si>
    <t>GEM - - Body</t>
  </si>
  <si>
    <t>VS30 - BODY</t>
  </si>
  <si>
    <t>Assunto: 1. 1. GEM B NARROW I/P 52174448
GEM-ROW-VAVE-947-000
1. Change Overlap Cloth tape (E15837200, Cloth tape, 150°C) by Overlap Fleece (E15837100, 105°, Fleece) Tape between the nodes RN73 and RN72
Sem necessidade de investimento para engenharia corte/lead prep</t>
  </si>
  <si>
    <t>Assunto: 1. GEM B NARROW BODY HARNESS 52174376 MY24 MVBS
VAVE IDEA: GEM-ROW-VAVE-943-000
6 – Change PVC) Overlap tape (E15837000, PVC, 105°C) to PVC Spiral tape (E15837100, PVC, 105°C) between the nodes RN82 and RN218
Sem necessidade de investimento para engenharia corte/lead prep</t>
  </si>
  <si>
    <t>Assunto: 1. GEM B NARROW BODY HARNESS 52174376
Remove the Spiral PVC tape (E15837000, PVC, 105°C) from Ground branch X633G302_X1 between the nodes RN85 and RN286
Sem necessidade de investimento para engenharia corte/lead prep</t>
  </si>
  <si>
    <t>Assunto: 1. GEM B NARROW BODY HARNESS 52174376
GEM-ROW-VAVE-945-000
Body 4NB - Remove Overlap tape (E15837200, Cloth tape, 150°C) from Ground Branch 13585268_R600NB4_GND_X2 between the Nodes RN302 and RN394
Sem necessidade de investimento para engenharia corte/lead prep</t>
  </si>
  <si>
    <t>Assunto: 1. 1. GEM B NARROW I/P 52174448
GEM-ROW-VAVE-948-000
1. Remove Overlap Cloth tape (E15837200, Cloth tape, 150°C) from Grounf branch X633G203_X1 between the nodes RN90 and RN188
Sem necessidade de investimento para engenharia corte/lead prep</t>
  </si>
  <si>
    <t>. Change Spot Tape PN from E00291600 to E27969600
Sem necessidade de investimento para engenharia corte/lead prep</t>
  </si>
  <si>
    <t>5. Change of the item number of ground battery wire E2M (G1/24*2-K), 7. Doesnt affect CUT and LABOR, 8. the same content as CR-0135318-00
Sem necessidade de investimento para engenharia corte/lead prep</t>
  </si>
  <si>
    <t>1. Change spot tape from E00291600 to E27969600.
Sem necessidade de investimento para engenharia corte/lead prep</t>
  </si>
  <si>
    <t>Sem necessidade de investimento para engenharia corte/lead prep</t>
  </si>
  <si>
    <t>1. Change Sub-Assy PN from E16002600 to E33421400
2. Change Sub-Assy PN from E18753800 to E33421900
3. Change Sub-Assy PN from E21915600 to E33421100
Sem necessidade de investimento para engenharia corte/lead prep</t>
  </si>
  <si>
    <t>CR-0136812-00</t>
  </si>
  <si>
    <t>SPIN - BODY</t>
  </si>
  <si>
    <t>Issue Description: Replace heatshrink tube on the BODY W.H
Favor considerar:
•	29 validações conforme norma GNW 17136 – R$101.993,00
•	Scrap : R$300,00</t>
  </si>
  <si>
    <t>CR-0136215-00</t>
  </si>
  <si>
    <t>SPIN - IP</t>
  </si>
  <si>
    <t>Issue Description: Replace heatshrink tube on the IP W.H From: TE Connectivity To: CYG / Eurotech
Favor considerar:
•	16 validações conforme norma GMW17136 – R$56.272,00
•	Scrap : R4259,50</t>
  </si>
  <si>
    <t>CR-0136828-00</t>
  </si>
  <si>
    <t>SPIN - : RR OBJECT ALARM SEM</t>
  </si>
  <si>
    <t>SPIN MY25 - RR OBJECT ALARM SEN W.H
Issue Description: Replace heatshrink tube on the RR OBJECT ALARM SEN W.H From: TE Connectivity To: CYG / Eurotech
Favor considerar:
•	02 validações conforme norma GMW17136 – R$7.034,00
•	Scrap : R$98,00</t>
  </si>
  <si>
    <t>CR-0137206-00</t>
  </si>
  <si>
    <t>William Naves
Marcio PericlesMilitanni</t>
  </si>
  <si>
    <t>13:25:00
12:40</t>
  </si>
  <si>
    <t>13/10/2022
31/10/2022</t>
  </si>
  <si>
    <t>CR-0137407-00</t>
  </si>
  <si>
    <t>SPIN - ENGINE</t>
  </si>
  <si>
    <t>Change terminal From TE to T&amp;C - VI Proposal
Applied: Engine SPIN LI3 &amp; LHE
From: 3202577J0 (1241380-1)
To: 32025Y196 (28355306185)
Favor considerar:
•	01 validação USCAR 21 R$3.350,00.
•	01 Mini aplicador modelo MRSJ1 R$6.553,00
•	Amostras para envio R$100,00</t>
  </si>
  <si>
    <t>1. CTO PROPOSAL FOR MY2022_01 - VS30, 2. Replace terminal cover from PN: E15969500 to PN: E38709800.
Sem necessidade de investimento para engenharia corte/lead prep.</t>
  </si>
  <si>
    <t>CR-0137412-00</t>
  </si>
  <si>
    <t>SPIN -  FUEL PUMP</t>
  </si>
  <si>
    <t>CHANGE TERMINAL FROM TE TO T&amp;C (M8LI3_X1) CONNECTOR.
From: 3202547L3 (1-968857-1) To: E00000266 (28320306185)
Favor considerar:
•	01 validação USCAR 21 R$3.350,00.
•	01 Mini aplicador modelo MRSJ1 R$6.553,00
•	Amostras para envio R$100,00</t>
  </si>
  <si>
    <t>CR-0137622-00</t>
  </si>
  <si>
    <t>VS30 - DOORS</t>
  </si>
  <si>
    <t xml:space="preserve">Terminal from: 320258FW8
Terminal To: E15834400, 4. Reason: to adjust the “winding” side of the terminal, 5. The terminals have the same drawing.
Sem necessidade de investimento para  engenharia corte/lead prep., porém, será necessário amostras para validação interna.
</t>
  </si>
  <si>
    <t>CR-0137625-00</t>
  </si>
  <si>
    <t>CHANGE TERMINAL FROM TE TO T&amp;C (X11X140_X1) &amp; (X11X140A_X1) CONNECTORS.
From: 3202547K5 (1-968855-1) To: 32025Y194 (28319306185)
From: 32025Y112 (969028-2) To: 3202636X6 (26594330185)
Favor considerar:
•	03 validação USCAR 21 - R$10.551,00.
•	02 Mini aplicador modelo MRSJ1 -  R$13.106,00
•	Amostras para envio R$130,00</t>
  </si>
  <si>
    <t>CR-0135850-01</t>
  </si>
  <si>
    <t>SPIN - license Plate</t>
  </si>
  <si>
    <t>Issue Description: Replace heatshrink tube on the Engine W.H
From: TE Connectivity To: CYG / Eurotech
Favor considerar:
•	02 Validações conforme norma GMW17136 – R$7.034,00
•	Amostras para validação – R$98,00</t>
  </si>
  <si>
    <t>CR-0137797-00</t>
  </si>
  <si>
    <t>Changes from: Spiral Tape (PN E13279400) to: Overlap Tape (PN E02384300) in the front wall area. Clip CL082_00182 is loosely or sliding mounted. Clip CL081_00182 is deleted., 5. Continuation of CR-0135701-00 (2022_01)
Sem necessidade de investimento para engenharia corte / lead prep.</t>
  </si>
  <si>
    <t>CR-0137945-00</t>
  </si>
  <si>
    <t>VS30-SA- 2022_02  SORP - BODY</t>
  </si>
  <si>
    <t>As necessidades já foram consideradas na CR-0135319-00, se caso não for implementada, deve-se considerar o valor que foi aplicado.
•	Sem necessidade de investimento para engenharia corte / lead prep.</t>
  </si>
  <si>
    <t>CR-0137949-00</t>
  </si>
  <si>
    <t>SPIN – MY2025 - APPV - REAR LEFT DOOR</t>
  </si>
  <si>
    <t>Willian Naves</t>
  </si>
  <si>
    <t>Assunto: 1. 1. 1. 1. SPIN MY25 - REAR LEFT DOOR W.H 52169538 W.H Issue Description: Replace heatshrink tube on the REAR LEFT DOOR W.H From: TE Connectivity To: CYG
Favor considerar:
•	01 validação conforme norma GMW17136 – R$3.517,00
•	Scrap para amostras – R$52,50</t>
  </si>
  <si>
    <t>CR-0137952-00</t>
  </si>
  <si>
    <t>SPIN – MY2025 - APPV - REAR RIGHT DOOR</t>
  </si>
  <si>
    <t>Assunto: 1. 1. 1. 1. 1. SPIN MY25 - REAR RIGHT DOOR W.H 52169539 W.H Issue Description: Replace heatshrink tube on the REAR RIGHT DOOR W.H From: TE Connectivity To: CYG
Favor considerar:
•	01 validação conforme norma GMW17136 – R$3.517,00
•	Scrap para amostras – R$52,50</t>
  </si>
  <si>
    <t>CR-0137625-01</t>
  </si>
  <si>
    <t>SPIN – MY2025 - PPV - BODY</t>
  </si>
  <si>
    <t xml:space="preserve">Assunto: 1. VI INTEGRATION PROPOSAL: BODY FAMILY CHANGE TERMINAL FROM TE TO T&amp;C (X11X140_X1) &amp; (X11X140A_X1) CONNECTORS. From: 3202547K5 (1-968855-1) To: 32025Y194 (28319306185) From: 32025Y112 (969028-2) To: 3202636X6 (26594330185) From: 32025Y112 (969028-2) To: 3202636Z2 0.50mm (26594330185)
Favor considerar:
•	03 validação USCAR 21 - R$10.551,00.
•	03 Mini aplicador modelo MRSJ1 -  R$19.659,00
•	Amostras para envio R$130,00
</t>
  </si>
  <si>
    <t>CR-0138141-00</t>
  </si>
  <si>
    <t>Assunto: 1. GEM B NARROW - ENGINE 26373893 Engine - Remove spot tape E02862500 (Plymouth, PVC, 125°C, 19mm) and 1271285B8 (Coroplast, Felt, 125°C, 19mm) applied in the node RN80
Sem necessidade de investimento para engenharia corte/lead prep.</t>
  </si>
  <si>
    <t>CR-0138132-00</t>
  </si>
  <si>
    <t>GEM/MY2024/MVBs - IP</t>
  </si>
  <si>
    <t>Assunto: 1. GEM B NARROW I/P 52174448 1. Change terminal Molex 320259138 (98658-1213, Sn, 0,22 to 0,50) to Molex 3202559I5 (98658-1211, Sn, 0,22 to 0,60)
Já temos a ferramenta e validação para este termiinal.
Sem necessidade de investimento para engenharia corte/lead prep.</t>
  </si>
  <si>
    <t>CR-0136380-02</t>
  </si>
  <si>
    <t>GEM – MY2024 - MVBs - ENGINE</t>
  </si>
  <si>
    <t>CR-0138140-00</t>
  </si>
  <si>
    <t>Assunto: 1. GEM B NARROW BODY HARNESS 52174376 MY24 MVBS VAVE IDEA: GEM-ROW-VAVE-943-000 6 – Change PVC) Overlap tape (E15837000, PVC, 105°C) to PVC Spiral tape (E15837000, PVC, 105°C) between the nodes RN82 and RN218
Sem necessidade de investimento para engenharia corte/lead prep.</t>
  </si>
  <si>
    <t>Assunto: 1. GEM B NARROW - ENGINE 26373893 Remove spot tape E02862500 (Plymouth, PVC, 125°C, 19mm) and 1271285B8 (Coroplast, Felt, 125°C, 19mm) applied in the node RN42
Sem necessidade de investimento para engenharia corte/lead prep.</t>
  </si>
  <si>
    <t>CR-0138144-00</t>
  </si>
  <si>
    <t>Assunto: 1. GEM B NARROW - ENGINE 26373893 Remove spot tape E02862500 (Plymouth, PVC, 125°C, 19mm) (Layer 10 and 20) and 1271285B8 (Coroplast, Felt, 125°C, 19mm) (Layer 30) applied in the node RN103
Sem necessidade de investimento para engenharia corte/lead prep.</t>
  </si>
  <si>
    <t>CR-0138158-00</t>
  </si>
  <si>
    <t>Assunto: 1. 1.1 GEM B NARROW BODY 52174376 MY24 MVBS 1. BODY 4NB - Change Spiral tape E15837000 (Plymouth, PVC, 105°C, 19mm) to Spiral tape 127020626 (Scapa, PVC, 105°C, 9mm)
Sem necessidade de investimento para engenharia corte/lead prep.</t>
  </si>
  <si>
    <t>CR-0138131-00</t>
  </si>
  <si>
    <t xml:space="preserve">Assunto: 1. 1. GEM B NARROW I/P 52174448 1. Change Braided Woven Tube from E16687300 (Federal Mogul, 65mm, 32 ID) to E16148700 (Federal Mogul, 60mm, 29 ID) - Applied between the nodes RN16 and RN18
</t>
  </si>
  <si>
    <t>CR-0138738-00</t>
  </si>
  <si>
    <t>Troca de NPN APENAS
Assunto: 1. 1. GEM B NARROW I/P 26415443 EWO 4460294: GEM JBSC/JBJC MY24 / MY25 – IP WH &amp; BODY WH – Add OnStar 1. 1) Add NPNs 1 / 2 / 3 / 4 for Body WH and NPNs 5 / 6 for IP WH in MY24 MPL. New PNs are similar to their references excpet by adding U92 and UE1 options and deleting U71 option. 2) Update options of all Body WHs and IP WHs MY24 in order to avoid duplicity or missing parts in the system (no physical change)
Sem necessidade de investimento para engenharia corte/lead prep.</t>
  </si>
  <si>
    <t>CR-0138665-00</t>
  </si>
  <si>
    <t>GEM – MY2024 - MVBs -BODY</t>
  </si>
  <si>
    <t>CR-0138681-00</t>
  </si>
  <si>
    <t>Assunto: 1. GEM B NARROW BODY HARNESS 26415366 MY24 VAVE Change Inline to POA FUEL Tank X304A - From: Molex MX150 Connector (E16799500, 8W, All Cavities opened) to Molex MX150 (E38187100, 8W, closed cavities 6, 7, 8) - Flashover Connector
Sem necessidade de investimento para engenharia corte/lead prep.</t>
  </si>
  <si>
    <t>Assunto: 1. GEM B NARROW BODY HARNESS 26415366 MY24 VAVE Change Inline to POA FUEL Tank X304 - From: Molex MX150 Connector (E16792700, 16W, All Cavities opened) to Molex MX150 (E3818700, 16W, closed cavities 14, 15, 16) - Flashover Connector
Sem necessidade de investimento para engenharia corte/lead prep.</t>
  </si>
  <si>
    <t>CR-0138649-00</t>
  </si>
  <si>
    <t>Assunto: 1. GEM B NARROW BODY HARNESS 26415367 MY24 VAVE CR ONLY 2. Change Inline to POA FUEL Tank X304A - From: Molex MX150 Connector (E16799500, 8W, All Cavities opened) to Molex MX150 (E38187100, 8W, closed cavities 6, 7, 8) - Flashover Connector
Sem necessidade de investimento para engenharia corte/lead prep.</t>
  </si>
  <si>
    <t>CR-0138670-00</t>
  </si>
  <si>
    <t>Assunto: 1. 1. GEM B NARROW BODY HARNESS 26415367 MY24 VAVE CR ONLY 1. Change Inline to POA FUEL Tank X304 - From: Molex MX150 Connector (E16792700, 16W, All Cavities opened) to Molex MX150 (E3818700, 16W, closed cavities 16,17,18) - Flashover Connector
Sem necessidade de investimento para engenharia corte/lead prep.</t>
  </si>
  <si>
    <t>CR-0138745-00</t>
  </si>
  <si>
    <t>15/11/2022
16/11/2022</t>
  </si>
  <si>
    <t>08:24:00
07:28</t>
  </si>
  <si>
    <t>Assunto: 1. GEM B NARROW BODY HARNESS 52174376 MY24 MVBS EWO 4460294: GEM JBSC/JBJC MY24 / MY25 – IP WH &amp; BODY WH – Add OnStar 1. 1) Add NPNs 1 / 2 / 3 / 4 for Body WH and NPNs 5 / 6 for IP WH in MY24 MPL. New PNs are similar to their references excpet by adding U92 and UE1 options and deleting U71 option. 2) Update options of all Body WHs and IP WHs MY24 in order to avoid duplicity or missing parts in the system (no physical change)
--@Barbosa, Alexsandro Da Silva; avaliando a CR-0138745-00 notei que é similar a CR-0138738-00. Porém, na CR-0138745-00 está tendo uma troca no Delta Cutsheet de configurações de Splice.
Preciso sabe se realmente esta CR está correta uma vez que estamos adicionando novos derivativos, alterando as opções U92 e UE1 e excluindo da opção U71 apenas.
Fico no aguardo das informações antes de responder esta CR.
---Baseado nas informações do e-mail em anexo, estou desconsiderando a aba “Delta Splice”, pois, não está sendo modificado nenhuma splice para esta CR.
Sem necessidade de investimento para engenharia corte/lead prep.</t>
  </si>
  <si>
    <t>CR-0138736-00</t>
  </si>
  <si>
    <t>Assunto: 1. GEM B NARROW BODY HARNESS 52174375 MY24 MVBS EWO 4460294: GEM JBSC/JBJC MY24 / MY25 – IP WH &amp; BODY WH – Add OnStar 1. 1) Add NPNs 1 / 2 / 3 / 4 for Body WH and NPNs 5 / 6 for IP WH in MY24 MPL. New PNs are similar to their references excpet by adding U92 and UE1 options and deleting U71 option. 2) Update options of all Body WHs and IP WHs MY24 in order to avoid duplicity or missing parts in the system (no physical change)
Sem necessidade de investimento apra engenharia corte/lead prep.</t>
  </si>
  <si>
    <t>CR-0138879-00</t>
  </si>
  <si>
    <t>CR-0138882-00</t>
  </si>
  <si>
    <t>WLL SEM INFORMAÇÃO
CR reprovada por engenharia (on hold) corte/lead prep. devido a falta de informação da WLL, circuitos estão sendo modificados e está sem informação se vai ser scrap ou stock in use.
Fico no aguardo das informações para responder a CR.
Conforme e-mail em anexo, considerando scrap todos os itens modificados, favor considerar:
•	Scrap – R$ 589,20</t>
  </si>
  <si>
    <t>08:24 
11:51</t>
  </si>
  <si>
    <t>GEM – MY2023 - MVBs - BODY</t>
  </si>
  <si>
    <t>WLL application as requested by the Process team. Project Affected - GEM - BODY 5HB - 52173158 - MY23 - MVBS.
Favor considerar:  Scrap - R$1213,18</t>
  </si>
  <si>
    <t>CR-0132337-00</t>
  </si>
  <si>
    <t>Troca de tubo liso de 8mm para 10mm, já cortamos estes tubos.
Sem necessidade de investimento para engenharia corte/lead prep.</t>
  </si>
  <si>
    <t>CR-0139113-00</t>
  </si>
  <si>
    <t>VS30/2022_2/SORP - BODY</t>
  </si>
  <si>
    <t>Aumento de ramal em 20mm
Favor considerar:
•	Scrap – R$ 623,55</t>
  </si>
  <si>
    <t>CR-0139115-00</t>
  </si>
  <si>
    <t>cabo de bitola de 16,00mm² vai ser cortado com comprimento menor.
4. W9/7*2-K branch is shortened from 345mm to 250mm 
Favor considerar:
•	Scrap – R$3196,00</t>
  </si>
  <si>
    <t>CR-0139141-00</t>
  </si>
  <si>
    <t>VS30/2022_2/SORP</t>
  </si>
  <si>
    <t>CR-0139340-00</t>
  </si>
  <si>
    <t xml:space="preserve">Adjustment of HMI CAN coding at BR907 (change module, does not affect branch), 6. new module is already implemented in release 22_01 (CR-0139141-00)
Serm necessidade de investimento para engenharia corte/lead prep. </t>
  </si>
  <si>
    <t xml:space="preserve">module change, does not affect assembly table
Sem necessidade de investimento para engenharia corte/lead prep. </t>
  </si>
  <si>
    <t>CR-0140560-00</t>
  </si>
  <si>
    <t>SPIN – MY2025 - APPV - LIFTGATE  / SEAT DRIVER /  FUEL PUMP / LICENSE PLATE</t>
  </si>
  <si>
    <t>05/12/25022</t>
  </si>
  <si>
    <t>Replace conn clip from HT to Delfingen From: 329925SNQ To: 329925SSH
Sem necessidade de investimento para engenharia corte/ lead prep.</t>
  </si>
  <si>
    <t>CR-0136037-01</t>
  </si>
  <si>
    <t>GEM – MY2024 - MVBs - FRONT BUMPER</t>
  </si>
  <si>
    <t>Change Heatshrink tube from E02000700 to E35099600
Favor considerar:
•	6 validações conforme norma GMW17136  R$21 102,00
•	Scrap para validação R$589,20</t>
  </si>
  <si>
    <t>CR-0140719-00</t>
  </si>
  <si>
    <t>07/12/25022</t>
  </si>
  <si>
    <t>Change connector from 32165K5B4 (TE, 1-1718643-1) to E02064800 (TE, 1-1823608-5) - Applied to Engine
Sem necessidade de investimento para engenharia corte/lead prep.</t>
  </si>
  <si>
    <t>CR-0140931-00</t>
  </si>
  <si>
    <t>Replace Terminal from 320259948 to 32025Y2AR
Favor considerar:
•	Um mini aplicador Miniaplicador Restyling Standard Lateral MRSJ1 – R$6.500,00
•	Uma validação conforme norma USCAR 21_ R$3.350,00</t>
  </si>
  <si>
    <t>CR-0140721-00</t>
  </si>
  <si>
    <t>Change connector from 32165K5B4 (TE, 1-1718643-1) to E02064800 (TE, 1-1823608-5) - Applied to Front Bumper
Sem necessidade de investimento para engenharia corte/lead prep.</t>
  </si>
  <si>
    <t>CR-0141096-00</t>
  </si>
  <si>
    <t>Customer's request to add points of tape for packing,
4. does not affect BOM, CUT and drawing 2D,
5. Add process time in LABOR
Sem necessidade de investimento para engenharia corte/lead prep.</t>
  </si>
  <si>
    <t>08/12/25022</t>
  </si>
  <si>
    <t>CR-0141053-00</t>
  </si>
  <si>
    <t>Change connector clip 329925SNQ (HT, 133-00392) by 329925SSH (Promens, 13740594) - Applied to Body - Applications: Inline POA Seat X301, Inline POA Seat X302, Wheel Speed Left Front, Inline to Bumper, Wheel Speed Right Front, Inline POA Seat X303, Inline POA Seat X306.
Sem necessidade de investimento para engenharia corte/lead prep.</t>
  </si>
  <si>
    <t>CR-0141054-00</t>
  </si>
  <si>
    <t>CR-0141057-00</t>
  </si>
  <si>
    <t>Change connector clip 329925SNQ (HT, 133-00392) by 329925SSH (Promens, 13740594) - Applied to IP - Headliner X210
Sem necessidade de investimento para engenharia corte/lead prep.</t>
  </si>
  <si>
    <t>SPIN – MY2025 - IVER - SEAT DRIVER/CO-DRIVER/ FUEL PUMP/ LICENSE PLATE/ CONSOLE</t>
  </si>
  <si>
    <t>Bom dia.
Sem necessidade de investimento para engenharia corte / lead prep.
Favor manter o investimento já  passado referente a CR- 0131510-01.</t>
  </si>
  <si>
    <t>CR-0141300-00</t>
  </si>
  <si>
    <t>. VS30 - WIRING HARNESS BODY,
2. CTO Proposal, 3. Affected drawings: A9070012099/ A9070015699/ A9070015999/ A9070016399/ A9070016499/ A9070016099,
4. Package quantity change for seal 320455A8R.,
5. CR created to correct investments. The modification has already been approved in the CR-0107023-00 considrar  •	 8 validações  aplicação de terminal norma VS30</t>
  </si>
  <si>
    <t>CR-0138525-00</t>
  </si>
  <si>
    <t>Projeto: GEM – MY2024 - MVBs Família: Body Tipo: Cost Reduction Ref Doc Number: TBD
Analise realizada conforme DELTA _ CUTSHEET  Favor considerar.
2 validações de Splice conforme norma USCAR 45
4 validações de Termo conforme Norma GMW17136.
Scrap  R$ 887,83
. No assunto está dizendo que a o terminal E15132900 ( Hulane, Welding, 0.75-3.00) está mudando para E02742700 (TE, Crimp, 2,5-4.00), e que Circuito 1150J está mudando de bitola de 2.00 para 3.00 porem isso não está refletido no DELTA _ CUTSHEET corretamente.</t>
  </si>
  <si>
    <t>Projeto: GEM – MY2024 - MVBs Família: Body Tipo: Cost Reduction Ref Doc Number: …
Analise realizada conforme DELTA _ CUTSHEET  Favor considerar.
1 Aplicador Mecal modelo MRF1 Alimentação Frontal para Terminal E11997200.
1 Validação de Terminal conforme norma USCAR 21
1 Validação de Splice conforme norma USCAR 45
 3 validações de Termo conforme Norma GMW17136.
Scrap R$ 1.579,38</t>
  </si>
  <si>
    <t xml:space="preserve"> CR-0138522-00</t>
  </si>
  <si>
    <t>GEM – MY2024 - MVBs  Body</t>
  </si>
  <si>
    <t>Projeto: GEM – MY2024 - MVBs Família: Engine Tipo: Cost Reduction
Analise realizada conforme DELTA _ CUTSHEET substituição de Clip considerar sem impacto para corte e Lead Prep.</t>
  </si>
  <si>
    <t>GEM – MY2024 - MVBs Família: Engine</t>
  </si>
  <si>
    <t>CR-0141114-00</t>
  </si>
  <si>
    <t xml:space="preserve">Projeto: GEM – MY2024 - MVBs Família: IP Tipo: Cost Reduction Ref Doc Number: …
GEM B NARROW IP 52174448 Change PN E16148800 to E40026700 Change PN E16148700 to E40026600 Change PN E16687300 to E40035600 Change PN E16147100 to E40023300.
Analise realizada conforme DELTA _ CUTSHEET Alteração PN Malha sem impacto para corte e Lead Prep.
</t>
  </si>
  <si>
    <t>CR-0141690-00</t>
  </si>
  <si>
    <t>GEM – MY2024 - MVBs Família: IP 
Tipo: Cost Reduction</t>
  </si>
  <si>
    <t>GEM – MY2024 - MVBs Família: Engine
Tipo: Cost Reduction</t>
  </si>
  <si>
    <t>CR-0141682-00</t>
  </si>
  <si>
    <t xml:space="preserve"> GEM – MY2024 - MVBs Família: Engine Tipo: Cost Reduction Ref Doc Number: …
Assunto: 1. GEM B NARROW - ENGINE 26373893 Change PN E19721500 to E40035500
Analise realizada conforme DELTA _ CUTSHEET Alteração PN Malha sem impacto para corte e Lead Prep.</t>
  </si>
  <si>
    <t>CR-0141689-00</t>
  </si>
  <si>
    <r>
      <t xml:space="preserve">Projeto: </t>
    </r>
    <r>
      <rPr>
        <u/>
        <sz val="11"/>
        <color theme="1"/>
        <rFont val="Calibri"/>
        <family val="2"/>
        <scheme val="minor"/>
      </rPr>
      <t>GEM – MY2024 - MVBs</t>
    </r>
    <r>
      <rPr>
        <sz val="11"/>
        <color theme="1"/>
        <rFont val="Calibri"/>
        <family val="2"/>
        <scheme val="minor"/>
      </rPr>
      <t xml:space="preserve"> Família: Body
Tipo:  Cost Reduction</t>
    </r>
  </si>
  <si>
    <t xml:space="preserve">GEM – MY2024 - MVBs Família: Body Tipo: Cost Reduction Ref Doc Number: …
Assunto: 1. GEM B NARROW BODY HARNESS 52174376 Change PN E17381600 to E40026900
Analise realizada conforme DELTA _ CUTSHEET Alteração PN Malha sem impacto para corte e Lead Prep.
</t>
  </si>
  <si>
    <t>CR-0141685-00</t>
  </si>
  <si>
    <t>GEM – MY2024 - MVBs
Família: Body Tipo: Cost Reduction</t>
  </si>
  <si>
    <t>GEM – MY2024 - MVBs Família: Body Tipo: Cost Reduction Ref Doc Number: …
Assunto: 1. GEM B NARROW BODY HARNESS 52175375 Change PN E17381600 to E40026900.
Analise realizada conforme DELTA _ CUTSHEET Alteração PN Malha sem impacto para corte e Lead Prep.</t>
  </si>
  <si>
    <t>CR-0141181-00</t>
  </si>
  <si>
    <t>SPIN – MY2025 - PPV - Engine</t>
  </si>
  <si>
    <t>Heatshrink tubes Change VCD PAGE 15 : Update netlist for Engine WH – 
será trocado os termo retráteis, porém, já que temos o part number novo na planta, vamos efetuar a validação já com o part number novo.
Sem necessidade de investimento para engenharia corte/lead prep.</t>
  </si>
  <si>
    <t>CR-0141501-00</t>
  </si>
  <si>
    <t>SPIN – MY2025 - APPV - IP</t>
  </si>
  <si>
    <t>CTO STUDY FOR IP WIRING HARNESS - Replace terminal due to a validation test rejected. The proposal is to use the same terminal used in GEM project. Probably this change will return a saving for SPIN Project.
Terminal E08814100 reprovado no teste metalográfico por não ter repetibilidade no processo de aplicação onde as garras tocam nas paredes internas do terminal causando deformação na aplicação.
Por este motivo está sendo substituído para aplicação do terminal E08964700 já que o mesmo já está validado no projeto do GEM para abitola de 0,35mm². O terminal E08814100 ainda continuará no projeto aplicando a bitola de 0,50mm².
Favor considerar :	
•	01 aplicador MRSJ1 – R$6.500,00  -  (Necessário porque temos apenas uma ferramenta na planta podendo haver conflito de ferramentas na produção.)
•	02 validações conforme norma USCAR 21- R$6.700,00  -  (Necessário porque temos apenas validação no projeto GEM para o cabo 65763, vamos precisar para o cabo 65766 e 65860)
Fico ao dispor.</t>
  </si>
  <si>
    <t>CR-0141550-00</t>
  </si>
  <si>
    <t>SPIN – MY2025 - PPV - CONSOLE / REAR BUMPER / LICENSE PLATE / FRONT SEATS / FUEL PUMP</t>
  </si>
  <si>
    <t>CR-0141911-00</t>
  </si>
  <si>
    <t>CR-0141921-00</t>
  </si>
  <si>
    <t>CR-0142072-00</t>
  </si>
  <si>
    <t>SPIN – MY2025 - PPV - Lift Gate &amp; Lift Gate Extn</t>
  </si>
  <si>
    <t>ECR 4459810: MY25 G1NC – Lift Gate &amp; Lift Gate Extn Update PROPOSED CHANGE 1) Apply hank tape to tie up branches on main bundle; 2) Remove tape covering in 60mm from the back of connector; 3) Replace all heatshrink tube on Lift Gate WH from TE to CYG/Eurotech; 4) Change the distance between the back of connector and the end of covering on the branch. Models affected: 52167964 / 52167967.
Troca de teermo retrátil de 3299362G2 para E16718500.
Favor considerar:
•	01 validação conforme norma GMW17136 R$ 3.517,00</t>
  </si>
  <si>
    <t>CR-0142127-00</t>
  </si>
  <si>
    <t>SPIN – MY2025 - PPV - ENGINE</t>
  </si>
  <si>
    <t>CR-0142129-00</t>
  </si>
  <si>
    <t>SPIN – MY2025 - PPV - LICENSE PLATE</t>
  </si>
  <si>
    <t>CTO PROPOSAL - SPIN MY25 - LICENSE PLATE Proposal Changes: Replace Wire Seal from 320454NG2 to 320452006 applied to License Plate (CTO) Print Affected: 52169548
Favor considerar:
•	02 validações conforme norma USCAR 21 R$6.700,00 -Motivo: devido a troca de part number do selo.
•	Como no desenho o selo é equivalente, não será necessário investimento para calha de selo, porém, fica condicionado aos testes para validação e liberação..</t>
  </si>
  <si>
    <t>CR-0142130-00</t>
  </si>
  <si>
    <t>SPIN – MY2025 - PPV - LIFTGATE EXT</t>
  </si>
  <si>
    <t>CTO PROPOSALS - LIFTGATE EXT - SPIN MY25 Change Proposals: Replace Terminal from E36854600 to E18488700 applied to Liftgate Ext (CTO) Print Affected: 52167967.
Favor sempre enviar o delta cut sheet. Não estou vendo esta planilha nas CR’s do SPIN. Para nós é muito importante que a informação venha pela Delta cut sheet para podermos avaliar detalhes de circuitos, material, norma DIN, etc.
Devido o terminal apresentar as mesmas medidas, porém, não está na mesma família, é necessário efetuar um teste antes para verificação e liberação. Por este motivo, foi considerado investimento de Subtooling para esta aplicação
Favor considerar
•	01 validação conforme nora USCAR 21 –  R$3.350,00
•	Um conjunto de Subtooling  - R$2.500,00</t>
  </si>
  <si>
    <t>CR-0142132-00</t>
  </si>
  <si>
    <t>CTO PROPOSAL - LIFTGATE EXT - SPIN MY25 Change Proposals: Replace Terminal from E17579700 to 32025Y32U applied to Liftgate Ext (CTO) Print Affected: 52167967 .
Terminal são da mesma família.
Sem necessidade de investimento para engenharia corte/lead prep.</t>
  </si>
  <si>
    <t>CR-0142135-00</t>
  </si>
  <si>
    <t xml:space="preserve">CTO PROPOSAL - LIFTGATE EXT - SPIN MY25 Change Proposal: Replace Terminal from E17580100 to 32025Y32V applied to Liftgate Ext (CTO) Print Affected: 52167967
terminal é da mesma família
Favor considerar:
•	01 Validação conforme norma USCAR 21.  R$3.350,00 - Motivo : troca de part number </t>
  </si>
  <si>
    <t xml:space="preserve">CTO PROPOSAL - ENGINE LI3 52167983 SPIN MY25 Replace Orange Spot Tape from E29473000 to E00025084 applied to Engine LI3 (CTO) Print Affected: 52167983
Sem necessidade de investimento para engenharia corte / lead prep.
</t>
  </si>
  <si>
    <t>CTO PROPOSAL - ENGINE LI3 SPIN MY25 Change Proposal: Replace terminal for Injector connector to Engine LI3 From: 32025Y2MU To: E14929200 Print affected: 52167983
@Silva, Marcos Dionisio DA, preciso da cut sheet para avaliação das modificações que estão acontecendo neste CR.
Por favor me enviar o mais breve possível.
Em conversa com o Marcos Silva, foi entendido que todos os circuitos que aplicam o terminal 32025Y2MU será trocado para o terminal E14929200 no para o ENGINE_LI3.
Sendo assim:
Sem necessidade de investimento para engenharia corte/ lead prep.
Sem necessidade de investimento para engenharia corte/ lead prep.</t>
  </si>
  <si>
    <t>10:19:00
14:52</t>
  </si>
  <si>
    <t xml:space="preserve">silva, Marcos Dionisio DA, preciso da cut sheet para avaliação das modificações que estão acontecendo neste CR, 
Por favor me enviar o mais breve possível.
</t>
  </si>
  <si>
    <t>CTO PROPOSAL - ENGINE LI3 - SPIN MY25 Proposal Change: 1) Replace Sleeve from E37311300 to E40035900 applied to Engine LI3 (CTO) Print Affected: 52167983
Sem necessidade de investimento para engenharia corte / lead prep
Esta CR foi cancelada.</t>
  </si>
  <si>
    <t xml:space="preserve"> Engine GEM – MY2024 - MVBs</t>
  </si>
  <si>
    <t>CR-0141787-01</t>
  </si>
  <si>
    <t xml:space="preserve">1. GEM B NARROW - ENGINE 26373893 / 26373894 GEM-ROW-VAVE-953-000 Change terminal pn from 32025Y2MU ( APTIV 15344661) to E14929200 (APTIV 33523143).
Considerar investimento para corte e Lead prep.
1 Aplicador Mecal modelo MRSP1 para terminal E14929200.
1 Validação conforme Norma USCAR21, para terminal E14929200  com cabo de bitola 0.75 isolação 65766. Scrap R$ 672,99
</t>
  </si>
  <si>
    <t>CR-0136024-01</t>
  </si>
  <si>
    <t xml:space="preserve">Engine GEM – MY2024 - MVBs
</t>
  </si>
  <si>
    <t>SPIN – MY2025 - PPV Família: SEAT</t>
  </si>
  <si>
    <t>SPIN – MY2025 - PPV Família: SEAT Tipo: Cost Reduction Ref Doc Number: CTO
Assunto: 1. CTO PROPOSAL - CHANGE CLIP TO SEAT WH - SPIN MY25 Change Proposal: Replace Clip from E14064200 to E00002885 applied to Seat WH (CTO) Prints affected: 
Sem necessidade de investimento para engenharia corte/lead prep.
Apenas alteração de Clip.</t>
  </si>
  <si>
    <t>CR-0142229-00</t>
  </si>
  <si>
    <t>CR-0142230-00</t>
  </si>
  <si>
    <t>Spin</t>
  </si>
  <si>
    <t>GEM – MY2022 - MVBs Família: Fuel Injector</t>
  </si>
  <si>
    <t xml:space="preserve">Assunto: 1. WLL Aplication requested by the Process Team. Project Affected - GEM - Fuel Injector - 25201134 - MY22 - MVBS
Analise feita base WLL Considerar sem investimento para corte e Lead Prep.
5291B alteração de comprimento de 215mm Para 210mm Stock Use.
</t>
  </si>
  <si>
    <t>CR-0142235-00</t>
  </si>
  <si>
    <t xml:space="preserve"> Body GEM – MY2026 – MVBns –</t>
  </si>
  <si>
    <t>Atenção time, seguindo direcionamento do @Barbosa, Alexsandro Da Silva o qual relatou que foi definido em reunião realizada com time GM (Anderson/Emilene) que as CRs referente ao MY21026 serão analisadas considerando a Pspec da norma GC4210 ver:08(atual do projeto GEM) e NÃO a CG4210 rev14 que foi utilizada para o processo de Pré cotação do novo MY.
Segundo Alex esta alterando somente 1 lado(conector) do cabo coaxial do Body. 
The proposal consists of changing the GPS / Cellular / AM FM coaxial cables of vehicles with OnStar. Proposal 1 – Changing the connectors only on the antenna side + coaxial cables, affecting only the Body WH harness.
Analise  feita base  documentos da CR-0142235-00 considerar sem impacto para corte e Lead Prep.</t>
  </si>
  <si>
    <t>CR-0142236-00</t>
  </si>
  <si>
    <t xml:space="preserve">SPIN – MY2025 - PPV - IP &amp; LIFTGATE EXT </t>
  </si>
  <si>
    <t>CTO PROPOSAL - IP &amp; LIFTGATE EXT - SPIN MY25 Change Proposal: Replace Clip from E14618600 to E07869100 applied to Lift Ext / IP WH (CTO) Print affected: 52167967 (Lift Ext) &amp; 52167961 (IP)
Sem necessidade de investimento para engenharia corte/lead prep.
Apenas alteração de Clip</t>
  </si>
  <si>
    <t>CR-0142238-00</t>
  </si>
  <si>
    <t>SPIN – MY2025 - PPV Família: IP</t>
  </si>
  <si>
    <t>SPIN – MY2025 - PPV Família: IP Tipo: Cost Reduction Ref Doc Number: CTO
Assunto: 1. CTO PROPOSAL - IP - SPIN MY25 Change Proposal: Replace Clip from E01696800 to 3203508Z5 applied to IP WH (CTO) Print Affected: 52167961 (IP)
Sem necessidade de investimento para engenharia corte/lead prep.
Apenas alteração de Clip</t>
  </si>
  <si>
    <t>CR-0142270-00</t>
  </si>
  <si>
    <t>GEM ROOF</t>
  </si>
  <si>
    <t>GEM – MY2022 - MVBs Família: ROOF Tipo: Cost Reduction 
Assunto: 1. WLL- application as requested by the Process Team. Project Affected - GEM - ROOF - 26302807 - MY22 - MVBS
Analise feita base WLL Considerar sem investimento para corte e Lead Prep.
Alteração de comprimento de 1150 mm Para 1145mm Stock Use</t>
  </si>
  <si>
    <t>CR-0142271-00</t>
  </si>
  <si>
    <t>SPIN – MY2025 - PPV Família: IP Tipo: Cost ReductionRef Doc Number: CTO
Assunto: 1. CTO PROPOSAL - IP SPIN MY25 Change Proposal: Replace Clip from E01696800 to E06408700 applied to IP WH (CTO) Print Affected: 52167961 (IP) 
Sem necessidade de investimento para engenharia corte/lead prep.
Apenas alteração de Clip E01696800 para E06408700</t>
  </si>
  <si>
    <t xml:space="preserve">SPIN – MY2025 - PPV Família: IP </t>
  </si>
  <si>
    <t xml:space="preserve"> CR-0142273-00</t>
  </si>
  <si>
    <t xml:space="preserve">SPIN – MY2025 - PPV Família: IP Tipo: Cost Reduction Ref Doc Number: CTO
Assunto: 1. 1. CTO PROPOSAL IP SPIN MY25 Change Proposal: Replace Clip from E10051300 to E00029294 applied to IP WH (CTO) Print Affected: 52167961 (IP)
Sem necessidade de investimento para engenharia corte/lead prep.
Apenas alteração de Clip E10051300 para E00029294
</t>
  </si>
  <si>
    <t>CR-0142275-00</t>
  </si>
  <si>
    <t xml:space="preserve">SPIN – MY2025 - PPV Família: IP Tipo: Cost Reduction Ref Doc Number: CTO
Assunto: 1. CTO PROPOSAL IP SPIN MY25 Change Proposal: Replace Clip from E13105600 to E13245100 applied to IP WH (CTO) Print Affected: 52167961 (IP).
Sem necessidade de investimento para engenharia corte/lead prep.
Apenas alteração de Clip E13105600 para E13245100
</t>
  </si>
  <si>
    <t>CR-0142276-00</t>
  </si>
  <si>
    <t xml:space="preserve">Body and IP Tipo: Cost Reduction Assunto: 1. The proposal consists of changing the GPS / Cellular / AM FM coaxial cables of vehicles with OnStar. Proposal – change of the connectors on the antenna side of the inline with IP WH, affecting the Body WH and IP WH harnesses. 
Analise  feita base  documentos da CR-0142235-00 considerar sem impacto para corte e Lead Prep.
Alteração do conector ANT WH SUBASSY,L=3490MM Part Number E40119200
Alteração do conector ANT WH SUBASSY,L=3400MM Part Number E40119100
Alteração do conector ANT WH SUBASSY,L=3490MM Part Number E40124700
</t>
  </si>
  <si>
    <t xml:space="preserve"> GEM-Body and IP
</t>
  </si>
  <si>
    <t>CR-0141550-01</t>
  </si>
  <si>
    <t xml:space="preserve">SPIN – MY2025 - PPV - -CONSOLE / 2-REAR BUMPER / 3-LICENSE PLATE / 4-FRONT SEATS / 5-FUEL PUMP / 6-IS RR VIEW MIRROR </t>
  </si>
  <si>
    <t>CR-0142239-00</t>
  </si>
  <si>
    <t>SPIN – MY2025 - PPV - IP</t>
  </si>
  <si>
    <t>1. FAMILIES AFFECTED: 1-CONSOLE / 2-REAR BUMPER / 3-LICENSE PLATE / 4-FRONT SEATS / 5-FUEL PUMP / 6-IS RR VIEW MIRROR ,
2. PAGE 2 - Change Inline to IP Connector (X16X225_X1), wire cavity and terminals change; PAGE
3 - Add spot tape under clip due to a better retention; PAGE
4 - Change clip due to a better retention PAGE
5/PAGE
6 - Change HearShirink Supplier from TE to CYG PAGE
7 - Change Label Position - Not affect ADD-REM PAGE
8 - Change connector squib from supplier TE to APTIV - Not affect ADD-REM PAGE
9 - Change the distance between the back of connector and the end of covering on the branch - Not affect ADD-REM PAGE
10 - Change terminal due the Validation Reproval
Favor considerar:
•	Para o Console 52167974 troca do terminal de E11731500 para E27713500  – 01 Miniaplicador modelo MRSJ1- VALOR:R$6.500,00          	    Esta ferramenta já foi comprada no projeto
          - 01 validação conforme Norma USCAR 21-Valor :R$3.350,00            Não sei a data de BP para esta validação, por isso se faz necessário o investimento 
•	Para o Console 52167974 troca do terminal de E11731500 para E16318100  – 01 Miniaplicador modelo MRSJ1- VALOR:R$6.500,00                           Esta ferramenta já foi comprada no projeto
          - 02 validação conforme Norma USCAR 21 --Valor :R$6.700,00	       Não sei a data de BP para esta validação, por isso se faz necessário o investimento
•	Para o Rear Bumper 52167977 troca do termo retrátil de 3299362G2 para E16718500 – Necessário 2 validações  de acordo com a Norma GMW 17136 -Valor : R$7.034,00
•	
•	Para o Fuel Tank 52169532 troca de terminal 3202538B6 para 32025Y3FC - 01 Miniaplicador modelo MRSJ1- VALOR:R$6.500,00          	       Esta ferramenta já foi comprada no projeto
      - 01 validação conforme Norma USCAR 21 - Valor :R$3.350,00                 Não sei a data de BP para esta validação, por isso se faz necessário o investimento 
•	Para o license plate 52169548 Troca do termo retrátil de 3299362G2 para E16718500 - Necessário 2 validações  de acordo com a Norma GMW 17136 -Valor : R$7.034,00
•	SCRAP para validação : R$786,20
___A necessidade das ferramentas e validações são necessárias porque as ferramentas anteriores já foram produzidas e já estão na planta.</t>
  </si>
  <si>
    <t>12:05:00
13:13</t>
  </si>
  <si>
    <t>CR-0142256-00</t>
  </si>
  <si>
    <t>Replace Terminal from E05958300 to E16318300 applied to IP WH (CTO) Print Affected: 52167961 (IP)
Sem necessidade de investimento para compra de Mini aplicador porque o desenho é o mesmo e o terminal é da mesma família. Quanto as validações serão necessárias devido ao PN do terminal ser diferente.
Favor considerar:
•	02 validações conforme Norma USCAR 21 – Valor R$ 6.700,00</t>
  </si>
  <si>
    <t>CR-0142283-00</t>
  </si>
  <si>
    <t>SPIN – MY2025 - PPV - IP &amp; BODY</t>
  </si>
  <si>
    <t>Replace Terminal from E08962800 to E08814300 applied to IP &amp; BODY WH (CTO) Print Affected: 52167961 (IP) / 52167938 (BODY)
Boa tarde.
CR reprovada por engenharia de corte/ lead prep. O terminal E08814300 não aplica bitola de 0,35mm². Já houve reprova no passado devido a não repetibilidade do processo nas aplicações.</t>
  </si>
  <si>
    <t>CR-0142232-01</t>
  </si>
  <si>
    <t>SPIN – MY2025 - PPV - LIFT Ext / LICENSE / RR VIEW</t>
  </si>
  <si>
    <t>CR-0142284-00</t>
  </si>
  <si>
    <t>CR-0142237-00</t>
  </si>
  <si>
    <t>SPIN – MY2025 - PPV - DRIVER DOOR / CO DRIVER DOOR / REAR LEFT DOOR / REAR RIGHT DOOR PAGE</t>
  </si>
  <si>
    <t>CR-0142285-00</t>
  </si>
  <si>
    <t>SPIN – MY2025 - PPV - Console</t>
  </si>
  <si>
    <t>Replace Clip from E24203200 to 32035200N applied to CONSOLE WH (CTO) Print Affected: 52167974
Sem necessidade de investimento para engenharia corte/lead prep</t>
  </si>
  <si>
    <t>CR-0142312-00</t>
  </si>
  <si>
    <t>GEM – MY2022.5 – MVBs - Console</t>
  </si>
  <si>
    <t>CR-0142314-00</t>
  </si>
  <si>
    <t xml:space="preserve">GEM – MY2022.5 – MVBs </t>
  </si>
  <si>
    <t>Analise feita base WLL alteração de comprimento, considerar sem impacto para corte e Lead Prep</t>
  </si>
  <si>
    <t>WLL application as requested by the process team. project affected - GEM - CONSOLE - 26373478 - MY22.5 – MVBs
Analise feita base WLL alteração de comprimento, considerar sem impacto para corte e Lead Prep.</t>
  </si>
  <si>
    <t>CR-0142361-00</t>
  </si>
  <si>
    <r>
      <t xml:space="preserve">Add wire 550 on the front door driver instead of the front door co_driver, Wire 550 replaced from 3D 52167991 to 3D 52167941.
PAGE 3 - Apply hank tape to tie up branches same as current Front Door Driver WH (SPIN MY23); PAGE
4 - Apply hank tape to tie up branches same as current Front Door CO_DRIVER WH (SPIN MY23); PAGE
5 - Apply hank tape to tie up branches same as current Rear Door LH WH (SPIN MY23); PAGE
6 - Apply hank tape to tie up branches same as current Rear Door RH WH (SPIN MY23); PAGE
7 - Apply heatshrink tube on Front Doors WH splices to avoid water contact; PAGE
8 - Apply heatshrink tube on Rear Door RH WH splice to avoid water contact; PAGE
9 -Apply heatshrink tube on Rear Door RH WH splice to avoid water contact; PAGE
10 - Change all Tyco Heatshrink tube to CYG/EUROTECH Heatshrink tube; PAGE
11 - Remove wire 550 from Front Door CO_DRIVER, Wire 550 replaced from 3D 52167991 to 3D 52167941. PAGE
12 - Terminal changed due to validation reproval; PAGE
13 - Change the distance between the back of connector and the end of covering on the branch
Necessário o Delta CutiSheet para Avaliação.  Fico no agurado
</t>
    </r>
    <r>
      <rPr>
        <b/>
        <sz val="11"/>
        <color theme="1"/>
        <rFont val="Calibri"/>
        <family val="2"/>
        <scheme val="minor"/>
      </rPr>
      <t>•	01 mini aplicador MRSJ1 R$ 6.553,00 ( Obs. : este mini aplicador já foi considerado na CR-0142361-00)
•	05 validações conforme norma GMW 17136)   R$ 17.585,00.
•	Scrap R$684,20</t>
    </r>
  </si>
  <si>
    <t>03/01/2023
03/01/2023</t>
  </si>
  <si>
    <t>07:07:00
12:03</t>
  </si>
  <si>
    <r>
      <t xml:space="preserve">CTO PROPOSAL - IP SPIN MY25 Change Proposal Replace Terminal from E33551600 to E08963400 applied to IP WH (CTO) Print Affected: 52167961 (IP)
Favor considerar:
•	01 aplicador modelo MRSJ1 – Valor R$6.500,00   Motivo; Os desenho não são da mesma família e não é possível dizer se os subtooling será o mesmo para a aplicação. Necessário efetuar o teste antes para validação.
•	01 validação conforme Norma USCAR 21 – Valor R$3.350,00
</t>
    </r>
    <r>
      <rPr>
        <b/>
        <sz val="11"/>
        <color theme="1"/>
        <rFont val="Calibri"/>
        <family val="2"/>
        <scheme val="minor"/>
      </rPr>
      <t>Após análise do Delta Cuti Sheet favor considerar:
•	01 aplicador modelo MRSJ1 – Valor R$6.500,00   Motivo; Os desenho não são da mesma família e não é possível dizer se os subtooling será o mesmo para a aplicação. Necessário efetuar o teste antes para validação.
•	01 validação conforme Norma USCAR 21 – Valor R$3.350,00
•	Scrap para validação R$112,00
Fico a diaposição.
Necessário Delta Cut Sheet para avaliação.
Fico no aguard</t>
    </r>
    <r>
      <rPr>
        <sz val="11"/>
        <color theme="1"/>
        <rFont val="Calibri"/>
        <family val="2"/>
        <scheme val="minor"/>
      </rPr>
      <t xml:space="preserve">o
</t>
    </r>
  </si>
  <si>
    <t>02/01/2023
02/01/2023
05/01/2023</t>
  </si>
  <si>
    <t>14:36:00
17:18
16:29</t>
  </si>
  <si>
    <r>
      <t xml:space="preserve">Replace Terminal from 3202586X6 to 3202655T1 applied to BODY WH (CTO) Print Affected: 52167938 (BODY)
Necessário para avaliação o Delta Cut Sheet.
Fico no agurado
</t>
    </r>
    <r>
      <rPr>
        <b/>
        <sz val="11"/>
        <color theme="1"/>
        <rFont val="Calibri"/>
        <family val="2"/>
        <scheme val="minor"/>
      </rPr>
      <t>Após o envio da Cut sheet no dia 04/01/2023 veerificou-se que as trocas será para todos os terminais do projeto e o terminal é da mesma família.
Sem necessidade de investimento para engenharia corte/lead prep.</t>
    </r>
  </si>
  <si>
    <t>03/01/2023
06/01/2023</t>
  </si>
  <si>
    <t>06:58:00
07:09</t>
  </si>
  <si>
    <r>
      <t xml:space="preserve">Necessário o Delta Cut Sheet para avaliação.
Fico no agurado.
</t>
    </r>
    <r>
      <rPr>
        <b/>
        <sz val="11"/>
        <color theme="1"/>
        <rFont val="Calibri"/>
        <family val="2"/>
        <scheme val="minor"/>
      </rPr>
      <t>De acordo com o e-mail do -@Santos, Carlos Andre Dos CSantos28@lear.com,  para esta CR está apenas sendo trocado para alguns circuitos. 
Sendo assim, favor considerar:
•	01 mini aplicador modelo MRSJ1 – Valor : R$6.503,00
•	02 validações conforme norma USCAR 21 – R$6.700,00
•	Scrap R$432,00</t>
    </r>
  </si>
  <si>
    <t>02/01/2023
06/01/2023</t>
  </si>
  <si>
    <t>17:15:00
09:12</t>
  </si>
  <si>
    <t>CR-0142184-00</t>
  </si>
  <si>
    <t>GEM – MY2024 - MVBs Body</t>
  </si>
  <si>
    <t>GEM – MY2024 - MVBs Família: Body Tipo: Cost Reduction
Assunto: 1. 1. 1. GEM B NARROW BODY 52174376 Change PN E08962800 (TE, 1-1924727-4) TO To: E08814300 ( TE, 1-1924727-1 ).
CR Reprovada Pela engenharia de Corte / Lead Prep.
Apesar de estar descrito em desenho o Terminal E08814300 para bitola 0.35. Não garante repetibilidade no processo de aplicação automática, já tivemos muitos problemas no passado relacionado esse terminal aplicado na bitola de 0.35.</t>
  </si>
  <si>
    <t xml:space="preserve">GEM – MY2024 - MVBs Família: IP Tipo: Cost Reduction Tipo: Cost Reduction Ref Doc Number: TBD
Assunto: 1. 1. GEM B NARROW IP 52174448 Change PN E08962800 (TE, 1-1924727-4) TO To: E08814300 ( TE, 1-1924727-1 ).
CR Reprovada Pela engenharia de Corte / Lead Prep.
Apesar de estar descrito em desenho o Terminal E08814300 para bitola 0.35. Não garante repetibilidade no processo de aplicação automática, já tivemos muitos problemas no passado relacionado esse terminal aplicado na bitola de 0.35.
</t>
  </si>
  <si>
    <t>CR-0142183-00</t>
  </si>
  <si>
    <t>GEM – MY2024 - MVBs  Família: IP</t>
  </si>
  <si>
    <t>GEM – MY2024 - MVBs Família: Body</t>
  </si>
  <si>
    <t>CR-0142185-00</t>
  </si>
  <si>
    <t>GEM – MY2024 - MVBs Família: Body Tipo: Cost Reduction Ref Doc Number: TBD
Assunto: 1. 1. 1. 1. GEM B NARROW BODY 52174375 Change PN E08962800 (TE, 1-1924727-4) TO To: E08814300 ( TE, 1-1924727-1 ).
CR Reprovada Pela engenharia de Corte / Lead Prep.
Apesar de estar descrito em desenho o Terminal E08814300 para bitola 0.35. Não garante repetibilidade no processo de aplicação automática, já tivemos muitos problemas no passado relacionado esse terminal aplicado na bitola de 0.35.</t>
  </si>
  <si>
    <t>CR-0142742-00</t>
  </si>
  <si>
    <t>adiciona um cabo na multicrimp do terminal E36802300Favor considerar:
•	04 validação conforme norma USCAR 38 ( Multicrimps para o terminal E36802300 R$2.380,00 (Configuração nova),
•	01 validação conforme norma GMW17136 (Termorretrátil devido a nova configuração) R$14.068,00 (Devido a nova configuração),
•	Scrap R$487,00</t>
  </si>
  <si>
    <t>CR-0142867-00</t>
  </si>
  <si>
    <t>Troca de p resilha.
Sem necessidade de investimento para engenharia corte/lead/prep.</t>
  </si>
  <si>
    <t>CR-0142878-00</t>
  </si>
  <si>
    <t>Troca de  presilhaBoa tarde.
Sem necessidade de investimento para engenharia corte/lead prep.</t>
  </si>
  <si>
    <t>CR-0142889-00</t>
  </si>
  <si>
    <t>CR-0142892-00</t>
  </si>
  <si>
    <t>CR-0142768-00</t>
  </si>
  <si>
    <t>GEM – MY2023 - MVBs -Engine</t>
  </si>
  <si>
    <t xml:space="preserve">Analise feita base WLL sem impacto para corte e Lead Prep.
Apenas considerar Scrap  R$ 5.948,26 </t>
  </si>
  <si>
    <t xml:space="preserve">GEM – MY2023 - MVBs  Engin WLL/TLL
</t>
  </si>
  <si>
    <t xml:space="preserve"> CR-0142865-00</t>
  </si>
  <si>
    <t xml:space="preserve">Application of WLL as requested by the Process team. Project Affected - GEM - ENGINE - 26373894 - MVBS.
Analise feita base WLL, sem impacto para corte e led Prep. circuitos alterados comprimento serão considerado STOCK USE.
</t>
  </si>
  <si>
    <t>CR-0143114-00</t>
  </si>
  <si>
    <t>VS30/2022_2/SORP  BODY AWE</t>
  </si>
  <si>
    <t xml:space="preserve"> PFD-VS30-BR907-AEHJ2022_02-2343
Assunto: 1. VS30 - WIRING HARNESS BODY,  2. PFD-VS30-BR907-AEHJ2022_02-2343_LU, 3. ISS-037212, 4. Affected drawings: BODY A9070011999/A9070012099/A9070014599/A9070014699/A9070014899/A9070014999/A9070015299/A9070015399/A9070015599/A9070015699/A9070015999/A9070016099/A9070016399/A9070016499., 5. Clip A9070002154 - CL369_00182 (LL) / CL100_00382 (RL) - between reference X332*1-B and Y97/6*1_1-B is replaced by A907 000 20 54.
Considerar sem impacto para corte e Lead Prep.
Alteração do Clip 329959GJ2 Para 329959GK0</t>
  </si>
  <si>
    <t>GEM – MY2023 – Running Change Família: IPTipo: TEWORef Doc Number : 4485333
Assunto: 1. GEM B NARROW IP HARNESS 52173191 MY23 BRAZIL TWO4485333 – GEM B-CAR Narrow JSJC/JBSC - Brazil 1. Allow supplier to use new components for 92W inline connection as described below: 1.2) IP WH - Connector 92 W - from TE PN 2317733-1 (GM PN: 26245588) to TE PN 2404983-1 (GM PN 26379009). 1.3) IP WH - Connector Cover from TE PN: 2317770-2 to TE PN: 2405044-2
Analise Feita base 52173191_CR-0143139-00_DELTA CUTSHEET, considerar sem impacto para corte e Lead Prep.
Alteração do conector 26245588 PARA 26379009</t>
  </si>
  <si>
    <t>CR-0143139-00</t>
  </si>
  <si>
    <t xml:space="preserve">GEM – MY2023 – Running Change  IP   TEWO
</t>
  </si>
  <si>
    <t>CR-0141682-01</t>
  </si>
  <si>
    <t>GEM – MY2021  Engine  Cost Reduction</t>
  </si>
  <si>
    <t xml:space="preserve">GEM – MY2021 Família: Engine Tipo: Cost Reduction  Assunto: 1. GEM B NARROW - ENGINE 26373893 Change PN E19721500 to E40035500
Analise feita base 26373893_CR-0141682-00_DELTA CUTSHEET. Considerar sem impacto para corte e Lead Prep.
</t>
  </si>
  <si>
    <t>CR-0136199-01</t>
  </si>
  <si>
    <t>GEM – MY2021  Fuel Injector</t>
  </si>
  <si>
    <t>CR-0143151-00</t>
  </si>
  <si>
    <t>GEM – MY2023- MVBs Família: Body Tipo: TEWO Ref Doc Number 4485333</t>
  </si>
  <si>
    <t xml:space="preserve">GEM -MY2023 MVBs Família: Body </t>
  </si>
  <si>
    <t>CR-0143001-01</t>
  </si>
  <si>
    <t>CR Cancelada</t>
  </si>
  <si>
    <t>SPIN – MY2025 – PPV Família: IP</t>
  </si>
  <si>
    <t>CR-0143001-00</t>
  </si>
  <si>
    <t>CR-0143420-00</t>
  </si>
  <si>
    <t xml:space="preserve">SPIN – MY2025 - PPV Família: BODY  Cost Reduction Ref Doc </t>
  </si>
  <si>
    <t>CR-0143446-00</t>
  </si>
  <si>
    <t xml:space="preserve"> SPIN – MY2025 – PPV Família: Body Tipo: Cost Reduction
</t>
  </si>
  <si>
    <t xml:space="preserve"> SPIN – MY2025 – PPV Família: Body
Tipo: Cost Reduction
Ref Doc Number: CTO
Assunto: 1. CTO PROPOSAL SPIN MY25 - BODY WRG Changes Proposal: Replace Clip from E18801800 to 3203510G5 applied to BODY WH (CTO) Print Affected: 52167938 (BODY).
Sem imapcto para corte e Lead Prep.</t>
  </si>
  <si>
    <t>CR-0143607-00</t>
  </si>
  <si>
    <t xml:space="preserve">GEM – MY2023 / Running Change
Família: IP
</t>
  </si>
  <si>
    <t>CR-0143460-00</t>
  </si>
  <si>
    <t>SPIN – MY2025 – PPV Família: Body</t>
  </si>
  <si>
    <t>SPIN – MY2025 – PPV
Família: Body
Tipo: Cost Reduction
Ref Doc Number: CTO
Assunto: 1. CTO PROPOSAL SPIN MY25 - BODY WRG Change Proposal: Replace Clip from E11577000 to E19208200 applied to BODY WH (CTO) Print Affected: 52167983 
Sem impacto para corte e Lead Prep.</t>
  </si>
  <si>
    <t>SPIN – MY2025 – PPV Família: Body
Cost Reduction</t>
  </si>
  <si>
    <t>CR-0143462-00</t>
  </si>
  <si>
    <t>SPIN – MY2025 – PPV
Família: Body
Tipo: Cost Reduction
Ref Doc Number: CTO
Assunto: 1. CTO PROPOSAL SPIN MY25 - BODY WRG Change Proposal: Replace Clip from E11577000 to E02744900 applied to BODY WH (CTO) Print Affected: 52167938 (BODY).
Considerar sem Impacto para corte e lead Prep.</t>
  </si>
  <si>
    <t>32025Y3B8</t>
  </si>
  <si>
    <t>CR-0143150-00</t>
  </si>
  <si>
    <t>GEM – MY2024/MVBs Família: Body Tipo: TEWO
Ref Doc Number 4485333</t>
  </si>
  <si>
    <t xml:space="preserve">GEM – MY2024/MVBs Família: Body Tipo: TEWO Ref Doc Number 4485333
Assunto: 1. 1. GEM B NARROW BODY HARNESS 52174376 MY24 MVBS TWO4485333 – GEM B-CAR Narrow JSJC/JBSC - Brazil 1.0 Allow supplier to use new components for 92W inline connection as described below: 1.1) Body WH - Connector 92W - from TE PN 2317734-1 (GM PN: 26245586) to TE PN 2404982-1 (GM PN: 26379006) 1.2) IP WH - Connector 92 W - from TE PN 2317733-1 (GM PN: 26245588) to TE PN 2404983-1 (GM PN 26379009). 1.3) IP WH - Connector Cover from TE PN: 2317770-2 to TE PN: 2405044-2
Considerar sem impacto para corte e lead Prep.
</t>
  </si>
  <si>
    <t xml:space="preserve">GEM – MY2023/PSORPFamília: Body Tipo: TEWO Ref Doc Number: 4485333
Assunto: 1. 1. GEM B NARROW BODY HARNESS 52173158 MY23 PSORP3 TWO4485333 – GEM B-CAR Narrow JSJC/JBSC - Brazil 1.0 Allow supplier to use new components for 92W inline connection as described below: 1.1) Body WH - Connector 92W - from TE PN 2317734-1 (GM PN: 26245586) to TE PN 2404982-1 (GM PN: 26379006) 1.2) IP WH - Connector 92 W - from TE PN 2317733-1 (GM PN: 26245588) to TE PN 2404983-1 (GM PN 26379009). 1.3) IP WH - Connector Cover from TE PN: 2317770-2 to TE PN: 2405044-2
Considerar sem impacto para corte e Lead Prep.
</t>
  </si>
  <si>
    <t>CR-0143246-00</t>
  </si>
  <si>
    <t>GEM – MY2023/PSORP Família: Body Tipo: TEWO
Ref Doc Number: 4485333</t>
  </si>
  <si>
    <t>CR-0143247-00</t>
  </si>
  <si>
    <t xml:space="preserve">GEM – MY2024/MVBs
Família: Body
Tipo: TEWO
Ref Doc Number: 4485333
Assunto: 1. 1. GEM B NARROW BODY HARNESS 52174375 MY24 MVBs TWO4485333 – GEM B-CAR Narrow JSJC/JBSC - Brazil 1.0 Allow supplier to use new components for 92W inline connection as described below: 1.1) Body WH - Connector 92W - from TE PN 2317734-1 (GM PN: 26245586) to TE PN 2404982-1 (GM PN: 26379006) 1.2) IP WH - Connector 92 W - from TE PN 2317733-1 (GM PN: 26245588) to TE PN 2404983-1 (GM PN 26379009). 1.3) IP WH - Connector Cover from TE PN: 2317770-2 to TE PN: 2405044-2.
Considerar sem impacto para corte e Lead Prep.
</t>
  </si>
  <si>
    <t>GEM – MY2024/MVBs Família: Body
Tipo: TEWO
Ref Doc Number: 4485333</t>
  </si>
  <si>
    <t>GEM – MY2024/MVBs Família: IP Tipo: TEWO
Ref Doc Number: 4485333
Assunto: 1. GEM B NARROW IP HARNESS 52174448 MY24 BRAZIL TWO4485333 – GEM B-CAR Narrow JSJC/JBSC - Brazil 1. Allow supplier to use new components for 92W inline connection as described below: 1.2) IP WH - Connector 92 W - from TE PN 2317733-1 (GM PN: 26245588) to TE PN 2404983-1 (GM PN 26379009). 1.3) IP WH - Connector Cover from TE PN: 2317770-2 to TE PN: 2405044-2
Considerar sem impacto para corte e Lead Prep.</t>
  </si>
  <si>
    <t>GEM – MY2024/MVBs  Família: IP
Tipo: TEWO
Ref Doc Number: 4485333</t>
  </si>
  <si>
    <t>CR-0143140-00</t>
  </si>
  <si>
    <t>CR-0143599-00</t>
  </si>
  <si>
    <t xml:space="preserve">SPIN – MY2025 – PPV
Família: Body
Tipo: Cost Reduction
</t>
  </si>
  <si>
    <t>SPIN – MY2025 – PPV
Família: Body
Tipo: Cost Reduction
Ref Doc Number: CTO
Assunto: 1. CTO PROPOSAL SPIN MY25 - BODY WRG Change Proposal: Replace Clip from 3203511Y2 to E20230200 applied to BODY WH (CTO) Print Affected: 52167938 (Body)
Considerar sem impacto para corte e Lead Prep.</t>
  </si>
  <si>
    <t>SPIN – MY2025 – PPV Família: Body Tipo: Cost Reduction Ref Doc Number: CTO
Assunto: 1. CTO PROPOSAL SPIN MY25 - BODY WRG Change Proposal Replace Clip from 3203511Y2 to 3203510G5 applied to BODY WH (CTO) Print Affected: 52167938 (BODY)
Considerar sem impacto para corte e Lead Prep.</t>
  </si>
  <si>
    <t>CR-0143602-00</t>
  </si>
  <si>
    <t>SPIN – MY2025 – PPV
Família: Body
Tipo: Cost Reduction
Ref Doc Number: CTO</t>
  </si>
  <si>
    <t>CR-0143603-00</t>
  </si>
  <si>
    <t xml:space="preserve">avaliar impacto para a alteração proposta na CR-0143603-00.  Projeto: SPIN – MY2025 – PPV Família: Body Tipo: Cost Reduction
Ref Doc Number: CTO
Assunto: 1. CTO PROPOSAL SPIN MY25 - BODY WRG Change Proposal Replace Clip from 3203511Y2 to E05168500 applied to BODY WH (CTO) Print Affected: 52167938 (BODY)
Considerar sem impacto para corte e Lead Prep.
</t>
  </si>
  <si>
    <t>CR-0143733-00</t>
  </si>
  <si>
    <t xml:space="preserve">SPIN – MY2025 – PPVFamília: BodyTipo: Cost ReductionRef Doc Number: CTO
Assunto: 1. CTO PROPOSAL SPIN MY25 - BODY WRG Change Proposal: Replace Clip from E18801800 to E05168500 applied to BODY WH (CTO) Print Affected: 52167938 (BODY)
Favor considerar sem impacto para corte e lead Prep.
</t>
  </si>
  <si>
    <t xml:space="preserve">SPIN – MY2025 – PPV Família: Body Tipo: Cost ReductionRef Doc Number: CTO
Assunto: 1. CTO PROPOSAL SPIN MY25 - BODY WRG Change Proposal: Replace Clip from E18032200 to E04134300 applied to BODY WH (CTO) Print Affected: 52167938 (BODY)
Considerar em impacto para corte e Lead Prep.
</t>
  </si>
  <si>
    <t>CR-0143458-00</t>
  </si>
  <si>
    <t>CR-0143613-00</t>
  </si>
  <si>
    <t>GEM – MY2025.5 / PPV
Família: Engine
Tipo: EWO
Ref Doc Number: 4479512</t>
  </si>
  <si>
    <t xml:space="preserve">GEM – MY2025.5 / PPV Família: Engine Tipo: EWO
Ref Doc Number: 4479512
Assunto: 1. GEM B NARROW ENGINE 52172425 MY25.5 Change options of current ENGINE WH in order to avoid suplicity in the system (no physical change – just RPOs updating)
Boa tarde considerar sem impacto para corte e Lead Prep.
Adionado 2 circuitos novos já temos aplicadores 
</t>
  </si>
  <si>
    <t>GEM – MY2024 / MVBs.Família: IP
Tipo: TEWO
Ref Doc Number: 4487197</t>
  </si>
  <si>
    <t>CR-0143611-00</t>
  </si>
  <si>
    <r>
      <t xml:space="preserve">2. 1 - Alteração de Terminal DE E03355500 (AG) PARA E03355600 (SN), conforme esquema elétrico; 2 - Comunização de Selo DE 320455A3W PARA 3204513B1;
3 - Troca de Terminal DE 3202586Z2 PARA E08814300;
4 - Melhoria no Termo encolhível do item X86RVC_X1 DE 3299365JY PARA E16718500;
5 - Troca dos pontos de fita de amarre do tubo de água DE E15837200 PARA E15837000;
6 - Remoção do clipe 3203520FJ do BOM (Esta clipe já virá acoplado ao cabo de antena);
7 - Remoção do ponto de fita PN E15837200 no ramal do conector A704_X1;
8 - Comunização de Cable Seal DE E26064500 PARA 3204558V3.
Favor considerar para corte e Lead Prep.
</t>
    </r>
    <r>
      <rPr>
        <strike/>
        <sz val="11"/>
        <color theme="1"/>
        <rFont val="Calibri"/>
        <family val="2"/>
        <scheme val="minor"/>
      </rPr>
      <t>03 Configuração Vision System R$ 4.571,25</t>
    </r>
    <r>
      <rPr>
        <sz val="11"/>
        <color theme="1"/>
        <rFont val="Calibri"/>
        <family val="2"/>
        <scheme val="minor"/>
      </rPr>
      <t xml:space="preserve">
02 kits de inserção Komax para Selo 3204513B1 valor unitário  R$ 21.000,00
02 Validações conforme Norma USCAR21
01 validação conforme norma GMW17136 condicionado a aprovação nos testes.
Scrap amostras de validações R$ 368,08 
Errata Foi feito Cross com a CUT atualizada e não será necessário a compra das Configurações Vision System reportado no email anterior pois já estarão dentro do pacote inicial de configurações.
</t>
    </r>
  </si>
  <si>
    <t>GEM – MY2024 / MVBs. Família: IP Tipo: TEWO
Ref Doc Number: 4487197
Assunto: 1. GEM B NARROW IP HARNESS 52174448 MY24 BRAZIL TWO4487197 – GEM B-CAR Narrow JSJC/JBSC - Brazil 1) Change IEC cardboard design (IP WH) as described in VCD.
Considerar sem impacto para corte e lead Prep.</t>
  </si>
  <si>
    <t>CR-0143891-00</t>
  </si>
  <si>
    <t>GEM – MY2023 – Running Change Família: IP
Tipo: TEWO
Ref Doc Number: 4487197</t>
  </si>
  <si>
    <t>GEM – MY2023 – Running ChangeFamília: IPTipo: TEWO
Ref Doc Number: 4487197
Assunto: 1. GEM B NARROW IP HARNESS 52173191 MY23 BRAZIL TWO4487197 – GEM B-CAR Narrow JSJC/JBSC - Brazil 1) Change IEC cardboard design (IP WH) as described in VCD.
Considerar sem Impacto para corte e lead Prep.</t>
  </si>
  <si>
    <t>CR-0143513-00</t>
  </si>
  <si>
    <t>GEM – MY2025 – PPV
Família: Body
Tipo: EWO
Ref Doc Number: 4479512</t>
  </si>
  <si>
    <t xml:space="preserve">GEM – MY2025 – PPV Família: Body Tipo: EWO
Ref Doc Number: 4479512
Assunto: 1. 1. 1. 1. GEM B NARROW BODY HARNESS 52173159 MY25 MVBS EWO 4479512 - GEM JBSC/JBJC – Brazil – WH PNs Release for PL8 phase 1 – MY25.5 A.1) Change options of current Body WH in order to avoid suplicity in the system (no physical change – just RPOs updating).
4 Validações terminais Conforme norma USCAR21.
10 validações de Splice Conforme norma USCAR45.
Scrap Splice Validações USCAR45 Splice  R$ 2.961,60
Scrap Validações USCAR 21 Terminal R$ 566,20 
Scrap Circuitos alterados e Saindo de Produção R$ 3.386,14 </t>
  </si>
  <si>
    <t>CR-0144003-00</t>
  </si>
  <si>
    <t xml:space="preserve">SPIN – MY2025 – APPV
Família: Console
Tipo: ...
Ref Doc Number: WLL/TLL
</t>
  </si>
  <si>
    <t>Assunto: 1. WLL application as requested by the process team. Project affected - SPIN - CONSOLE - 52167974 - MY25 – APPV.
Sem impacto para Analise feita base WLL considerando todos Como Stock Use.</t>
  </si>
  <si>
    <t xml:space="preserve">
SPIN – MY2025 – PPV Família: Engine Tipo: CR
Ref Doc Number: PNs Engine Evolution
Assunto: 1. For reference only CR was opened just to show the Pns evolution for Engine SPIN MY25 PPV Phase For technical changes see CR-0141181-00 (ECR 4442391). Prints Affected: 52169571 (Engine LHE) 52167983 (Engine LI3)Sem impacto para corte e Lead Prep.
Analise feita considerando Informação do Email em anexo, informando que não há alteração Técnica.</t>
  </si>
  <si>
    <t>CR-0144006-00</t>
  </si>
  <si>
    <t>SPIN – MY2025 – PPV
Família: Engine
Tipo: CR</t>
  </si>
  <si>
    <t>CR-0144133-00</t>
  </si>
  <si>
    <t>SPIN – MY2025 – APPV
Família: LICENSE PLATE / Engine
Tipo: WLL / TLL</t>
  </si>
  <si>
    <t>SPIN – MY2025 – APPV Família: LICENSE PLATE / Engine Tipo: WLL / TLL Ref Doc Number: -
Assunto: 1. WLL application as requested by the process team. Project affected - SPIN - LICENSE PLATE - Engine - 52169548 - MY 25 - APPV.
Sem impacto para corte e Lead Prep.
Analise feita base WLL considerando todos Como Stock Use.</t>
  </si>
  <si>
    <t>CR-0144143-00</t>
  </si>
  <si>
    <t>SPIN – MY2025 – APPV
Família: OBJECT ALARM / Engine
Tipo: WLL / TLL
Ref Doc Number: -</t>
  </si>
  <si>
    <t>SPIN – MY2025 – APPV Família: OBJECT ALARM / Engine Tipo: WLL / TLLRef Doc Number: -
Assunto: 1. WLL application as requested by the Process team. Project Affected - SPIN - OBJECT ALARM - 52167977 - MY25 - APPV
Sem impacto para corte e Lead Prep. Analise feita base WLL considerando todos Como Stock Use.</t>
  </si>
  <si>
    <t>CR-0144126-00</t>
  </si>
  <si>
    <t>:SPIN – MY2025 – APPV
Família: Engine
Tipo: WLL / TLL</t>
  </si>
  <si>
    <t>SPIN – MY2025 – APPV Família: Engine Tipo: WLL / TLLRef Doc Number: -
Assunto: 1. WLL application as requested by the Proccess team. Project Affected - SPIN - ENGINE - 52167983 - MY25 - APPV.
Sem impacto para corte e Lead Prep.
Analise feita base WLL considerando todos Como Stock Use.</t>
  </si>
  <si>
    <t xml:space="preserve"> CR-0144130-00</t>
  </si>
  <si>
    <t>SPIN – MY2025 – APPV
Família: Engine
Tipo: WLL / TLL</t>
  </si>
  <si>
    <t xml:space="preserve">SPIN – MY2025 – APPVFamília: EngineTipo: WLL / TLLRef Doc Number: -
Assunto: 1. WLL aplication as requested by the process team. Project affected - SPIN - ENGINE - 52167983 - MY 25 - APPV
WLL aplication as requested by the process team. Project affected - SPIN - ENGINE - 52167983 - MY 25 - APPV
CR CANCELADA conforme email anexo.Não necessário avaliar.
</t>
  </si>
  <si>
    <t>CR-0144188-00</t>
  </si>
  <si>
    <t xml:space="preserve">SPIN – MY2025 – APPV
Família: Engine
Tipo: WLL / TLL
</t>
  </si>
  <si>
    <t>SPIN – MY2025 – APPVFamília: EngineTipo: WLL / TLLRef Doc Number: -
Assunto: 1. WLL application as requested by the Process team. Project affected - SPIN - ENGINE LHE- 52169571 - MY25 - APPV.
Sem impacto para corte e Lead Prep.
Analise feita base WLL considerando todos Como Stock Use.</t>
  </si>
  <si>
    <t>SPIN – MY2025 – APPV
Família: FUEL PUMP
Tipo: WLL / TLL
Ref Doc Number: -
Assunto: 1. WLL application as requested by the Process team. Project affected - SPIN - FUEL PUMP - 52169532 - MY25 - APPV.</t>
  </si>
  <si>
    <t xml:space="preserve">SPIN – MY2025 – APPV
Família: FUEL PUMP
Tipo: WLL / TLL
</t>
  </si>
  <si>
    <t xml:space="preserve"> CR-0144198-00</t>
  </si>
  <si>
    <t>CR-0144482-00</t>
  </si>
  <si>
    <t>SPIN – MY2025 – APPV - LIFTGATE
Tipo: WLL/TLL</t>
  </si>
  <si>
    <t>apenas WLL.
Sem necessidade de investimento para engenharia corte/ lead prep.</t>
  </si>
  <si>
    <t>CR-0142237-01</t>
  </si>
  <si>
    <t>CR-0144226-00</t>
  </si>
  <si>
    <t>SPIN – MY2025 – PPV - Console</t>
  </si>
  <si>
    <t>SPIN – MY2025 - PPV</t>
  </si>
  <si>
    <t>CR-0143001-02</t>
  </si>
  <si>
    <t>SPIN – MY2025 – PPV - IP</t>
  </si>
  <si>
    <t>Considerando que vamos fazer as validações já com os part numbers da Eurotech, não estou considerando investimento para esta CR com relação a troca dos termoretráteis. Importante garantir que todos os part numbers estejam aqui  na planta para a fase APPV  e para a validação.
Sem necessidade de investimento para engenharia corte/lead prep.</t>
  </si>
  <si>
    <t>Assunto: 1. 1. FAMILY AFFECTED: CONSOLE 2.
PAGE 2 - Change Inline to IP Connector (X16X225_X1), wire cavity and terminals change;
PAGE 3 - Add spot tape under clip due to a better retention;
PAGE 4 - Change clip due to a better retention
PAGE 5 - Change the distance between the back of connector and the end of covering on the branch - Not affect ADD-REM
Sem necessidade de investimento para engenharia corte/lead prep</t>
  </si>
  <si>
    <t>CR-0141550-02</t>
  </si>
  <si>
    <t>SPIN – MY2025 – PPV - REAR BUMPER</t>
  </si>
  <si>
    <t>Considerando que vamos fazer as validações USCAR 38 diretamente com o novo part number, não será necessário investimento.
Sem necessidade de investimento para engenharia corte/lead prep.</t>
  </si>
  <si>
    <t>16;31</t>
  </si>
  <si>
    <t>CR-0144284-00</t>
  </si>
  <si>
    <t>SPIN – MY2025 – PPV - LICENSE PLATE / 2-FRONT SEATS / 3-FUEL PUMP / 4-IS RR VIEW MIRROR</t>
  </si>
  <si>
    <t>CR-0144308-00</t>
  </si>
  <si>
    <t xml:space="preserve">SPIN – MY2025 – PPV - LIFT GATE EXT </t>
  </si>
  <si>
    <t>16/16</t>
  </si>
  <si>
    <t>CR-0144373-00</t>
  </si>
  <si>
    <t>SPIN – MY2025 – PPV- FRONT DOOR DR</t>
  </si>
  <si>
    <t>CR-0144377-00</t>
  </si>
  <si>
    <t>SPIN – MY2025 – PPV - FRONT DOOR CO DR</t>
  </si>
  <si>
    <t>CR-0144385-00</t>
  </si>
  <si>
    <t>SPIN – MY2025 – APPV - REAR DOOR DRIVER</t>
  </si>
  <si>
    <t>CR-0144386-00</t>
  </si>
  <si>
    <t>CR-0144751-00</t>
  </si>
  <si>
    <t>SPIN – MY2025 – PPV - ALL FAMILIES APPLIED</t>
  </si>
  <si>
    <t>troca de fitas
Sem necessidade de investimento para engenharia corte/lead prep.</t>
  </si>
  <si>
    <t>CR-0144753-00</t>
  </si>
  <si>
    <t>SPIN – MY2025 – APPV - Engine</t>
  </si>
  <si>
    <t>WLL
Sem necessidade de investimento para engenharia corte/lead prep</t>
  </si>
  <si>
    <t>CR-0143513-01</t>
  </si>
  <si>
    <t xml:space="preserve">GEM – MY2025 – PPV
Família: Body
Tipo: EWO
</t>
  </si>
  <si>
    <t>Favor Considerar para corte Lead Prep.
4 Validações terminais Conforme norma USCAR21.
10 validações de Splice Conforme norma USCAR45.
Scrap Splice Validações USCAR45 Splice  R$ 2.961,60
Scrap Validações USCAR 21 Terminal R$ 566,20 
Scrap Circuitos alterados e Saindo de Produção R$ 4.293,67</t>
  </si>
  <si>
    <t>CR-0144540-00</t>
  </si>
  <si>
    <t>GEM – MY2024/MVBNs
Família: Engine
Tipo: Cost Reduction
Ref Doc Number: TBD</t>
  </si>
  <si>
    <t xml:space="preserve">Considerar sem Impacto para corte e Lead Prep. 
Scrap Tubo R$ 651,60
</t>
  </si>
  <si>
    <t>CR-0144983-00</t>
  </si>
  <si>
    <t>SPIN – MY2025 – APPV - Liftgate and Liftgate Extn</t>
  </si>
  <si>
    <t>Trata-se apenas da evolução dos PN's
Sem necessidade de investimento para engenharia corte / lead prep</t>
  </si>
  <si>
    <t>CR-0144962-00</t>
  </si>
  <si>
    <t>SPIN – MY2025 – APPV - IS RR VIEW MIR</t>
  </si>
  <si>
    <t>Apenas WLL.
Sem necessidade de investimento para engenharia corte / lead prep</t>
  </si>
  <si>
    <t>CR-0142361-01</t>
  </si>
  <si>
    <t>SPIN – MY2025 – PPV - Body</t>
  </si>
  <si>
    <t>CR-0144975-00</t>
  </si>
  <si>
    <t>SPIN – MY2025 – PPV - License Plate</t>
  </si>
  <si>
    <t>CR-0145060-00</t>
  </si>
  <si>
    <t>SPIN – MY2025 – APPV - FRONT SEAT DRIVER</t>
  </si>
  <si>
    <t>For reference only CR was opened just to show the Pns evolution for License Plate SPIN MY25 PPV Phase For technical changes see CR-0144284-00 (ECR 4493342) Prints Affected: 52169548 (License Plate).
Sem necessidade de investimento para engenharia corte/lead prep.</t>
  </si>
  <si>
    <t>TLL application as request by the Process team. Project Affected - SPIN - FRONT SEAT DRIVER - 52168898 - MY25 - APPV.
Sem necessidade de investimento para engenharia corte/lead prep.</t>
  </si>
  <si>
    <t>CR-0145061-00</t>
  </si>
  <si>
    <t>SPIN – MY2025 – APPV - FRONT CO SEAT DRIVER</t>
  </si>
  <si>
    <t>TLL application as request by the Process team. Project Affected - SPIN - FRONT CO SEAT DRIVER - 52168899 - MY25 - APPV.
Sem necessidade de investimento para engenharia corte/lead prep.</t>
  </si>
  <si>
    <t>CR-0143001-03</t>
  </si>
  <si>
    <t>SPIN – MY2025 – APPV - IP</t>
  </si>
  <si>
    <t>CR-0143513-02</t>
  </si>
  <si>
    <t>GEM – MY2025/ PPV - Body</t>
  </si>
  <si>
    <t>CR CANCELADA</t>
  </si>
  <si>
    <t>CR-0144229-00</t>
  </si>
  <si>
    <t>VS30/2022_2/SORP
Família: DOOR
Tipo: ISSUE
Número: ISS-037258</t>
  </si>
  <si>
    <t>CR-0144230-00</t>
  </si>
  <si>
    <t>VS30/2022_2/SORP
Família: Body
Tipo: ISSUE
Número: ISS-037257/ISS-037255 
Assunto: 1. VS30 - WIRING HARNESS BODY,
2. WLL/TLL application,</t>
  </si>
  <si>
    <t xml:space="preserve">Analise realizada base WLL e TLL  favor Considerar sem impacto para corte e lead Prep
Scrap Circuitos R$ 2.367,94
Scrap tubo R$ 2.046,23 
valor de obsoleto/scrap já foi considerado na cotação do release. @Santos, Marcelo Por gentileza considerar esta informação para retornar com a análise.
Base informação de que scrap já foi considerado cotação release  favor desconsiderar o Scrap reportado.
</t>
  </si>
  <si>
    <t>GEm</t>
  </si>
  <si>
    <t xml:space="preserve">
Considerar sem Impacto para corte e Lead Prep. 
Scrap Tubo R$ 651,60
Favor desconsiderar o scrap.
Premissa Considerando que entrada da fita seja somente quando o estoque do tubo for ficar quase zerado.
</t>
  </si>
  <si>
    <t xml:space="preserve">
4 Validações terminais Conforme norma USCAR21.
10 validações de Splice Conforme norma USCAR45.
Scrap Splice Validações USCAR45 Splice  R$ 2.961,60
Scrap Validações USCAR 21 Terminal R$ 566,20 
Scrap Circuitos alterados e Saindo de Produção R$ 4.293,67
                </t>
  </si>
  <si>
    <t>CR-0145355-00</t>
  </si>
  <si>
    <t>CR-0145354-00</t>
  </si>
  <si>
    <t>SPIN – MY2025 – APPV - FUEL PUMP</t>
  </si>
  <si>
    <t>TLL
Sem necessidade de investimento para engenharia corte/lead prep.</t>
  </si>
  <si>
    <t>CR-0145350-00</t>
  </si>
  <si>
    <t>SPIN – MY2025 – APPV - OBJECT ALARM</t>
  </si>
  <si>
    <t>TLL
Favor considerar:
•	02 kits de guias para corte dos tubos – R$ 16.000,00</t>
  </si>
  <si>
    <t>CR-0143516-01</t>
  </si>
  <si>
    <t>Favor considerar:
•	03 mini aplicadores MRSJ1 – R$19.659,00 para os terminais 32025Y2XV,3202547L3 e e04648500. Aplicadores novos.
•	03 validações conforme norma USCAR 21 R$10.050,00 para os terminais 32025Y2XV,3202547L3 e e04648500
•	01 validação conforme norma USCAR 45 R$1.130,00</t>
  </si>
  <si>
    <t>CR-0143513-03</t>
  </si>
  <si>
    <t>CR-0145315-00</t>
  </si>
  <si>
    <t>SPIN – MY2025 – PPV - RR Object Alarm</t>
  </si>
  <si>
    <t>For reference only CR was opened just to show the Pns evolution according ECR_4472429 (No Cost Impact) For all the technical changes see CR-0141550-02. Prints Affected: 52167977 (RR Object Alarm)
Sem necessidade de investimento para engenharia corte/lead prep.</t>
  </si>
  <si>
    <t>CR-0145183-00</t>
  </si>
  <si>
    <t>VS30/2022_2/SORP - IP</t>
  </si>
  <si>
    <t>CR-0145090-00</t>
  </si>
  <si>
    <t>SPIN – MY2025 – PPV - DOORS / CONSOLE</t>
  </si>
  <si>
    <t>1. NO CHANGES AND COST IMPACT!! All technical changes are considered in the following CR's: CR-0142237-01 - ECR 4473234 - DOORS CR-0144226-00 - ECR 4492990 - CONSOLE Prints Affected: 52167941 (Driver Door) 52167991 (Co Driver Door) 52169538 (Rear Door Left) 52169539 (Rear Door Right)
Sem necessidade de investimento para engenharia corte/lead prep</t>
  </si>
  <si>
    <t>CR-0145089-00</t>
  </si>
  <si>
    <t>SPIN – MY2025 – PPV - Fuel Pump / IS RR View Mirror</t>
  </si>
  <si>
    <t>1. For reference only CR was opened just to show the Pns evolution according ECR_4493342 (No Cost Impact) For all the technical changes see CR-0144284-00. Prints Affected: 52169532 (Fuel Pump) 52169540 (IS RR View Mirror) 52168898 / 52168899 (Front Seat
Sem necessidade de investimento para engenharia corte/lead prep.</t>
  </si>
  <si>
    <t>LICENSE PLATE /2-FRONT SEATS / 3-FUEL PUMP / 4-IS RR VIEW MIRROR, 2.
PAGE 2 - Change HearShirink Supplier from TE to CYG
PAGE 3 - Change Label Position - Not affect ADD-REM
PAGE 4 - Change connector squib from supplier TE to APTIV - Not affect ADD-REM
PAGE 5 - Change the distance between the back of connector and the end of covering on the branch - Not affect ADD-REM
PAGE 6 - Change terminal due the Validation Reproval
Favor considerar:
•	01 miniaplicador MRSJ1 R$6.500,00 - Devido a troca do terminal 3202538B6 para 32025Y3FC
•	01 validação conforme norma USCAR 21 R$3.350,00</t>
  </si>
  <si>
    <t>CR-0143462-01</t>
  </si>
  <si>
    <t>1. CTO PROPOSAL SPIN MY25 - BODY WRG Change Proposal: Replace Clip from E11577000 to E05245200 applied to BODY WH (CTO) Print Affected: 52167938 (BODY)
Sem necessidade de investimento para engenharia corte/lead prep.</t>
  </si>
  <si>
    <t>CR faltando informação do documento com assinatura emitido pela engenharia de processo. No BOM-COMPARISON não está muito bem definido o comprimento anterior do tubo.
Fico no aguardo das informações para posterior avaliação.
Considerando conforme informado no documento em anexo, favor considerar sem necessidade de investimento para engenharia corte/lead prep.
Somente fazendo uma ressalva que o documento em anexo ainda encontra-se sem as assinaturas necessárias e sem data de efetiavação.
Fico ao dispor</t>
  </si>
  <si>
    <t>11:45:00
16:09</t>
  </si>
  <si>
    <t>CR-0145439-00</t>
  </si>
  <si>
    <t>SPIN – MY2025 – APPV - ALL FAMILIES</t>
  </si>
  <si>
    <t xml:space="preserve">1. CTO PROPOSAL - SPIN MY25 Change Proposal: 1 - Replace Tape from E15837200 to E15837000 applied to ALL FAMILIES WRH HRN (CTO) - Where Used Prints Affected: 52167938 - Body 52167961 - IP 52167974 - Console 52169538 - RR Door Left 52169539 - RR Door Right 52169548 - Console
Sem necessidade de investimento para engenharia corte/lead prep. </t>
  </si>
  <si>
    <t>CR-0145453-00</t>
  </si>
  <si>
    <t>SPIN – MY2025 – APPV - REAR DOOR</t>
  </si>
  <si>
    <t>1. CTO PROPOSAL SPIN MY25 - REAR DOOR WRG Change Proposal Replace Clip FROM E00004952 TO 3299590J9. Print Affected: 52169538 and 52169539 - REAR DOOR
Sem necessidade de investimento para engenharia corte/lead prep.</t>
  </si>
  <si>
    <t>CR-0145466-00</t>
  </si>
  <si>
    <t>SPIN – MY2025 – PPV - ALL DOORS and LIFT GATE EXTENSION</t>
  </si>
  <si>
    <t>Assunto: 1. CTO PROPOSAL SPIN MY25 - ALL DOORS and LIFT GATE EXTENSION Change Proposal Replace CLIP FROM 32035208L TO 3203520BY Print Affected: 52167941 - DRIVER DOOR 52167991 - CO DRIVER DOOR 52169538 - REAR LEFT DOOR 52169539 - REAR RIGHT DOOR 52167967 - LIFT GATE EXTN.
Sem necessidade de investimento para engenharia corte/lead prep.</t>
  </si>
  <si>
    <t>CR-0145467-00</t>
  </si>
  <si>
    <t>SPIN – MY2025 – PPV -  BODY</t>
  </si>
  <si>
    <t>Assunto: 1. SPIN MY25 - BODY Proposal for improvement in the BODY assembly line. Remove spot tape E15837200 from points RN17 - X86G101_A_Z1 and RN14 - X86G101_B_X1 and change branch covering.
Sem necessidade de investimento para engenharia corte/lead prep.</t>
  </si>
  <si>
    <t>CR-0145457-00</t>
  </si>
  <si>
    <t>SPIN – MY2025 – PPV - LIFTGATE</t>
  </si>
  <si>
    <t>CR-0145528-00</t>
  </si>
  <si>
    <t>SPIN – MY2025 – PPV - BODY / ENGINE / LIFT GATE</t>
  </si>
  <si>
    <t>CR-0145542-00</t>
  </si>
  <si>
    <t>Assunto: 1. CTO PROPOSAL SPIN MY25 - BODY / ENGINE / LIFT GATE Change Proposal: Replace Clip FROM 3299590J9 TO 3203520BY. Print Affected: 52167938 - BODY 52169571 - ENGINE LHE 52167983 - ENGINE LI3 52167964 - LIFT GATE
Sem necessidade de investimento para engenharia corte/lead prep.</t>
  </si>
  <si>
    <t>Assunto: 1. CTO PROPOSAL SPIN MY25 - IP WIRING HARNESS Change Proposal Replace CLIP FROM E09439700 TO E07732100 Print Affected: 52167961 - IP
Sem necessidade de investimento para engenharia corte/lead prep.</t>
  </si>
  <si>
    <t>CR-0145547-00</t>
  </si>
  <si>
    <t>SPIN – MY2025 – PPV - BODY / DRIVER DOOR / CO DRIVER DOOR</t>
  </si>
  <si>
    <t>Assunto: 1. CTO PROPOSAL SPIN MY25 - BODY / DRIVER DOOR / CO DRIVER DOOR WIRING Change Proposal: Replace CLIP FROM E01255800 TO E03952400 Print Affected: 52167938 - BODY 52167941 - DRIVER DOOR 52167991 - CO DRIVER DOOR
Sem necessidade de investimento para engenharia corte/lead prep.</t>
  </si>
  <si>
    <t>CR-0145555-00</t>
  </si>
  <si>
    <t>SPIN – MY2025 – PPV -  IP</t>
  </si>
  <si>
    <t>Assunto: 1. CTO PROPOSAL SPIN MY25 - IP WIRING HARNESS Change Proposal: Replace CLIP FROM E10051300 TO E00029294 Print Affected: 52167961 – IP.
Sem necessidade de investimento para engenharia corte/lead prep.</t>
  </si>
  <si>
    <t>CR-0145565-00</t>
  </si>
  <si>
    <t>Assunto: 1. SCR 269573 - IP WRG HRN - SPIN MY25 SCR 269573 from TE cancelling the terminal PN 144432-1 (LPN 320263130). Change Proposal: Replace Terminal from 320263130 to 320257BW4 applied to IP WRH HRN due to SCR 269573 obsoleting the item 320263130. Print Affect: 52167961 (IP).
Favor considerar:
•	01 miniaplicador para o terminal 320257BW4 – R$6.500,00
•	01 validação conforme norma USCAR21 – R$ 3.350,00
Foi desconsiderado a “aba” Section 5:DELTA MULTICRIMP.</t>
  </si>
  <si>
    <t>17;21</t>
  </si>
  <si>
    <t>CR-0145518-00</t>
  </si>
  <si>
    <t>SPIN – MY2025 – PPV - REAR DOOR</t>
  </si>
  <si>
    <t>Assunto: 1. CTO PROPOSAL SPIN MY25 - REAR DOOR WRG Change Proposal Replace Clip FROM E00004952 TO 3203520BY. Print Affected: 52169538 and 52169539 - REAR DOOR
Sem necessidade de investimento para engenharia corte/lead prep.</t>
  </si>
  <si>
    <t>CR-0145631-00</t>
  </si>
  <si>
    <t>SPIN – MY2025 – PPV - All Families</t>
  </si>
  <si>
    <t>Assunto: 1. Issue for DFA/DFM - It´s applied to all families harnesses of the SPIN MY25 Replace Tape from E15837200 to E00018757 applied to ALL FAMILIES WRH HRN (Issue) Reason: The proposal is use a tape that attend the characteristic "easy to tear" and class of temperature
Sem necessidade de investimento para engenharia corte/lead prep.</t>
  </si>
  <si>
    <t>CR-0145512-00</t>
  </si>
  <si>
    <t>Assunto: 1. CTO PROPOSAL SPIN MY25 - IP WIRING HARNESS Change Proposal Replace CLIP FROM E09240600 TO E07869100 Print Affected: 52167961 - IP
sem necessidade de investimento para engenharia corte/lead prep.</t>
  </si>
  <si>
    <r>
      <t xml:space="preserve">Assunto: 1. LIFTGATE TECHNICAL CHANGE - SPIN MY25 Change Proposal Replace Terminal from E00020257 to E15834400 applied to Liftgate due to terminal feed direction. Print Affected 52167964 - Liftgate
</t>
    </r>
    <r>
      <rPr>
        <b/>
        <sz val="11"/>
        <color theme="1"/>
        <rFont val="Calibri"/>
        <family val="2"/>
        <scheme val="minor"/>
      </rPr>
      <t>VERIFICAR COM PRODUTO</t>
    </r>
    <r>
      <rPr>
        <sz val="11"/>
        <color theme="1"/>
        <rFont val="Calibri"/>
        <family val="2"/>
        <scheme val="minor"/>
      </rPr>
      <t xml:space="preserve">
Favor considerar:
•	01 validação USCAR21 – R$3.350,00
•	01 kit de grampeação  R$1.500,00
Não tendo os valores dos parâmetros de crimpagem para o terminal E15834400 se faz necessário considerar o  investimento do kit de grampeação.</t>
    </r>
  </si>
  <si>
    <t>CR-0145754-00</t>
  </si>
  <si>
    <t>CR-0145774-00</t>
  </si>
  <si>
    <t>SPIN – MY2025 – PPV - FUEL PUMP</t>
  </si>
  <si>
    <t>Assunto: 1. FAMILIES AFFECTED: FUEL PUMP, 2. PROPOSED CHANGE 1) Dimensional adjustment on Fuel Tank WH main branch. 2) Add clip (bishop) to assure harness route. 3) Add acrylic tape over main branch to avoid conduit contact with fuel hose
Sem necessidade de investimento para engenharia corte/lead prep.</t>
  </si>
  <si>
    <t>CR-0145589-00</t>
  </si>
  <si>
    <t>GEM – MY2024/MVBs - IP</t>
  </si>
  <si>
    <t>Assunto: 1. GEM B NARROW IP HARNESS 52174448 MY24 BRAZIL EWO4502919 - GEM JBSC/JBJC MY24 / MY25 – IP WH – OnStar Chip Shortage 1. Create New PNs for IP WH due to OnStar chip shortage. Notes: A) new /parts are similar to their reference, just removing UE1 / U92 and adding U71 option. B) Parts with &amp;UE1 Option contain &amp;U92 option while parts with –UE1 option contain &amp;U71 option.
Favor considerar:
•	01 validação conforme norma USCAR45 – R$1.130,00</t>
  </si>
  <si>
    <t>CR-0145697-00</t>
  </si>
  <si>
    <t>GEM – MY2024/MVBs - DOOR</t>
  </si>
  <si>
    <t>Assunto: 1. GEM B NARROW DOOR HARNESS 26432048, 26432049, 26302788, 26302789 MY24 MVBS Change tape E04242800 To E15837000
Sem necessidade de investimento para engenharia corte/lead prep.</t>
  </si>
  <si>
    <t>CR-0145501-00</t>
  </si>
  <si>
    <t>Assunto: 1. 1. GEM B NARROW BODY HARNESS 52174376 MY24 MVBS change tape E02862500 To 12712909Y
Sem necessidade de investimento para engenharia corte/lead prep.</t>
  </si>
  <si>
    <t>CR-0145507-00</t>
  </si>
  <si>
    <t>GEM – MY2024/MVBs - RR S/D HARNESS</t>
  </si>
  <si>
    <t>Assunto: 1. GEM B NARROW RR S/D HARNESS 26293110, 26294090 MY24 MVBS Change tape E02862500 To 12712909Y.
Sem necessidade de investimento para engenharia corte/lead prep.</t>
  </si>
  <si>
    <t>06:08:00
06:20</t>
  </si>
  <si>
    <t>CR-0145503-00</t>
  </si>
  <si>
    <t>Assunto: 1. GEM B NARROW DOOR HARNESS 26432048, 26302789, 26432048, 26432049 MY24 MVBS Change tape E02862500 To 12712909Y.
Sem necessidade de investimento para engenharia corte/lead prep.</t>
  </si>
  <si>
    <t>CR-0145490-00</t>
  </si>
  <si>
    <t>GEM – MY2022.5/MVBs - Engine</t>
  </si>
  <si>
    <t>Assunto: 1. GEM B NARROW ENGINE HARNESS 26373893_26373894_26373895 and 52172425 ENGINE_CTO PROPOSAL - CHANGE TAPE E02862500 TO 12712909Y.
Sem necessidade de investimento para engenharia corte/lead prep.</t>
  </si>
  <si>
    <t>CR-0146647-00</t>
  </si>
  <si>
    <t>SPIN – MY2025 – APPV - REAR DOOR CO DRIVER</t>
  </si>
  <si>
    <t>WLL application as request by the Process team. Project Affected - SPIN - REAR DOOR CO DRIVER - 52169539 - MY25 - APPV. 
Sem necessidade de investimento para engenharia corte / lead prep.</t>
  </si>
  <si>
    <t>CR-0146652-00</t>
  </si>
  <si>
    <t>SPIN – MY2025 – APPV - FRONT DOOR CO DR</t>
  </si>
  <si>
    <t>WLL application as request by the Process team. Project Affected - SPIN - FRONT DOOR CO DR - 52167991 - MY25 - APPV.
Sem necessidade de investimento para engenharia corte / lead prep.</t>
  </si>
  <si>
    <t>CR-0146744-00</t>
  </si>
  <si>
    <t>WLL application as requested by the Process team. Project Affedted - SPIN - IP - 52167961 - MY25 - APPV.
Sem necessidade de investimento para engenharia corte / lead prep.</t>
  </si>
  <si>
    <t>CR-0146765-00</t>
  </si>
  <si>
    <t>Assunto: 1. TLL application as requested by the Process team. Project Affected - SPIN - ENGINE 52169571 - MY25 - APPV
Todos os tubos já considerado commpra e emissão de RC
Sem necessidade de investimento para engenharia corte / lead prep.</t>
  </si>
  <si>
    <t>CR-0146792-00</t>
  </si>
  <si>
    <t>Assunto: 1. TLL application as requested by the Processs team. Project Affected - SPIN - ENGINE - 52167983 - MY25 - APPV.
Todos os tubos já considerado commpra e emissão de RC
Sem necessidade de investimento para engenharia corte / lead prep.</t>
  </si>
  <si>
    <t>CR-0146763-00</t>
  </si>
  <si>
    <t>SPIN – MY2025 – PPV - *** IP PIGTAIL WIRING HARNESS</t>
  </si>
  <si>
    <t>CR-0146826-00</t>
  </si>
  <si>
    <t>Assunto: 1. WLL application as requested by Process team. Project Affected - SPIN - ENGINE 52169571 - MY25 - APPV.
Sem necessidade de investimento para engenharia corte / lead prep.</t>
  </si>
  <si>
    <t>CR-0146841-00</t>
  </si>
  <si>
    <t>SPIN – MY2025 – APPV -  Engine</t>
  </si>
  <si>
    <t>Assunto: 1. WLL Application as requested by the Process team. Project Affected - SPIN - ENGINE - 52167983 - MY25 - APPV
Sem necessidade de investimento para engenharia corte / lead prep.</t>
  </si>
  <si>
    <t>CR-0146791-00</t>
  </si>
  <si>
    <t>Assunto: 1. WLL/TLL application as requested by the Process team.
Project Affected - SPIN - BODY - 52167938 - MY25 - APPV.
Ajuste de WLL e TLL
Sem necessidade de investimento para engenharia corte / lead prep.</t>
  </si>
  <si>
    <t>CR-0146858-00</t>
  </si>
  <si>
    <t>SPIN – PPV – MY2025 - SPIN – PPV – MY2025</t>
  </si>
  <si>
    <t>Assunto: 1. ISS-038697 - DFM-2023-0011891-SPIN-6 - Alterar mastic de: GPN-E22512600 (2" x 2" x 1.5mm) para GPN-E20811200 (5" x 1.0" x .059mm).
Troca de mastic - Sem necessidade de investimeno para engenharia corte/lead prep.</t>
  </si>
  <si>
    <t>CR-0147148-00</t>
  </si>
  <si>
    <t>SPIN – PPV – MY2025 - IP WH</t>
  </si>
  <si>
    <r>
      <t xml:space="preserve">Assunto: 1. FAMILIES AFFECTED: DRIVER DOOR / CO DRIVER DOOR / REAR LEFT DOOR / REAR RIGHT DOOR
PAGE 2 - Add wire 550 on the front door driver instead of the front door co_driver, Wire 550 replaced from 3D 52167991 to 3D 52167941.
PAGE 3 - Apply hank tape to tie up branches same as current Front Door Driver WH (SPIN MY23);
PAGE 4 - Apply hank tape to tie up branches same as current Front Door CO_DRIVER WH (SPIN MY23);
PAGE 5 - Apply hank tape to tie up branches same as current Rear Door LH WH (SPIN MY23);
PAGE6 - Apply hank tape to tie up branches same as current Rear Door RH WH (SPIN MY23);
PAGE 7 - Apply heatshrink tube on Front Doors WH splices to avoid water contact;
PAGE 8 - Apply heatshrink tube on Rear Door RH WH splice to avoid water contact;
PAGE 9 -Apply heatshrink tube on Rear Door RH WH splice to avoid water contact;
PAGE 10 - Change all Tyco Heatshrink tube to CYG/EUROTECH Heatshrink tube;
PAGE 11 - Remove wire 550 from Front Door CO_DRIVER, Wire 550 replaced from 3D 52167991 to 3D 52167941.
PAGE 12 - Terminal changed due to validation reproval;
PAGE 13 - Change the distance between the back of connector and the end of covering on the branch:
Favor considerar os mesmos invewstimentos da CR-CR-0142237-00.
</t>
    </r>
    <r>
      <rPr>
        <b/>
        <sz val="11"/>
        <color theme="1"/>
        <rFont val="Calibri"/>
        <family val="2"/>
        <scheme val="minor"/>
      </rPr>
      <t>Conforme conversa com Fábio Marra, estaremos desconsiderando a ferramenta, baseando-se que o terminal é da mesma família, porém, temos variação de largura na crimpagem e devido a isso iremos considerar apenas o kit de grampeação.
Com relação a troca de termoencolhível, estaremos desconsiderando, porém, precisamos ter a certeza de que o novo material esteja disponível na planta até o final deste mês. Não podemos atrasar o cronograma com a GM. Caso contrário, precisamos considerar as validações.
Resumindo, favor considerar apenas :
•	01 kit de aplicação para o terminal 32025Y1LX. R$644,64
•	Scrap para validação apenas para o miniaplicador R$82,00</t>
    </r>
  </si>
  <si>
    <t>16:57:00
15:12</t>
  </si>
  <si>
    <r>
      <t xml:space="preserve">Assunto: 1. FAMILY AFFECTED: IP WIRING HARNESS
2D DRAWING AFFECTED: 52167961
REASON: DUE TO AN ASSEMBLY ISSUE CUSTOMER IS REQUIRING A CHANGE FOR HVAC BRANCHES.
Já temos o terminal 3202532V5 no projeto não necessitando de reposição, os outros terminais que estão sendo substituidos vão continuar no projeto.
</t>
    </r>
    <r>
      <rPr>
        <b/>
        <sz val="11"/>
        <color theme="1"/>
        <rFont val="Calibri"/>
        <family val="2"/>
        <scheme val="minor"/>
      </rPr>
      <t>Favor considerar:
•	01 validação USCAR 38 – R$2.380,00 – Motivo- Não temos esta configuração no projeto.
•	01 validação GMW17136- R$2.517,00 – Motivo – Não temos esta configuração no projeto.</t>
    </r>
  </si>
  <si>
    <r>
      <t xml:space="preserve">Assunto: 1. **** CREATION OF A NEW HARNESS *** *** IP PIGTAIL WIRING HARNESS*** REASON: DUE TO AN ASSEMBLY ISSUE CUSTOMER IS REQUIRING A NEW PIGTAIL HARNESS. THERE IS NO HARNESS PN CREATE
</t>
    </r>
    <r>
      <rPr>
        <b/>
        <sz val="11"/>
        <color theme="1"/>
        <rFont val="Calibri"/>
        <family val="2"/>
        <scheme val="minor"/>
      </rPr>
      <t>Necessário 1 validação USCAR21 para o cabo E01577500 com o terminal 3202572I8- motivo não temos cross reference UTA Legacy para este cabo</t>
    </r>
    <r>
      <rPr>
        <sz val="11"/>
        <color theme="1"/>
        <rFont val="Calibri"/>
        <family val="2"/>
        <scheme val="minor"/>
      </rPr>
      <t xml:space="preserve">
</t>
    </r>
  </si>
  <si>
    <t>CR-0147344-00</t>
  </si>
  <si>
    <t>SPIN – APPV – MY2025 - IP WH</t>
  </si>
  <si>
    <r>
      <t xml:space="preserve">Assunto: 1. WLL application as requested by the Process team.
Project Affedted - SPIN - IP - 52167961 - MY25 - APPV.
</t>
    </r>
    <r>
      <rPr>
        <b/>
        <sz val="11"/>
        <color theme="1"/>
        <rFont val="Calibri"/>
        <family val="2"/>
        <scheme val="minor"/>
      </rPr>
      <t>Sem necessidade de investimento para engenharia corte/lead prep.</t>
    </r>
  </si>
  <si>
    <t>CR-0142361-02</t>
  </si>
  <si>
    <t>Favor manter os mesmos investimentos  da CR-0142361-01 anterior.</t>
  </si>
  <si>
    <t>CR-0143513-04</t>
  </si>
  <si>
    <t>GEM – PPV - MY2025 - BODY</t>
  </si>
  <si>
    <t>Favor continuar com as mesmas considerações da CR-0143513-03 para engenharia corte/lead prep.</t>
  </si>
  <si>
    <t>CR-0143516-02</t>
  </si>
  <si>
    <t>Favor continuar com as mesmas considerações da CR-0143516-01 para engenharia corte/lead prep.
Os mesmos investimentos também já foram considerados na CR-0143513-04</t>
  </si>
  <si>
    <t>CR-0147703-00</t>
  </si>
  <si>
    <t>SPIN – APPV – MY2025 - LICENSE PLATE</t>
  </si>
  <si>
    <t>Assunto: 11. WLL application as requested by Procces team.
 Sem necessidade de investimeno para engenharia corte/lead prep.</t>
  </si>
  <si>
    <t>CR-0147727-00</t>
  </si>
  <si>
    <t>SPIN – APPV – MY2025 - VIEW MIRROR</t>
  </si>
  <si>
    <t>CR-0147856-00</t>
  </si>
  <si>
    <t>Assunto: 1. FAMILY AFFECTED : IP WIRING HARNESS - DRAWING 52167961
Dimensional increased on HVAC inlet branch from 103mm to 133mm to improve assembly condition.
 Sem necessidade de investimeno para engenharia corte/lead prep.</t>
  </si>
  <si>
    <r>
      <t>GEM – MY2024 - MVBsFamília: Engine Tipo: Cost Ref Doc Number: TBD
GEM Reduction B NARROW - ENGINE 26373893 26373894 26373895 52172425 1. Change Heatshrink tube pn from</t>
    </r>
    <r>
      <rPr>
        <sz val="11"/>
        <color rgb="FFFF0000"/>
        <rFont val="Calibri"/>
        <family val="2"/>
        <scheme val="minor"/>
      </rPr>
      <t xml:space="preserve"> E02000700 to E35099600 </t>
    </r>
    <r>
      <rPr>
        <sz val="11"/>
        <color theme="1"/>
        <rFont val="Calibri"/>
        <family val="2"/>
        <scheme val="minor"/>
      </rPr>
      <t>2. Change Heatshrink tube pn from</t>
    </r>
    <r>
      <rPr>
        <sz val="11"/>
        <color rgb="FFFF0000"/>
        <rFont val="Calibri"/>
        <family val="2"/>
        <scheme val="minor"/>
      </rPr>
      <t xml:space="preserve"> E12538000 to E35099700 3.</t>
    </r>
    <r>
      <rPr>
        <sz val="11"/>
        <color theme="1"/>
        <rFont val="Calibri"/>
        <family val="2"/>
        <scheme val="minor"/>
      </rPr>
      <t xml:space="preserve"> Change Heatshrink tube pn from </t>
    </r>
    <r>
      <rPr>
        <sz val="11"/>
        <color rgb="FFFF0000"/>
        <rFont val="Calibri"/>
        <family val="2"/>
        <scheme val="minor"/>
      </rPr>
      <t>E14168600 to E35100000</t>
    </r>
    <r>
      <rPr>
        <sz val="11"/>
        <color theme="1"/>
        <rFont val="Calibri"/>
        <family val="2"/>
        <scheme val="minor"/>
      </rPr>
      <t xml:space="preserve"> 4. Change Heatshrink tube pn from E30547700 to E35100200.
Analise realizada conforme DELTA _ CUTSHEET  Favor considerar.
16  Validações de Termo retrátil para Splice  conforme Norma GMW17136.
6 Validações de Termo retrátil para Splice  conforme Norma GMW17136.
Scrap R$ 6.658  amostras validação considerado 125 peças de cada combinação.</t>
    </r>
  </si>
  <si>
    <t>CR-0136024-02</t>
  </si>
  <si>
    <t xml:space="preserve">GEM – MVBs - MY2024
Família: ENGINE
</t>
  </si>
  <si>
    <t>Assunto: 1. GEM B NARROW - ENGINE 26373893 2637389426373895 52172425
1. Change Heatshrink tube pn from E02000700 to E35099600
2. Change Heatshrink tube pn from E12538000 to E35099700
3. Change Heatshrink tube pn from E14168600 to E35100000
4. Change Heatshrink tube pn from E30547700 to E35100200
Analise realizada conforme DELTA _ CUTSHEET  Favor considerar.
12  Validações de Termo retrátil para Splice  conforme Norma GMW17136.
6 Validações de Termo retrátil para  MULTICRIMP conforme Norma GMW17136.
Scrap R$ 6.858  amostras validação considerado 125 peças de cada combinação.</t>
  </si>
  <si>
    <t xml:space="preserve">GEM – MY2021
Família: FUEL INJECTOR
</t>
  </si>
  <si>
    <t>CR-0136199-02</t>
  </si>
  <si>
    <t xml:space="preserve">GEM – MY2021 Família: Fuel Injector Ref Doc Number
Assunto: 1. Change Heat Shrink Tube from TE to Eurotech 3299374X2 to E35100200 E05900900 to E35099900 E05901000 to E39013200
3 validações conforme Norma GMW17136 
Scrap Amostras 
Analise feita base desenho em PDF, não foi enviado delta Cut Sheet para analise
</t>
  </si>
  <si>
    <t xml:space="preserve">GEM – MY2021 Família: FUEL INJECTOR Assunto: 1. Change Heat Shrink Tube from TE to Eurotech
3299374X2 to E35100200 E05900900 to E35099900 E05901000 to E39013200
3 validações conforme Norma GMW17136 
Scrap AmostrasR$ 414,79
Analise feita base desenho em PDF, não foi enviado delta Cut Sheet para analise
</t>
  </si>
  <si>
    <t>CR-0141682-02</t>
  </si>
  <si>
    <t xml:space="preserve"> GEM B NARROW - ENGINE 26373893
Change PN E19721500 to E40035500
</t>
  </si>
  <si>
    <t>CR-0147524-00</t>
  </si>
  <si>
    <t>Projeto: VS30 – SORP - 2023_01
Família: IP WH
Tipo: Release</t>
  </si>
  <si>
    <t xml:space="preserve">Assunto: 1. VS30 - IP Wiring Harness, 2. Release 2023_01 for pricing activities, 3. Affected Family: IP
Drawing: A9070011599, 4. Full BOM, CUT and LABOR will be available in future environment, after quote release 
Considerar sem impacto para corte e lead prep.( Analise feita base CUTComparison_A9070011599_9372_B01)
Alteração bitola de 2.5 para Bitola de 4mm no circuito  V121655.
</t>
  </si>
  <si>
    <t>CR-0147747-00</t>
  </si>
  <si>
    <t xml:space="preserve">GEM – MVBns - MY2024
Família: ENGINE
Tipo: WLL/TLL
</t>
  </si>
  <si>
    <t>Considerar sem impacto para corte e Lead Prep.
Analise feita base WLL acréscimo de Splice devido problema de no cliente.
Assunto: 1. WLL application as requested by the process team.
Project Affected - GEM - ENGINE - 52172425 - MY24 - MVBNS</t>
  </si>
  <si>
    <t>CR-0147855-00</t>
  </si>
  <si>
    <t>VS30 – SORP - 2022_02
Família: BODY  
Número: ISS-039201</t>
  </si>
  <si>
    <t xml:space="preserve">VS30 – SORP - 2022_02 Família: BODY Tipo: IssueNúmero: ISS-039201
Assunto: 1. VS30 - WIRING HARNESS BODY, 2. Affected drawings: DOES NOT AFFECT DRAWING. Systemic update of BOM/Labor. Does not affect physical production line., 3. LOGISTICS MBA REQUESTED TO CHANGE COMPONENT (DAMPER ELEMENT PN E14073100) FROM MODULE A 907 984 00 00 TO A 907 540 01 16.
Considerar sem Impacto para corte e Lead Prep.
</t>
  </si>
  <si>
    <t>VS30 – SORP - 2023_01
Família: DOORS Tipo: Release
Número: VAT228222</t>
  </si>
  <si>
    <t>CR-0147936-00</t>
  </si>
  <si>
    <t xml:space="preserve">Projeto: VS30 – SORP - 2023_01Família: DOORSTipo: Release
Número: VAT228222
Assunto: 1. VS30 - WIRING HARNESS DOOR, 2. Release 2023_01 for pricing activities, 3. Affect drawings/BOM/Labor/CUT: A9070012799, just removing modules, there was no change between the current modules and there are no new modules, 4. The others door's Drawing are not modified
Considerar sem impacto para corte e Lead Prep.
Scrap R$ 192,00
Removendo módulos
</t>
  </si>
  <si>
    <t xml:space="preserve">
Analise base desenho dos Terminal/Wiring/Splice Clip que estão entrando foi verificado que não são exatamente iguais.
Considerar para corte e Lead Prep.
3 kits de Crimpagem para Aplicadores bateria do polvo conforme Terminal/Wiring/Splice Clip que estão mudando de fornecedor.
6 validações de crimpagem do Polvo conforme norma VS30.
Scrap R$ 6.374,25
Implementação condicionada aprovação das validações conforme norma VS30, e informação da data de implementação da CR.
</t>
  </si>
  <si>
    <t>CR-0147730-00</t>
  </si>
  <si>
    <t>Projeto: VS30 – SORP - 2022_02
Família: BODY
Tipo: SCR
Número: Suplier letter</t>
  </si>
  <si>
    <t>CR-0147854-00</t>
  </si>
  <si>
    <t>SPIN – APPV – MY2025 - FUEL PUMP</t>
  </si>
  <si>
    <t>Assunto: 1. TLL application as requested by Process team.
Project Affected - SPIN - FUEL PUMP - 52169532 - MY25 - APPV.
Sem necessidade de investimento para engenharia corte /lead prep</t>
  </si>
  <si>
    <t>CR-0148088-00</t>
  </si>
  <si>
    <t>Assunto: 1. CTO PROPOSAL SPIN MY25 - IP WIRING HARNESS
Change Proposal:
Replace CLIP FROM E25566000 TO E11577000;
Sem necessidade de investimento para engenharia corte/lead prep.</t>
  </si>
  <si>
    <t>CR-0148132-00</t>
  </si>
  <si>
    <t>Assunto: 1. WLL application as requested by the Process team.
Project Affexted - GEM - ENGINE - 52169571 - MY25 - APPV
Sem necessidade de investimento para engenharia corte/lead prep.</t>
  </si>
  <si>
    <t>CR-0148255-00</t>
  </si>
  <si>
    <t>Assunto: 1. WLL application as requested by Process team.
Project Affected - SPIN - LICENSE PLATE - 52169548 - MY25 - PPV.
Sem necessidade de investimento para engenharia corte/lead prep.</t>
  </si>
  <si>
    <t>CR-0148262-00</t>
  </si>
  <si>
    <t>SPIN – APPV – MY2025 - OBJECT ALARM</t>
  </si>
  <si>
    <t>Assunto: 1. WLL application as requested by Process team.
Project Affected - SPIN - OBJECT ALARM - 52167977 - MY25 - APPV
Sem necessidade de investimento para engenharia corte/lead prep.</t>
  </si>
  <si>
    <t>CR-0141911-01</t>
  </si>
  <si>
    <t>SPIN – PPV - MY2025 - ENGINE</t>
  </si>
  <si>
    <t>Proposal Change:
1) Replace Sleeve from E37311300 to E40035900 applied to Engine LI3 (CTO)
Sem necessidade de investimento para engenharia corte/lead prep.</t>
  </si>
  <si>
    <t>CR-0148296-00</t>
  </si>
  <si>
    <t>SPIN – PPV - MY2025 - LICENSE PLATE</t>
  </si>
  <si>
    <t>Número: Grommet+Cabo_License
Assunto: 1. License Plate SPIN MY25 - Grommet + Cabo Montados.
Reason: Cabo assembled PN E36403900 sera montado junto ao grommet PN E37129200 e fornecido como uma unica peça, com novo PN LEAR E41323400 apenas para PN com UVB
Print Affected: 52169548 (PN chicote APPV 52168860 --&gt; PPV 52179769)
Sem necessidade de investimento para engenharia corte/lead prep.</t>
  </si>
  <si>
    <t>CR-0149015-00</t>
  </si>
  <si>
    <t>SPIN – PPV - MY2025 - BODY / ENGINE</t>
  </si>
  <si>
    <t>Change Proposal:
Replace Clip FROM 32035202N TO E11577000.
Sem necessidade de investimento para engenharia corte/lead prep.</t>
  </si>
  <si>
    <t>CR-0148110-00</t>
  </si>
  <si>
    <t>Projeto: VS30 – SORP - 2023_01 / Família: BODY / Número: VAT228022</t>
  </si>
  <si>
    <t xml:space="preserve"> CR-0148265-00</t>
  </si>
  <si>
    <t xml:space="preserve"> VS30 – SORP - 2023_01Família: BODY
Número: VAT228022</t>
  </si>
  <si>
    <t xml:space="preserve"> 14:13</t>
  </si>
  <si>
    <t>Favor considerar sem impacto para Corte e Lead prep. (CR-0148265-00  DELTA-CUT_A9070014599_B01_9364) Scrap R$1.315,14.</t>
  </si>
  <si>
    <t>CR-0148271-00</t>
  </si>
  <si>
    <t>VS30 – SORP - 2023_01 Família: BODY
Número: VAT228022</t>
  </si>
  <si>
    <t xml:space="preserve"> 14:18</t>
  </si>
  <si>
    <t xml:space="preserve">Considerar sem impacto para corte e Lead Prep.( DELTA-CUT_A9070014899_B01_9379)
Scrap R$ 468,66 
</t>
  </si>
  <si>
    <t xml:space="preserve"> CR-0148277-00</t>
  </si>
  <si>
    <t xml:space="preserve"> 14:22</t>
  </si>
  <si>
    <t>VS30 – SORP - 2023_01
Família: BODY
Número: VAT228022</t>
  </si>
  <si>
    <t xml:space="preserve">Considerar sem impacto para corte e Lead Prep.( Analise feita base DELTA-CUT_A9070014699_B01_9376)
Scrap R$ 403,75
</t>
  </si>
  <si>
    <t>CR-0148281-00</t>
  </si>
  <si>
    <t xml:space="preserve">Considerar sem impacto para corte e Lead Prep.( Analise feita base 
Scrap  R$  850,13 
</t>
  </si>
  <si>
    <t xml:space="preserve">Considerar sem impacto para corte e Lead Prep. ( Analise feita base CR-0148352-00 DELTA-CUT_A9070015299_B01_9368)
Scrap R$ 247,96
</t>
  </si>
  <si>
    <t>CR-0148352-00</t>
  </si>
  <si>
    <t>CR-0148404-00</t>
  </si>
  <si>
    <t>SORP - 2023_01 Família: BODY
Número: VAT228022</t>
  </si>
  <si>
    <t>Considerar sem impacto para corte e Lead Prep.( Analise base DELTA-CUT_A9070015399_B01_9366 )Scrap R$ 393,38</t>
  </si>
  <si>
    <t xml:space="preserve"> VS30 – SORP - 2023_01  Família: BODY
Número: VAT228022
Assunto: 1. VS30 - Body Wiring </t>
  </si>
  <si>
    <t>CR-0148503-00</t>
  </si>
  <si>
    <t>CR-0148536-00</t>
  </si>
  <si>
    <t xml:space="preserve">
Considerar sem impacto para corte e Lead Prep. ( Analise feita base BOM-COMPARISON_A9070012099_AWE-2261)
</t>
  </si>
  <si>
    <t xml:space="preserve">
Considerar sem impacto para corte e Lead Prep.( Analise feita base DELTA-CUT_A9070015999_23-1_B01 ) Alteração do nome do modulo
</t>
  </si>
  <si>
    <t>CR-0148541-00</t>
  </si>
  <si>
    <t>SORP - 2023_01 Família: BODY
Tipo: AWE VS30
Número: PFD-VS30-BR907-AEHJ2023_01-2261w2</t>
  </si>
  <si>
    <t xml:space="preserve">
Considerar sem impacto para corte e lead Prep.( condicionado a aprovação  da CR-0139113-00 )
que foi scrap Scrap – R$ 623,55</t>
  </si>
  <si>
    <t>CR-0148660-00</t>
  </si>
  <si>
    <t>VS30 – SORP - 2023_01 Família: BODY
Tipo: AWE
Número: PFD-VS30-BR907-AEHJ2023_01-2333w</t>
  </si>
  <si>
    <t>CR-0148009-00</t>
  </si>
  <si>
    <t>GEM – PPV - MY2024
Tipo: Cost Reduction</t>
  </si>
  <si>
    <t xml:space="preserve">
Considerar sem impacto para corte e lead Prep.( Analise base 26415444_CR-0148009-00_DELTA CUTSHEET)
Troca de fita
</t>
  </si>
  <si>
    <t>Considerar sem impacto para corte e lead Prep.( Analise base 26302799_CR-0148010-00_DELTA CUTSHEET )</t>
  </si>
  <si>
    <t xml:space="preserve">GEM – PPV - MY2023
Tipo: Cost Reduction
</t>
  </si>
  <si>
    <t>CR-0148010-00</t>
  </si>
  <si>
    <t>CR-0148215-00</t>
  </si>
  <si>
    <t xml:space="preserve">GEM – MVBns - MY2024Família: DOOR
Tipo: Cost Reduction
</t>
  </si>
  <si>
    <t xml:space="preserve">
Considerar sem impacto para corte e lead Prep.( 26432049_CR-0148215-00_ASM-RR SD WRG_DELTA CUTSHEET 26432048_CR-0148215-00_ASM-RR SD WRG_DELTA CUTSHEET.)</t>
  </si>
  <si>
    <t>CR-0148333-00</t>
  </si>
  <si>
    <t xml:space="preserve">GEM – MVBs - MY2024
Família: FRONT DOOR
Tipo: Cost Reduction
</t>
  </si>
  <si>
    <t xml:space="preserve">
considerar sem impacto para corte e lead Prep.  ( Analise base 26302788_CR-0148333-00_DELTA CUTSHEET, 26302789_CR-0148333-00_DELTA CUTSHEET )</t>
  </si>
  <si>
    <t>CR-0149129-00</t>
  </si>
  <si>
    <t>SPIN – PPV - MY2025 - BODY</t>
  </si>
  <si>
    <t>Replace Clip FROM 32035205L TO 3203520BX.
Sem necessidade de investimento Para engenharia corte/lead prep</t>
  </si>
  <si>
    <t xml:space="preserve"> CR-0148070-00</t>
  </si>
  <si>
    <t>GEM – MVBs - MY2022.5
Família: FRONT DOOR
Assunto: 1. CTO_PROPOSAL ENGINE HARNESS 26373893 ; 26373894; 26373895 and 52172425</t>
  </si>
  <si>
    <t>Considerar sem impacto para corte e Lead Prep.( Analise feita base delta Cut Sheet )
Change the tape E15837200 to E25478300</t>
  </si>
  <si>
    <t xml:space="preserve">GEM – MVBs - MY2024
Família: REAR DOOR LH Tipo: Teardown
Assunto: 1. TearDown AdjustmentApplication
Project Affected - GEM - Rear Door LH - 26432048- MY24 - MVBS
</t>
  </si>
  <si>
    <t>CR-0149134-00</t>
  </si>
  <si>
    <t xml:space="preserve">
Considerar sem impacto para corte e Lead Prep.
TearDown Adjustment Application
Project Affected - GEM - Rear Door LH - 26432048- MY24 - MVBS</t>
  </si>
  <si>
    <t>CR-0149450-00</t>
  </si>
  <si>
    <t xml:space="preserve">GEM – MVBs - MY2024
Família: BODY
Tipo: Cost Reduction
</t>
  </si>
  <si>
    <t xml:space="preserve">
Change tie strap 3203502D2 to 32035206H.</t>
  </si>
  <si>
    <t>Considerar  1 aplicador TE para terminal E13167400 Considerar  2 validações de Terminais conforme norma VS30.</t>
  </si>
  <si>
    <t xml:space="preserve">Considerar sem impacto para corte e Lead Prep.( Analise feita Base DELTA-CUT_A9070015599_23-1_B01.)3636_1H 3636_2H
Acréscimo de 2 circuitos 
3202565W3  já temos aplicador 
3299570N4 já temos Calha
</t>
  </si>
  <si>
    <t xml:space="preserve"> CR-0116167-03</t>
  </si>
  <si>
    <t xml:space="preserve">VS30
Família: AUTARK  
Tipo: Release
Número: ZAT286421
</t>
  </si>
  <si>
    <t>CR-0148887-00</t>
  </si>
  <si>
    <t xml:space="preserve">Validação3202545S7 3204511U9 65768 10 
Validação32025Y3CP 329983100 65856 0,5
2 validação de crimpagem de terminal conforme Norma VS30.
Scrap R$ 5.092,20
</t>
  </si>
  <si>
    <t xml:space="preserve">Projeto: GEM – MVBs - MY2024
Família: IP WH
Tipo: Cost Reduction
</t>
  </si>
  <si>
    <t>Considerar dem imapcto para Corte e Lead Prep.
Assunto: 1. GEM B NARROW I/P 26415448
Apply loose wrapping study</t>
  </si>
  <si>
    <t xml:space="preserve"> 1. VS30 - WIRING HARNESS AUTARK, 2. Release of the new autark wiper for windshield, 3. Affected Family: A9105409455
Considerar  1 aplicador TE para terminal E13167400.
Considerar  2 validações de Terminais conforme norma VS30.
</t>
  </si>
  <si>
    <t>CR-0150175-00</t>
  </si>
  <si>
    <t>CR-0149600-00</t>
  </si>
  <si>
    <t>GEM – MVBs - MY2024
Família: IP WH</t>
  </si>
  <si>
    <t xml:space="preserve">Considerar sem impacto para corte e lead Prep.
replace tie strap 3203502D2 to 32035206H
</t>
  </si>
  <si>
    <t>CR-0148672-00</t>
  </si>
  <si>
    <t xml:space="preserve"> SORP – 2022_02
Família: BODY  </t>
  </si>
  <si>
    <t>Considerar sem impacto para corte e Lead Prep.</t>
  </si>
  <si>
    <t>CR-0149874-00</t>
  </si>
  <si>
    <t>CR-0149739-00</t>
  </si>
  <si>
    <t xml:space="preserve">VS30 – SORP – 2023_01
Família: BODY  </t>
  </si>
  <si>
    <t>Considerar sem impacto para corte e lead Prep.
E15837200 to Change the ribbon E25478300</t>
  </si>
  <si>
    <t>BODY
Tipo: Cost Reduction</t>
  </si>
  <si>
    <t>Considerar sem impacto para corte e lead Prep.
ENGINE_CTO PROPOSAL - REPLACE TIE STRAP 3203502D2 to 32035206H</t>
  </si>
  <si>
    <t>GEM – MVBs - MY2022.5
Família: ENGINE</t>
  </si>
  <si>
    <t>CR-0149429-00</t>
  </si>
  <si>
    <t>GEM – MVBs - MY2024
Família: FRONT DOOR</t>
  </si>
  <si>
    <t>CR-0149431-00</t>
  </si>
  <si>
    <t>Considerar sem impacto para corte e lead Prep.
1. Change Strap 3203502D2 to 32035206H</t>
  </si>
  <si>
    <t xml:space="preserve"> CR-0149469-00</t>
  </si>
  <si>
    <t>GEM – MVBs - MY2024
Família: BODY</t>
  </si>
  <si>
    <t xml:space="preserve"> CR-0149691-00</t>
  </si>
  <si>
    <t>Considerar sem impacto para corte e lead Prep.
Change All Tape E15837200 to E25478300</t>
  </si>
  <si>
    <t>CR-0150110-00</t>
  </si>
  <si>
    <t>GEM – MVBs - MY2024
Família: BODY
Tipo: WLL/TLL</t>
  </si>
  <si>
    <t>Considerar sem Impacto para corte e Lead Prep.( Analise feita base WLL considerado STOCK USE )
circuito G173350H e G17440 alteração de comprimento.</t>
  </si>
  <si>
    <r>
      <t xml:space="preserve">CHANGES APPLIED TO COMMUNIZATION AND DFM/DFA ISSUED.
1.) Corrugated Tube Optimization (Internal Issued).
2.) Circuits Optimization acc to LHE Engine (Math Updated)
</t>
    </r>
    <r>
      <rPr>
        <b/>
        <sz val="11"/>
        <color theme="1"/>
        <rFont val="Calibri"/>
        <family val="2"/>
        <scheme val="minor"/>
      </rPr>
      <t>@Militani, Marcio Pericles, preciso da informação da pasta “Cut Sheet” que está faltando.
Fico no aguardo da informação para responder a CR.
Sem necessidade de investimento para engenharia corte / lead prep.</t>
    </r>
  </si>
  <si>
    <t>07:19:00
10:31</t>
  </si>
  <si>
    <t>CR-0150414-00</t>
  </si>
  <si>
    <t>SPIN – PPV - MY2025 - IP WH</t>
  </si>
  <si>
    <t>CR-0144284-01</t>
  </si>
  <si>
    <t>SPIN – PPV - MY25 - Várias</t>
  </si>
  <si>
    <r>
      <t xml:space="preserve">TERMINAL CHANGE:
FROM E05958300
TO E16318300 (0.50) / E25434100 (0.35)
</t>
    </r>
    <r>
      <rPr>
        <b/>
        <sz val="11"/>
        <color theme="1"/>
        <rFont val="Calibri"/>
        <family val="2"/>
        <scheme val="minor"/>
      </rPr>
      <t>CR Cancelada não foi enviado resposta porque foi cancelada antes.</t>
    </r>
  </si>
  <si>
    <t>Sem necessidade de investimento para engenharia corte/ lead prep.</t>
  </si>
  <si>
    <t>CR-0142237-02</t>
  </si>
  <si>
    <t>PPV - MY25 - Doors</t>
  </si>
  <si>
    <t>CR-0142361-03</t>
  </si>
  <si>
    <t>1- Add heatshirink tube; 2 - ADD Tie Strap to connector; 3 - Update route and ADD spot tape; 4 - ADD TPA to connector; 5 - ADD note to CLIP; 6 - Change covering; 7 - ADD Hankings; 8 - Change the ring terminal; 9 - Change clip; 10 - ADD Special Tolerance; 11 - Change Label position; 12 - Change Squibs from TE to APTIV; 13 - Remove SP450; 14 - Change HEATSHRINK tube from TYCO to CYG/EUROTECH; 15 - Invert pin-out of Seat Belt Reminder switch 3row; 16 - Change the distance between the back of connector and the end of covering on the branch; 17 - Invert pin-out of Lamp Remote PRNDL (Shifter); 18 - Change
• Troca de uma multicrimp deE36801200 para E36802300 (Necessário 3 validações conforme norma USCAR 38)
• Troca de um terminal 320257SAA6 para 32025Y1LX ( necessário compra de uma ferramenta 32025Y1LX porque o terminal 320257SAA6 ainda continua no projeto; Necessário uma validação conforme norma USCAR 21).
• Troca do terminal 3202515R8 para 3202546L4 ( necessário compra de uma ferramenta 3202546L4 porque o terminal 3202515R86 ainda continua no projeto; Necessário duas validações conforme norma USCAR 21).
• Troca do terminal 3202586Z2 para 3202586Y4 ( Não é necessário a compra da ferramenta  3202586Y4 porque já esá nop no projeto; Necessário duas validações conforme norma USCAR 21).
• Troca do terminal 320257CL0 para E00309700 ( Necessário a compra da ferramenta E00309700 porque não temos esta ferramenta no projeto; Necessário duas validações conforme norma USCAR 21).
• Troca do selo 3299575A8 para 320451172 ( tanto o selo 3299575A8 quanto o selo  320451172 já possui no projeto, Sem necessidade de compra de calhas de selo;  Necessário uma validação conforme norma USCAR 21)
• Entra um tubo corrugado E21429400 e um tubo E37046700
•  Troca de termoencolhível 3299362G2 para E16718500 ( Necessidade de 17 validações conforme norma GMW 17136.
•  Para multicrimp troca do termo retrátil de E12538000 para E35100200 (Necessário 5 validações conforme norma GMW 17136)</t>
  </si>
  <si>
    <t>Sem necessidade de investimento para engenharia corte/leade prep.</t>
  </si>
  <si>
    <t>CR-0150322-00</t>
  </si>
  <si>
    <t>SPIN – PPV - MY2025 - LICENSE</t>
  </si>
  <si>
    <t>Assunto: 1. SPIN-6 - Alterar mastic de: GPN-E22512600 (2" x 2" x 1.5mm) para GPN-E02573900 (4g - 7662)
Sem necessidade de investimento para engenharia corte/lead prep.</t>
  </si>
  <si>
    <t>CR-0143001-04</t>
  </si>
  <si>
    <t>CR-0150671-00</t>
  </si>
  <si>
    <r>
      <t xml:space="preserve">Favor considerar:
•	01 miniaplicador MRSJ1 para o terminal E39012300 – R$6.553,00 
•	01 validação USCAR21 para o terminal E39012300  – R$3.350,00
•	01 miniaplicador MRSJ1 para o terminal 32025Y1LX – R$6.553,00
•	01 validação USCAR21 para o terminal 32025Y1LX  – R$3.350,00
•	01 miniaplicador MRSJ1 para o terminal 3202546L4 – R$6.553,00
•	02 validação USCAR21 para o terminal 3202546L4  – R$3.350,00 ( Para o cabo CU-R2PVC-A|1.50 e para o cabo FLRY-A-1.50.
•	01 validação USCAR21 para o terminal 3202586Y4  – R$3.350,00
•	01 miniaplicador MRSJ1 para o terminal E00309700 – R$6.553,00
•	01 validação USCAR21 para o terminal E00309700  – R$3.350,00
•	</t>
    </r>
    <r>
      <rPr>
        <b/>
        <sz val="11"/>
        <color theme="1"/>
        <rFont val="Calibri"/>
        <family val="2"/>
        <scheme val="minor"/>
      </rPr>
      <t xml:space="preserve">01 miniaplicador MRSJ1 para o terminal 320151FH4 – R$6.553,00
</t>
    </r>
    <r>
      <rPr>
        <sz val="11"/>
        <color theme="1"/>
        <rFont val="Calibri"/>
        <family val="2"/>
        <scheme val="minor"/>
      </rPr>
      <t xml:space="preserve">•	</t>
    </r>
    <r>
      <rPr>
        <b/>
        <sz val="11"/>
        <color theme="1"/>
        <rFont val="Calibri"/>
        <family val="2"/>
        <scheme val="minor"/>
      </rPr>
      <t>01 validação USCAR21 para o terminal 320151FH4  – R$3.350,00</t>
    </r>
    <r>
      <rPr>
        <sz val="11"/>
        <color theme="1"/>
        <rFont val="Calibri"/>
        <family val="2"/>
        <scheme val="minor"/>
      </rPr>
      <t xml:space="preserve">
•	</t>
    </r>
    <r>
      <rPr>
        <b/>
        <sz val="11"/>
        <color theme="1"/>
        <rFont val="Calibri"/>
        <family val="2"/>
        <scheme val="minor"/>
      </rPr>
      <t xml:space="preserve">01 kit de guia de tubo corrugado para o tubo E37046700 – R$7.500,00
</t>
    </r>
    <r>
      <rPr>
        <sz val="11"/>
        <color theme="1"/>
        <rFont val="Calibri"/>
        <family val="2"/>
        <scheme val="minor"/>
      </rPr>
      <t xml:space="preserve">•	</t>
    </r>
    <r>
      <rPr>
        <b/>
        <sz val="11"/>
        <color theme="1"/>
        <rFont val="Calibri"/>
        <family val="2"/>
        <scheme val="minor"/>
      </rPr>
      <t xml:space="preserve">04 validações conforme norma USCAR38 -  R$ 9.520,00
</t>
    </r>
    <r>
      <rPr>
        <sz val="11"/>
        <color theme="1"/>
        <rFont val="Calibri"/>
        <family val="2"/>
        <scheme val="minor"/>
      </rPr>
      <t xml:space="preserve">•	</t>
    </r>
    <r>
      <rPr>
        <b/>
        <sz val="11"/>
        <color theme="1"/>
        <rFont val="Calibri"/>
        <family val="2"/>
        <scheme val="minor"/>
      </rPr>
      <t>01 validação conforme Norma USCA 21 R$3.350,00 DEVIDO A TROCA DO SELO.</t>
    </r>
    <r>
      <rPr>
        <sz val="11"/>
        <color theme="1"/>
        <rFont val="Calibri"/>
        <family val="2"/>
        <scheme val="minor"/>
      </rPr>
      <t xml:space="preserve">
Outro ponto é que ainda precisamos dos termos para efetuar os testes conforme informado nos e-mails anteriores. Sem a validação não é ´possível saber se vai ser aprovado ou não.</t>
    </r>
  </si>
  <si>
    <t>1.) Remove PVC overlap tape over the corrugated tube and apply spiral PVC TAPE 125°C in all routing for Engines LI3 &amp; LHE over the wires. This process of spiral taping should ensure that the cables/wires not exposed during handling.
2.) For branches &gt;= 150mm, use spot tape to ensure that the cables are not exposed.
3.) For the clips, use spot tape 12712909Y to make sure the clip doesn’t crush the tube during the process.
4.) Replace/Remove Acrylic tape 150°C to Fleece tape 125°C on the branches of the cylinders to improvement the handling and assembly. (ENGINE LI3 and LHE)
Sem necessidade de investimento para engenharia corte/lead prep.</t>
  </si>
  <si>
    <t>Data</t>
  </si>
  <si>
    <t>CR-0150232-00</t>
  </si>
  <si>
    <t>VS30 – SORP – MY2022_02 Tipo: AWE</t>
  </si>
  <si>
    <t xml:space="preserve">
 Clip CL362_00182 (LL) is removed (in the front radar sensor area).
Considerar sem impacto para corte e Lead Prep.</t>
  </si>
  <si>
    <t>CR-0150547-00</t>
  </si>
  <si>
    <t>GEM – MVBs - MY2024 Tipo: Cost Reduction</t>
  </si>
  <si>
    <t>Considerar sem impacto para corte e Lead Prep.
Change the Mastic from E02573900 to E22512600.</t>
  </si>
  <si>
    <t>Considerar sem impacto para corte e Lead Prep.
Clip CL362_00182 (LL) is removed (in the front radar sensor area)., 5. Same content of CR-0150232-00 (Release 22_02)</t>
  </si>
  <si>
    <t>CR-0150258-00</t>
  </si>
  <si>
    <t>VS30 – SORP – MY2023_01 BODY  
Tipo: AWE</t>
  </si>
  <si>
    <t>GEM – PPV - MY2025Família: BODY
Tipo: EWO</t>
  </si>
  <si>
    <t>CR-0151175-00</t>
  </si>
  <si>
    <t xml:space="preserve">Considerar sem investimento para corte e Lead Prep.
Scrap R$ 8.593,91 alteração de comprimento
G.1) Replace current clips used in Front / Rear Doors from: 84035393 (Hellermann PN: 151-01239 - unsealed) to: 11433163 (sealed) and reduce branch of main branch from: 138mm to: 123mm in the </t>
  </si>
  <si>
    <t>CR-0151267-00</t>
  </si>
  <si>
    <t xml:space="preserve">VS30 – SORP – 2022_02
Família: IP WH  
Tipo: Issue
Número: SS-040125             </t>
  </si>
  <si>
    <t xml:space="preserve">Considerar sem impacto para Corte e Lead Prep. ( Analise feita base WLL considerando todas alterações de Comprimento com Stock Use )
1. VS30 - WIRING HARNESS IP, 2. WLL application, 3. Affected family: A9070011599, 4. ISS-040125
</t>
  </si>
  <si>
    <t>CR-0151268-00</t>
  </si>
  <si>
    <t xml:space="preserve">VS30 – SORP – 2022_01Família: BODY  Tipo: Issue Número: ISS-040125             </t>
  </si>
  <si>
    <t xml:space="preserve">
Considerar sem impacto para corte e Lead Prep. Analise feita base WLL
Scrap R$ 1.779,73 circuitos 60mm de diferença WLL apontado com Scrap
TLL AND WLL AFFECTS ALL BODIES BUT THE MODULES ARE MAPPED ON A9070012099 / A9070014999, 4. ISS-040125
</t>
  </si>
  <si>
    <t>CR-0151374-00</t>
  </si>
  <si>
    <t xml:space="preserve">VS30 – SORP – 2023_01 Família: BODY  
Tipo: Issue
Número: H35/5             </t>
  </si>
  <si>
    <t>CR-0151148-00</t>
  </si>
  <si>
    <t>GEM – PPV - MY2023
Família: LIFTGATE
Tipo: Cost Reduction
Número: 4485336</t>
  </si>
  <si>
    <t xml:space="preserve">1 Validação de Termo retrátil para Splice  conforme Norma GMW17136
Scrap R$ 186,81  Validação
Implementação condicionada a aprovação dos teste e validação conforme Noma GMW17136
.1) Change heat shrink tube over Splices SP3350 from E02000700 (65mm, 135°C, 5 ID) to 3299362G2 (50mm, 110°, 6 ID)
E.2) Remove breakout tape (E15837000, PVC, 19mm, 105°C) from nodes: RN1, RN6, RN8, RN10 - Liftgate
</t>
  </si>
  <si>
    <t>CR-0151712-00</t>
  </si>
  <si>
    <t>SPIN – MVBns - MY2025 - IP WH</t>
  </si>
  <si>
    <t>: 1. ISS-037600 - DFM-2022-0011670-SPIN-6 - Remoção do acabamento dos ramais de cabo de antena.
Sem necessidade de investimento para engenharia corte/lead prep</t>
  </si>
  <si>
    <t>CR-0151411-00</t>
  </si>
  <si>
    <t>SPIN – PPV - MY2025 - DOORS</t>
  </si>
  <si>
    <t>CR-0145774-01</t>
  </si>
  <si>
    <t>Para engenharia corte/ lead prep, favor manter a mesma resposta da CR-0145774-00.</t>
  </si>
  <si>
    <t>15:30:00
09:39</t>
  </si>
  <si>
    <t xml:space="preserve">07:01:00
</t>
  </si>
  <si>
    <r>
      <t xml:space="preserve">1. GEM B NARROW FR DOOR 26302788 and 26302789
1. Invert clips (Driver Only)
2. Replace current clips used in Front / Rear Doors from: 84035393 (Hellermann PN: 151-01239 - unsealed) to: 13433163 (sealed) and reduce branch of main branch from: 189mm to: 171mm. (Driver / Co-Driver)
3. Replace Latch connector with all open cavities by option with some blocked cavities as described below:
-1. Front Door LH (Driver) – from PN 31404-7110 by PN: 31404-7108 (blocked cavities: 1)
-2. Front Door RH (Co-Driver) – from PN 31404-7110 by PN: 31404-7134 (blocked cavities: 4 and 6)
Sem necessidade de investimento para engenharia corte/lead prep
</t>
    </r>
    <r>
      <rPr>
        <b/>
        <sz val="11"/>
        <color theme="1"/>
        <rFont val="Calibri"/>
        <family val="2"/>
        <scheme val="minor"/>
      </rPr>
      <t>Desconsiderar esta CR para Spin. CR do GEM.</t>
    </r>
  </si>
  <si>
    <t>CR-0150175-01</t>
  </si>
  <si>
    <r>
      <t xml:space="preserve">1.) Corrugated Tube Optimization (Internal Issued).
2.) Circuits Optimization acc to LHE Engine (Math Updated)
Applied to all Engine SPIN MY25
Print affected: 52167983 Engine LI3 / 52169571 Engine LHE
Reason for Update: Change corrugated tube PN on the O2 (Pigtail) branch.
</t>
    </r>
    <r>
      <rPr>
        <b/>
        <sz val="11"/>
        <color theme="1"/>
        <rFont val="Calibri"/>
        <family val="2"/>
        <scheme val="minor"/>
      </rPr>
      <t>Troca apenas os diametros dos tubos,porém,já temos no processo.</t>
    </r>
    <r>
      <rPr>
        <sz val="11"/>
        <color theme="1"/>
        <rFont val="Calibri"/>
        <family val="2"/>
        <scheme val="minor"/>
      </rPr>
      <t xml:space="preserve">
Sem necessidade de investimento para engenharia corte/lead prep</t>
    </r>
  </si>
  <si>
    <t xml:space="preserve"> CR-0151743-00</t>
  </si>
  <si>
    <t>GEM – PPV - MY2025 Família: DOORS
Tipo: EWO
Número: EWO 4485336</t>
  </si>
  <si>
    <t xml:space="preserve">
Favor considerar sem investimento para corte e Lead Prep. ( Analise feita base Delta CUTSHEET.)
Scrap alteração de comprimento  R$ 6.421,45
</t>
  </si>
  <si>
    <t xml:space="preserve">
sem impacto para corte e Lead Prep.( Analise feita base delta Cut)
Scrap R$ 1.210,96
Implementação condicionada ao Cross Referência dos cabos para atualização das bases com cabos novos, não foi encontrado no SEM.
( Exemplo 65763 ) </t>
  </si>
  <si>
    <t>CR-0151716-00</t>
  </si>
  <si>
    <t>CR-0152502-00</t>
  </si>
  <si>
    <r>
      <t>1. Alteração de Terminal devido a reprova de validação:
FROM: 320257AA6 TO: 32025Y1LX
•</t>
    </r>
    <r>
      <rPr>
        <b/>
        <sz val="11"/>
        <color theme="1"/>
        <rFont val="Calibri"/>
        <family val="2"/>
        <scheme val="minor"/>
      </rPr>
      <t>Uma validação conforme norma USCAR 21 - R$3.150,00 – Motivo, devido a troca de terminal 320257AA6 para 32025Y1LX , não está sendo considerado o miniaplicador porque já antecipamos a compra e já temos na planta, porém necessita de validação para o cabo 65763, o terminal. O terminal 320257AA6 ainda continua no projeto.</t>
    </r>
  </si>
  <si>
    <t>CR-0152584-00</t>
  </si>
  <si>
    <t>SPIN – MVBns - MY2025 - BODY</t>
  </si>
  <si>
    <t>ALTERAÇÃO DE CLIPE, PARA MELHORA DO PROCESSO E DO CUSTO DO CHICOTE
DE: 329959FC9 PARA: 329959IN1
Sem necessidade de investimento para engenharia corte/lead prep</t>
  </si>
  <si>
    <t>CR-0152592-00</t>
  </si>
  <si>
    <t>Proposal Change: Relocate SP 1050C for the liftgate to improvement assembly harness.
Sem necessidade de investimento para engenharia corte/lead prep</t>
  </si>
  <si>
    <t>CR-0150829-00</t>
  </si>
  <si>
    <t>GEM – MVBs - MY2022.5 - ENGINE</t>
  </si>
  <si>
    <t>Assunto: 1. CTO_PROPOSAL ENGINE HARNESS 26373893; 26373894; 26373895 and 52172425
Use attached VCD from slide # 35 to 43 for ENGINE HARNESS affected change.
Sem necessidade de investimento para engenharia corte/lead prep</t>
  </si>
  <si>
    <t>CR-0151172-00</t>
  </si>
  <si>
    <t>CR-0150800-00</t>
  </si>
  <si>
    <t>CR-0151169-00</t>
  </si>
  <si>
    <t>GEM – MVBs - MY2024
BODY Cost Reduction</t>
  </si>
  <si>
    <t>CR-0151142-00</t>
  </si>
  <si>
    <t xml:space="preserve">GEM – MVBs - MY2024 IP WH
Tipo: EWONúmero: EWO 4485336
Assunto: 1. 1. GEM B NARROW I/P 26415448
</t>
  </si>
  <si>
    <t xml:space="preserve">C.1) Change IEC cardboard design (IP WH) as described in VCD.
C.2) Change current Supplier from Tyzall ( Tie Strap) to Gemini (Sierra Plastics) - Affected PNs: Current: 129061017 – Red/L=310/W=14 / Proposal: E30572700 – Red/L=335/W=14
C.3) Reduce radio branches (IP WH) as per described below (option: &amp;IP1). ETO performed according to TWO4426016
C.4) Reduce radio branches (IP WH) as per described in VCD (option: &amp;IOR). ETO performed according pictures in VCD
C.5) Reduce Motor-Blower Front connector (M3Front_X1) branch from: 128mm to: 85mm due to blower motor connection position changed by HVAC Team.
C.6) Apply loose wrapping in order to make IP WH more flexible. See details in VCD.
C.7) Remove red tyzall from center console region – IP WH
C.8) Replace current ethernet cable from PN E07773400 (CU-R2PP-E1 – Supplier Leoni - imported) by PNs 1502X3019 (CU-R3XLPE-DB – Suppleir Acome - local) and 16AH32010 (CU-R3XLPE-DB- Supplier Acome - local). Twist process will be done at WH plant.
C.9) Replace sleeves from: (Federal Mogul) to: (Flexnyl) as described in VCD.Considerar
Sem impacto para corte e Lead Prep.( Analise feita base Delta Cut Sheet)
Scrap   19.708,24  Alteração de comprimento
OBS: Não há informação na CR que os circuitos serão Stock Use por isso foi considerado scrap.
</t>
  </si>
  <si>
    <t>CR-0151412-00</t>
  </si>
  <si>
    <t>GEM – MVBs - MY2023 Família: ENGINE
Tipo: WLL/TLL
Número: ISS-038660
Assunto: 1. Application of WLL as requested by the Process team.
Affected Project - GEM - ENGINE- 26373896 - MY23 - MVBS</t>
  </si>
  <si>
    <t>Application of WLL as requested by the Process team.
Affected Project - GEM - ENGINE- 26373896 - MY23 - MVBS.
Considerar sem impacto para corte e Lead Prep.</t>
  </si>
  <si>
    <t xml:space="preserve"> CR-0151423-00</t>
  </si>
  <si>
    <t xml:space="preserve">GEM – MVBs - MY2023 Família: ENGINE Tipo: WLL/TLL
Número: ISS-038660
Assunto: 1. WLL application as requested by the Process team.
Project Affected - GEM - ENGINE - 52172425 - MY24 - MVBS.
</t>
  </si>
  <si>
    <t>GEM – MVBs - MY2023
Família: ENGINE
Tipo: WLL/TLL
Número: ISS-038660
Assunto: 1. WLL application as requested by the Process team.
Project Affected - GEM - ENGINE - 52172425 - MY24 - MVBS.
Considerar sem impacto para corte Lead Prep.</t>
  </si>
  <si>
    <t>GEM – MVBs - MY2022
 CO DRIVERDOORTipo:WLL/TLL
Número: WLL-26302789-G09-REV1
Assunto: 1. WLL application as requested by the Process team.
Project Affected - GEM - CO DRIVER DOOR - 26302789 - MY22 - MVBS.</t>
  </si>
  <si>
    <t>Considerar sem Impacto para corte e Lead Prep. ( Analise feita base Wll)</t>
  </si>
  <si>
    <t xml:space="preserve">Projeto: GEM – MVBs - MY2023.5
Família: BODY
Tipo: WLL/TLL
Número: SS-035541
Assunto: 1. WLL application as requested by the Process team.
Project Affected - GEM - BODY - 52173158 - MY23.5 - MVBS.
</t>
  </si>
  <si>
    <t>CR-0151427-00</t>
  </si>
  <si>
    <t>CR-0151433-00</t>
  </si>
  <si>
    <t xml:space="preserve">
Considerar sem Impacto para corte e leda prep. ( Analise feita base WLL)
Scrap R$ 2.363,94 Alteração de comprimento de circuitos
</t>
  </si>
  <si>
    <t>CR-0151413-00</t>
  </si>
  <si>
    <t xml:space="preserve">VS30 – SORP – 2023_01 Família: IP/WH  Tipo: Issue
Número: H35/5             
Assunto: 1. IP WIRE HARNESS, 2. Affected drawing: IP A9070011599, 3. Quotation for new cables H35/5 and H35/3, 4. Just affect BOM and CUT
</t>
  </si>
  <si>
    <t xml:space="preserve">
Assunto: 1. IP WIRE HARNESS, 2. Affected drawing: IP A9070011599, 3. Quotation for new cables H35/5 and H35/3, 4. Just affect BOM and CUT
Sem impacto para corte e Lead Prep.( Analise feita base delta Cut)
Scrap R$ 750,08
Implementação condicionada ao Cross Referência dos cabos para atualização das bases com cabos novos, não foi encontrado no SEM.
( Exemplo  se isolação é tipo 65763, 65768...) 
</t>
  </si>
  <si>
    <t>Sem impacto para corte Lead Prep.</t>
  </si>
  <si>
    <t>CR-0152047-00</t>
  </si>
  <si>
    <t>GEM – MVBs - MY2024Família: IP EXT
Tipo: TeardownNúmero: Teardown
Assunto: 11. TearDown application as requested by the Process team.
Affected Project - GEM - IP EXT - 26415444 - MY24 - PPV.</t>
  </si>
  <si>
    <t xml:space="preserve">GEM – MVBs - MY2024
Família: REAR DOOR RH
Tipo: Teardown
Número: Teardown
Assunto: 1. Tear Down application as requested by the Process team.
Project Affected - GEM - REAR DOOR RH - 26432049 - MY24 - MVBS.
</t>
  </si>
  <si>
    <t>1. Tear Down application as requested by the Process team.
Project Affected - GEM - REAR DOOR RH - 26432049 - MY24 - MVBS
Considerar sem Impacto para corte e Lead Prep.</t>
  </si>
  <si>
    <t>CR-0152187-00</t>
  </si>
  <si>
    <t>Tear Down Application performed according to the process Team's request.
Project Affected - GEM - BODY 5HB - 52174375 - MY24 - MVBS.
Considerar sem Impacto para corte e Lead Prep.</t>
  </si>
  <si>
    <t>GEM – MVBs - MY2024
Família: BODY
Tipo: Teardown</t>
  </si>
  <si>
    <t xml:space="preserve"> CR-0152221-00</t>
  </si>
  <si>
    <t>Tear down Application performed according to the process team's request.
Project Affected - GEM - BODY 4NB - 52174376 - MY24 - MVBS.
Considerar sem Impacto para corte e Lead Prep.</t>
  </si>
  <si>
    <t>CR-0152250-00</t>
  </si>
  <si>
    <t>A.1) Allow supplier to use new components for 92W inline connection as described below:
A.1.1) Body WH - Connector 92W - from TE PN 2317734-1 (GM PN: 26245586) to TE PN 2404982-1 (GM PN: 26379006)
B.1) Change current Supplier from Tyzall ( Tie Strap) to Gemini (Sierra Plastics) - Affected PNs: Current: 129061017 – Red/L=310/W=14 / Proposal: E30572700 – Red/L=335/W=14
B.2) Add tear PVC tapes for hanking in order to improve assembly
process.
B.2) Add tear PVC tapes for hanking in order to improve assembly process.
B.3) Keep spot tape under clip on antena cable. Note: supplier already follows this Direction, according to TWO4140045. Spot tape wrongly removed from 2D / 3D after ECR4207703.
B.4) Replace FTZM conector / cover as following:
-Connector from TE PN 7-2109446-2 to PN TE 5-2109446-2
-Cover from TE PN 2109472-2 to TE PN 1-2109472-2
B.4) Replace FTZM conector / cover as following:
Connector from TE PN 1-2109450-3 to PN TE 2-2109450-3
Cover from TE PN 2109472-2 to TE PN 1-2109472-2
B.5) Replace current EBCM ground terminal from JST PN SRGM-6.0-T (GM PN 13325666) to TE PN 2819197-3. Remove splice X117SP1750_BUN125_1 X1 (and related heatshrinkable tube), remove wire 1750 (6mm2) and connect wires 1750A (4mm2) and 1750B (2.5mm2) directly from EBCM to new TE terminal.
B.6) Replace current clip PN 157-00037 by clip PN T50S-SB5 (Lear PN: 320350366). Several locations
B.7) Replace current clip PN 155-12300 by clip PN T50S-SB5 (Lear PN: 320350366) – UEC branch (X111)
B.8) Part localization to ABC Group (NPN1)
B.9) Replace grommet PN: 26292014 to 26238940.
B.10) Replace Grommet 26292019 to 26238942
B.11) Replace grommet 26292018 to 26238936.
B.12) Replace grommet 26292013 to 26238941.
B.13) Replace grommet 26292024 to 13243702.
B.14) Replace current ECM conector PN: 26331778 with some blocked cavities by new ECM conector PN: 12672860 with all open cavities due to MY25.5 design. Modification valid just for non PL8 (LIJ-NEM / L4G-NEM / L4F / LIF) Body WHs). For Body WHs with LIJ&amp;NEM and L4G&amp;NEM, this modification was already considered by ECR4479512
B.15) Replace sleeve from: 2681002503M0165H (Federal Mogul) to: Y401-2503-0165 (Flexnyl)
Sem necessidade de investimento para engenharia corte/lead prep. ja´temos o terminal E37621700 no SPIN e como vamos aplicar apenas um circuito no spin com este terminal, não será necessário aquisição de outra ferramenta para este processo.</t>
  </si>
  <si>
    <t>CR-0152773-00</t>
  </si>
  <si>
    <t>SPIN – MVBns - MY2025 - LIFTGATE</t>
  </si>
  <si>
    <t>sPIN</t>
  </si>
  <si>
    <t>Replace conn clip PN: 329925SSH to PN: 329925SNQ
Sem necessidade de investimento para engenharia corte/lead prep</t>
  </si>
  <si>
    <t xml:space="preserve"> CR-0151175-00</t>
  </si>
  <si>
    <t xml:space="preserve"> BODYTipo: EWO
Número: EWO 4485336
Assunto: 1. GEM B NARROW BODY HARNESS 26432048 AND 26432049 MY25 PPV</t>
  </si>
  <si>
    <t xml:space="preserve">Cancelada </t>
  </si>
  <si>
    <t>CR-0152394-00</t>
  </si>
  <si>
    <t xml:space="preserve">VS30 – SORP – 2022_02
Família: BODY  
Tipo: Issue
</t>
  </si>
  <si>
    <t>CR-0152180-00</t>
  </si>
  <si>
    <t>GEM – PPV - MY2025
Família: BODY
Tipo: Cost Reduction
Número: TBD</t>
  </si>
  <si>
    <t>Change CLIP E04134300 to E37817600.
Considerar Sem impacto para corte e Lead prep.</t>
  </si>
  <si>
    <t>GEM – PPV - MY2025
Família: BODY
Tipo: Cost Reduction</t>
  </si>
  <si>
    <t>PFD-VS30-BR907-AEHJ2023_01-2416, 4. Clip CL017_00082 is rotated 180°. Suggestion for improvement from Mercedes-Benz., 5. Doesnt affect BOM, CUT and Labor, 6.
Considerar sem Imapcto para corte e Lead Prep.</t>
  </si>
  <si>
    <t>CR-0152395-00</t>
  </si>
  <si>
    <t>VS30 – SORP – 2023_01
Família: BODY  
Tipo: AWE</t>
  </si>
  <si>
    <t>GEM – PPV - MY2025
Família: BODY
Tipo: Cost Reduction
Número: TBD
Assunto: 1. GEM B NARROW BODY HARNESS 52174375 MY25 PPV</t>
  </si>
  <si>
    <t xml:space="preserve"> CR-0151928-00</t>
  </si>
  <si>
    <t>Considerar Sem impacto para corte e lead Prep.
Change CLIP E04134300 to E37817600.</t>
  </si>
  <si>
    <t>CR-0152180-01</t>
  </si>
  <si>
    <t>GEM – PPV - MY2025Família: BODY
Tipo: Cost Reduction</t>
  </si>
  <si>
    <t>Considerar Sem impacto para corte e lead Prep.
CLIP E04134300 to E37817600.</t>
  </si>
  <si>
    <t>GEM – MVBs - MY2024
Família: DOORS
Tipo: TEWO
Número: 4544708</t>
  </si>
  <si>
    <t>Replace current clips used in Front / Rear Doors from: 84035393 (Hellermann PN: 151-01239 - unsealed) to: 13433163 (sealed)
B.1) Replace current clips used in Front / Rear Doors from: 84035393 (Hellermann PN: 151-01239 - unsealed) to: 13433163 (sealed
Considerar sem impacto para corte e Lead Prep.</t>
  </si>
  <si>
    <t xml:space="preserve"> CR-0152499-00</t>
  </si>
  <si>
    <t>GEM – MVBs - MY2024
Família: FRONT DOOR
Tipo: TEWO
Número: TWO 4544708</t>
  </si>
  <si>
    <t>CR-0152475-00</t>
  </si>
  <si>
    <t>1. Replace current clips used in Front / Rear Doors from: 84035393 (Hellermann PN: 151-01239 - unsealed) to: 13433163 (sealed).
Considerar sem impacto para corte e Lead Prep.</t>
  </si>
  <si>
    <t>VS30 – SORP – 2023_01
Família: BODY  
Tipo: AWE
Número: PFD-VS30-BR907-AEHJ2023_01-2413</t>
  </si>
  <si>
    <t>CR-0152783-00</t>
  </si>
  <si>
    <t xml:space="preserve">4. Length adjustment of ground cable connection W9/7*2-K. WLL is required
Considerar sem impacto para corte e Lead Prep.
Alteração comprimento circuito 5400B
Scrap. R$ 6.834,61 </t>
  </si>
  <si>
    <t xml:space="preserve">GEM – MVBs - MY2024
Família: ENGINE
Tipo: Teardown
</t>
  </si>
  <si>
    <t>Tear Down application as requested by the Processes team.
Project affected - GEM - ENGINE - 52172425 - MY2024 - MVBs.
Considerar sem impacto para corte e Lead Prep.</t>
  </si>
  <si>
    <t>CR-0152791-00</t>
  </si>
  <si>
    <t>CR-0152784-00</t>
  </si>
  <si>
    <t>SPIN – MVBns - MY2025 - ENGINE</t>
  </si>
  <si>
    <t>1.) Change ECM connectors to Opened Cavities to Blocked Cavities
From PN: 32165K53A To PN: E41661000(LI3) / E41661200(LHE) - 73WAYS
From PN: E04178800 To PN: E41661900(LI3) / E41662000(LHE) - 80WAYS
Sem necessidade de investimento para engenharia corte/lead prep</t>
  </si>
  <si>
    <t>CR-0153016-00</t>
  </si>
  <si>
    <t>SPIN – MVBns - MY2025 - LIFTGATE/CONSOLE/RR BUMPER/SEATING</t>
  </si>
  <si>
    <t>Replace From PN: E05374200 To PN: 329959GJ2
Sem necessidade de investimento para engenharia corte/lead prep</t>
  </si>
  <si>
    <t>CR-0153026-00</t>
  </si>
  <si>
    <t>Replace clip From PN: 329959QD5 To PN: E13105600
Sem necessidade de investimento para engenharia corte/lead prep</t>
  </si>
  <si>
    <t>CR-0153043-00</t>
  </si>
  <si>
    <t>Replace clip From PN: E12384000 (BLACK) To PN: E18573800 (GRAY)
Sem necessidade de investimento para engenharia corte/lead prep</t>
  </si>
  <si>
    <t>CR-0153051-00</t>
  </si>
  <si>
    <t>SPIN – MVBns - MY2025 - BODY/ENGINE</t>
  </si>
  <si>
    <t>CLip replacement From PN: 32035202N To PN: E03938100
Sem necessidade de investimento para engenharia corte/lead prep</t>
  </si>
  <si>
    <t>CR-0150671-01</t>
  </si>
  <si>
    <t>PROPOSED CHANGE
1.) Remove PVC overlap tape over the corrugated tube and apply spiral PVC TAPE 125°C in all routing for Engines LI3 &amp; LHE over the wires. This process of spiral taping should ensure that the cables/wires not exposed during handling.
2.) For branches &gt;= 150mm, use spot tape to ensure that the cables are not exposed.
3.) For the clips, use spot tape 12712909Y to make sure the clip doesn’t crush the tube during the process.
4.) Replace/Remove Acrylic tape 150°C to Fleece tape 125°C on the branches of the cylinders to improvement the handling and assembly. (ENGINE LI3 and LHE)
Sem necessidade de investimento para engenharia corte/ lead prep.</t>
  </si>
  <si>
    <t>Aquisição de 1 Bubble Test para realização de teste de estanqueidade no setor de lead prep.VS30.(  Hoje não temos na área esse equipamento)
14 validações de Termo retrátil conforme norma VS30
56 horas técnica de validação
Scrap validação  R$ 2.675,38
Obs: Retirado Investimento de 1 Bubble Test conforme informação da @Da Costa, Lilian Kelli isso está sendo tratado em outro fórum.</t>
  </si>
  <si>
    <t>CR-0151142-01</t>
  </si>
  <si>
    <t>GEM – PPV - MY2025
Família: IP WH
Tipo: EWO
Número: 4485336
Assunto: 1. 1. GEM B NARROW I/P 26415448</t>
  </si>
  <si>
    <r>
      <t xml:space="preserve">C.1) Change IEC cardboard design (IP WH) as described in VCD.
C.2) Change current Supplier from Tyzall ( Tie Strap) to Gemini (Sierra Plastics) - Affected PNs: Current: 129061017 – Red/L=310/W=14 / Proposal: E30572700 – Red/L=335/W=14
C.3) Reduce radio branches (IP WH) as per described below (option: &amp;IP1). ETO performed according to TWO4426016
C.4) Reduce radio branches (IP WH) as per described in VCD (option: &amp;IOR). ETO performed according pictures in VCD
C.5) Reduce Motor-Blower Front connector (M3Front_X1) branch from: 128mm to: 85mm due to blower motor connection position changed by HVAC Team.
C.6) Apply loose wrapping in order to make IP WH more flexible. See details in VCD.
C.7) Remove red tyzall from center console region – IP WH
C.8) Replace current ethernet cable from PN E07773400 (CU-R2PP-E1 – Supplier Leoni - imported) by PNs 1502X3019 (CU-R3XLPE-DB – Suppleir Acome - local) and 16AH32010 (CU-R3XLPE-DB- Supplier Acome - local). Twist process will be done at WH plant.
C.9) Replace sleeves from: (Federal Mogul) to: (Flexnyl) as described in VCD.
</t>
    </r>
    <r>
      <rPr>
        <b/>
        <sz val="11"/>
        <rFont val="Calibri"/>
        <family val="2"/>
        <scheme val="minor"/>
      </rPr>
      <t xml:space="preserve">Considerar sem impacto para corte e Lead Prep.( Analise feita base Delta Cut Sheet)
Scrap   R$16.685,27  Alteração de comprimento.
OBS: Não há informação na CR que os circuitos serão Stock Use por isso foi considerado scrap.
</t>
    </r>
    <r>
      <rPr>
        <sz val="11"/>
        <color theme="1"/>
        <rFont val="Calibri"/>
        <family val="2"/>
        <scheme val="minor"/>
      </rPr>
      <t xml:space="preserve">
</t>
    </r>
  </si>
  <si>
    <t xml:space="preserve">GEM – PPV - MY2025
Família: BODY
Tipo: Cost Reduction
Número: TBD
Assunto: 1. GEM B NARROW BODY HARNESS 52174376 MY25 PPV
</t>
  </si>
  <si>
    <t>CR-0152857-00</t>
  </si>
  <si>
    <t>Change the part number in complexity only.
Considerar sem impacto para corte e Lead prep.</t>
  </si>
  <si>
    <t>GEM – PPV - MY2025
Família: BODY
Tipo: EWO
Número: 4485336
Assunto: 1. GEM B NARROW BODY HARNESS 52174376 MY25 PPV</t>
  </si>
  <si>
    <t xml:space="preserve"> CR-0152857-01</t>
  </si>
  <si>
    <t>CR-0152475-01</t>
  </si>
  <si>
    <t>CR-0151743-01</t>
  </si>
  <si>
    <t>G.1) Replace current clips used in Front / Rear Doors from: 84035393 (Hellermann PN: 151-01239 - unsealed) to: E00027743
Se for somente troca de clips conforme corpo do e-mail considerar sem impacto para Corte e Lead Prep.
No delta Cut Sheet está alterando comprimento e não está especificado se é stock Use, se realmente for alterar o comprimento, favor considerar Scrap R$ 6.421,45</t>
  </si>
  <si>
    <t xml:space="preserve">GEM B NARROW DOOR HARNESS 26302792, 26302798, 26432048 AND 26432049 MY25 PPV
G.1) Replace current clips used in Front / Rear Doors from: 84035393 (Hellermann PN: 151-01239 - unsealed) to: E00027743
</t>
  </si>
  <si>
    <t xml:space="preserve"> CR-0152499-01</t>
  </si>
  <si>
    <t>GEM – MVBs - MY2024
Família: REAR DOOR
Tipo: TEWO
Número: 4544708
Assunto: 1. GEM B NARROW DOOR HARNESS 26302792, 26302798, 26432048 AND 26432049 MY25 PPV</t>
  </si>
  <si>
    <t>A.1) Replace current clips used in Front / Rear Doors from: 84035393 (Hellermann PN: 151-01239 - unsealed) to: E00027743
Considerar sem impacto para corte lead Prep.</t>
  </si>
  <si>
    <t>CR-0152707-00</t>
  </si>
  <si>
    <t>GEM – PPV - MY2025
Família: BODY
Tipo: EWO
Número: EWO 4485336
Assunto: 1. GEM B NARROW BODY HARNESS 52174375 MY25 PPV</t>
  </si>
  <si>
    <t>1. Eevolution of PNs as per EPL attached for MY25.
Considerar sem impacto para corte e Lead Prep.</t>
  </si>
  <si>
    <t>Respondida
Week</t>
  </si>
  <si>
    <t>Recebida
Week</t>
  </si>
  <si>
    <t>Recebido</t>
  </si>
  <si>
    <t>Respondido</t>
  </si>
  <si>
    <t>Ano</t>
  </si>
  <si>
    <t>Total</t>
  </si>
  <si>
    <t>Falta Responder</t>
  </si>
  <si>
    <t>WEEK</t>
  </si>
  <si>
    <r>
      <t xml:space="preserve">2. PPV PHASE- TERMINAL CHANGE DUE VALIDATION REPROVAL:
FROM 320257CL0   TO E00309700
FROM 3202515R8 TO 3202546L4
FROM 320257AA6  TO 32025Y1LX
FROM 3202618H6 TO E39012300.
3. MVBns PHASE: COMMUNIZATION OF COMPONENT (BUYER LIST)
TERMINAL CHANGE:
FROM 32025Y32U TO E17579700
*Terminals are the same, but the PN 32025Y32U is exclusive for OEM FORD.
FROM 32025Y32V TO E17580100
*Terminals are the same, but the PN 32025Y32V is exclusive for OEM FORD.
CLIP CHANGE:
FROM 329959FC9 TO E13104700
FROM E18801800 TO 3203510G5
</t>
    </r>
    <r>
      <rPr>
        <b/>
        <sz val="11"/>
        <color theme="1"/>
        <rFont val="Calibri"/>
        <family val="2"/>
        <scheme val="minor"/>
      </rPr>
      <t>Sem necessidade de investimento para engenharia corte/lead prep.</t>
    </r>
    <r>
      <rPr>
        <sz val="11"/>
        <color theme="1"/>
        <rFont val="Calibri"/>
        <family val="2"/>
        <scheme val="minor"/>
      </rPr>
      <t xml:space="preserve">
cr cancelada na data de 11/05/2023 às 16:29</t>
    </r>
  </si>
  <si>
    <t>CR-0151716-01</t>
  </si>
  <si>
    <t>GEM – PPV - MY2025
Família: FRONT DOOR
Tipo: EWO
Número: EWO 4485336</t>
  </si>
  <si>
    <t>CR-0151411-01</t>
  </si>
  <si>
    <t>1. Invert clips (Driver Only)
2. Replace current clips used in Front / Rear Doors from: 84035393 (Hellermann PN: 151-01239 - unsealed) to: 13433163 (sealed) and reduce branch of main branch from: 189mm to: 171mm. (Driver / Co-Driver)
3. Replace Latch connector with all open cavities by option with some blocked cavities as described below:
-1. Front Door LH (Driver) – from PN 31404-7110 by PN: 31404-7108 (blocked cavities: 1)
-2. Front Door RH (Co-Driver) – from PN 31404-7110 by PN: 31404-7134 (blocked cavities: 4 and 6)
Considerar sem impacto para corte e Lead Prep.( Analise feita base Delta Cut Sheet)
Scrap   R$16.685,27  Alteração de comprimento.
OBS: Não há informação na CR que os circuitos serão Stock Use por isso foi considerado scrap.
SCRAP R$ 17.484,42 1 dia de Scrap</t>
  </si>
  <si>
    <t>Favor considerar:
•	02kits de aplicação R$1.400,00 – Motivo: Não temos este terminal em nosso processo, será necessário transformar a ferramenta de 32025Y32U para E00006853 e de 32025Y32V para E01188000.</t>
  </si>
  <si>
    <t>CR-0154032-00</t>
  </si>
  <si>
    <t>PNs Evolution to ENGINE LI3 &amp; LHE
Sem necessidade de investimento para engenharia corte/lead prep.</t>
  </si>
  <si>
    <t>CR-0153974-00</t>
  </si>
  <si>
    <t>SPIN – PPV - MY2025 - LIFTGATE EXTN</t>
  </si>
  <si>
    <t>Remove the current acrylic tape and apply fleece tape over the lift gate extension WH to avoid noise.
Sem necessidade de investimento para engenharia corte/lead prep.</t>
  </si>
  <si>
    <t>CR-0153469-00</t>
  </si>
  <si>
    <t>PROPOSED CHANGE
PAGE 2 - Dimensional increased on HVAC inlet branch from 103mm to 133mm to improve assembly condition.
PAGE 3 - Implement Global Bulletin #191 (Change connector material from Nylon to PBT).
PAGE 4 - Remove the circuit 278 of ambient light solar sensor B749.
PAGE 5 - Change electrical diagram according mark up below.
Sem necessidade de investimento para engenharia corte/lead prep.</t>
  </si>
  <si>
    <t>CR-0153474-00</t>
  </si>
  <si>
    <t>SPIN – MVBns - MY2025 - LIFTGATE EXTN</t>
  </si>
  <si>
    <t>Change Proposal:
1) Replace terminal due to inversion in terminal winding.
FROM: E17579700 (0.35 - 0.50)
TO: E00006853 (0.35 - 0.50)
FROM: E17580100 (0.75)
TO: E01188000 (0.75)
Como os terminais são os mesmos e os parâmetros também são, e como ainda não foram enviados para o laboratório ITEN, não vamos precisar de investimento para validação USCAR21. Apenas a troca de part number das ferramentas e novo Log será necessário para adequar a ferramenta.
Favor considerar:
Transformação das duas ferramentas e duas documentações para o novos part numbers. R$1.310,00</t>
  </si>
  <si>
    <t>CR-0151714-00</t>
  </si>
  <si>
    <t>PROPOSED CHANGE
1.) Remove PVC overlap tape over the corrugated tube and apply spiral PVC TAPE 125°C in all routing for Engines LI3 &amp; LHE over the wires. This process of spiral taping should ensure that the cables/wires not exposed during handling.
2.) For branches &gt;= 150mm, use spot tape to ensure that the cables are not exposed.
3.) For the clips, use spot tape 12712909Y to make sure the clip doesn’t crush the tube during the process.
4.) Replace/Remove Acrylic tape 150°C to Fleece tape 125°C on the branches of the cylinders to improvement the handling and assembly. (ENGINE LI3 and LHE)
5.) Adequate the length of the Cylinder branches to LI3 Engine. (AFFECT ONLY LI3).
6) Commonization the main route where especial tolerances are indicated to LHE Engine acc to LI3 Engine. (IT WAS ALREADY APPLIED ON THE PPV PHASE).
Sem necessidade de investimento para engenharia corte/lead prep.</t>
  </si>
  <si>
    <t>CR-0138525-01</t>
  </si>
  <si>
    <t>GEM – MVBs - MY2024 - BODY</t>
  </si>
  <si>
    <t>1. Change terminal Ring E15132900 ( Hulane, Welding, 0.75-3.00) by E02742700 (TE, Crimp, 2,5-4.00), relocating circuits 1150 and 1150A to Splice SP950 and change gauge of circuit 1150J from 2,0mm to 3,00mm
Favor considerar: 
•	01Validação conforme norma USCAR 38 – R$2.380,00 - Motivo – não temos esta validação aprovada pelo laboratório.
•	02 validações conforme norma USCAR 45 – R$1.130,00 – Motivo aplicação da configuração da splice  2*0,50;1*3,00 X 2*0,50;1*0,75;1*0,50  e  2*0,50;1*0,75;1*3,00 X02*0,50;1*0,75;1*0,50, não temos esta configuração aprovada em laboratório.
•	03 validações conforme norma GMW17136 – R$10.551,00
•	SCRAP – R$1.073,00</t>
  </si>
  <si>
    <t>CR-0153577-00</t>
  </si>
  <si>
    <t>VS30 – SORP – 2022_02 - BODY</t>
  </si>
  <si>
    <t>: 1. VS30 - WIRING HARNESS BODY (VORNE), 2. EC0117685-004, 3. Affected drawings: A9070011999 / A9070012099 / A9070014599 / A9070014699 / A9070014899 / A9070014999 / A9070015299 / A9070015399 / A9070015599 / A9070015699 / A9070015999 / A9070016099 / A9070016399 / A9070016499, 4. Removal 1 clip E03031300
, 5. Add 2 clips 3203505M9, 6. the positioning of the clips will be defined after the quotation
Sem necessidade de investimento para engenharia corte/lead prep.</t>
  </si>
  <si>
    <t>CR-0153509-00</t>
  </si>
  <si>
    <t>CR-0153731-00</t>
  </si>
  <si>
    <t xml:space="preserve">VS30 – SORP – 2023_01 - BODY </t>
  </si>
  <si>
    <t>Assunto: 1. VS30 - WIRING HARNESS BODY, 4. Affected drawings: BODY A9070011999/A9070012099/A9070014599/A9070014699/A9070014899/A9070014999/A9070015299/A9070015399/A9070015599/A9070015699/A9070015999/A9070016099/A9070016399/A9070016499., 5. Clip A9070002154 - CL369_00182 (LL) / CL100_00382 (RL) - between reference X332*1-B and Y97/6*1_1-B is replaced by A907 000 20 54., 6. PFD-VS30-BR907-AEHJ2023_01-2343w, 7. Modification already implemented in the CR-0143114-00 - 22_02
Sem necessidade de investimento para engenharia corte/lead prep.</t>
  </si>
  <si>
    <t>CR-0153689-00</t>
  </si>
  <si>
    <t>GEM – MVBs - MY2024 - IP WH</t>
  </si>
  <si>
    <t>Assunto: 1. Tear Down application as requested by the Processes team.
Project affected - GEM - IP - 52174448 - MY2024 - MVBs.
Sem necessidade de investimento para engenharia corte/lead prep.</t>
  </si>
  <si>
    <t>CR-0153823-00</t>
  </si>
  <si>
    <t>Assunto: 1. VS30 - WIRING HARNESS BODY, 2. PFD-VS30-BR907-AEHJ2023_01-2345w, 3. Affected drawings: A9070014599, 4. Modules from AEHJ2022_01 are reactivated because they have the same scope or content that is missing for AEHJ2022_02 (A1-LH1). Wire scope of air conditioning in the roof is added for A1 - LH1. More details please check Attachments section., 5. Modification already quote in the CR-0145355-00 - 22_02
Sem necessidade de investimento para engenharia corte/lead prep.</t>
  </si>
  <si>
    <t>CR-0153856-00</t>
  </si>
  <si>
    <t>GEM – MVBs - MY2023.5 - IP WH</t>
  </si>
  <si>
    <t>Assunto: 1. Application of WLL as requested by the Process team.
Affected project - GEM - IP - 26373790 - MY23.5 - MVBS
Sem necessidade de investimento para engenharia corte/lead prep.</t>
  </si>
  <si>
    <t>CR-0153862-00</t>
  </si>
  <si>
    <t>Assunto: 1. Application of WLL as requested by the Process team.
Affected project - GEM - IP - 26373790 - MY24 - MVBS.
Sem necessidade de investimento para engenharia corte/lead prep.</t>
  </si>
  <si>
    <t>CR-0153498-00</t>
  </si>
  <si>
    <t xml:space="preserve">1. Change terminal in connector 26245586_X16X201_X1.
CSA 0.50 From E16318300 - To 3202585X7. (1-8, 19-22, 25-28, )
CSA 0.35 From E16318300 - To 3202585Y5. (9-11, 13-18, 23,24, 29-32,35,36, 59,60, 66-72, 78-82, 85-92)
Favor considerar:
•	01 validação conforme norma USCAR 21 - R$3.350,00 - para o cabos  65767
•	07 aplicadores de terminal 3202585Y5 - R$49.000,00 usa-se o terminal anterior em 07 máquinas de corte.
•	01 aplicador de terminal 3202585X7 – R$ 7.000,00 Usa-se o terminal anterior em 03 máquinas de corte, precisamos apenas de uma porque já temos 02 ferramentas disponíveis.
•	Scrap  - R$ 2.685,20
</t>
  </si>
  <si>
    <t>1. Change terminal in connector 26245586_X16X201_X1, cavity (1 to 8,19 to 22, 25 to 28) to 3202585X7,
cavity (9,10,11,13 to 18,23,24, 29,30,31,32,35,36,66 to 72, 78 to 82, 85 to 92) to 3202585Y5
Sem necessidade de investimento para engenharia corte/lead prep, condicionado a aprovaçãoda CR-0153509-00. Caso esta não seja arovada,será necessário os mesmos investimentos.</t>
  </si>
  <si>
    <t>CR-0153936-00</t>
  </si>
  <si>
    <t>Número: PFD-VS30-BR907-AEHJ2023_01-2408
Assunto: 1. VS30 - WIRING HARNESS BODY, 2. PFD-VS30-BR907-AEHJ2023_01-2408, 3. Affected drawings: BODY A9070011999/ A9070012099/ A9070014599/ A9070014699/ A9070014899/ A9070014999/ A9070015299/ A9070015399/ A9070015599/ A9070015699/ A9070015999/ A9070016099/ A9070016399/ A9070016499, 4. Relay A000 982 82 23 is replaced by A 002 542 88 19 at a position of F152*Kl30T-K. Just add the note in drawing 2D. This change is already included in the BOM. This modification was quoted at CR-0135080-00 - 22_02, 5. Coordinate (62-AG), decreases the branch from 20mm to 15mm, 6. Coordinate 88-AG, extends branch from 90mm to 95mm
Sem necessidade de investimento para engenharia corte/lead prep.</t>
  </si>
  <si>
    <t>Troca do terminal 320264716 para o terminal E00066800 de acordo com o desenho os terminais são os mesmos com diferença apenas de duas serrilhas no condutor para tres serrilhas no condutor.
Tendo em vista que os terminais são os mesmos alterando apenas as serrilhas, Favor considerar:
•	01 validação conforme USCAR 21 – R$3.350,00
Já temos validaçaõ para este terminal, visto com ROGERIO SANTOS&gt;</t>
  </si>
  <si>
    <t>05:39:00
16:55</t>
  </si>
  <si>
    <t>CR-0136154-01</t>
  </si>
  <si>
    <t>COST STUDY:
1. Change terminal PN from 3202547K5 to 32025Y194.
2. Change terminal PN from 3202536X7 to E00000266.
3. Change terminal PN from 32025Y0VN to E00274300.
Favor considerar:
03 miniaplicador MRSJ1 – R$19.659,00 – Motivo – não temos estes aplicadores 
05 validações conforme norma USCAR21 – R$ 16.750,00 conforme código Legacy dos cabos abaixo.</t>
  </si>
  <si>
    <t>CR-0154184-00</t>
  </si>
  <si>
    <t>GEM – MVBs - MY2025 - BODY</t>
  </si>
  <si>
    <t>Troca de fitas
Change from PN E15837200 to PN E15837000
Sem necessidade de investimento para engenharia corte/lead prep.</t>
  </si>
  <si>
    <t>CR-0154094-00</t>
  </si>
  <si>
    <t>Replace the IP 1.380M of E15837100 tape on the antennas of the BODY design with the E15837000 tape.
Sem necessidade de investimento para engenharia corte/lead prep.</t>
  </si>
  <si>
    <t>CR-0154085-00</t>
  </si>
  <si>
    <t>Troca de fita
Change from PN E15837200 to PN E15837000
Sem necessidade de investimento para engenharia corte/lead prep.</t>
  </si>
  <si>
    <t>CR-0153918-00</t>
  </si>
  <si>
    <t>GEM – MVBns - MY2024 - ENGINE</t>
  </si>
  <si>
    <t>CHANGE MASTIC E22512600 from E02573900
Sem necessidade de investimento para engenharia corte/lead prep.</t>
  </si>
  <si>
    <t>CR-0154080-00</t>
  </si>
  <si>
    <t>GEM – MVBs - MY2022.5 - FRONT BUMPER</t>
  </si>
  <si>
    <t>Change from PN E14165400 to PN E21429300 on the branch B133LF_SUPPLEMENTAL_X1 (276464)
Troca de tubo corrugado de E14165400 (tubo aberto) para E21429300 (tubo fechado)
Sem necessidade de investimento para engenharia corte/lead prep.</t>
  </si>
  <si>
    <t>CR-0136153-01</t>
  </si>
  <si>
    <t xml:space="preserve">1. Change terminal PN from 3202547K5 to 32025Y194.
2. Change terminal PN from 3202536X7 to E00000266.
3. Change terminal PN from 32025Y0VN to E00274300.
Já foram considerados alguns investimentos na CR-0136154-01.
Para esta CR, favor considerar apenas :
01 miniaplicador  MRSJ1 – R$6.553,00 – Motivo – temos aplicações para máquina de Twister e é necessário deixar um aplicador dedicado para este equipamento para não termos conflito na produção.
OBS : As validações e os outros mini aplicadores já foram considerados na CR-0136154-01. Se caso a mesma não for aprovada, deve-se considerar os investimentos nesta CR e vice versa.
</t>
  </si>
  <si>
    <t>CR-0154268-00</t>
  </si>
  <si>
    <t>Change the clip from E07869100 to E00028563.
Sem necessidade de investimento para engenharia corte/lead prep.</t>
  </si>
  <si>
    <t>CR-0154272-00</t>
  </si>
  <si>
    <t>change the clip from E07869100 to E00028563 according to the attached markup.
Sem necessidade de investimento para engenharia corte/lead prep.</t>
  </si>
  <si>
    <t>CR-0154398-00</t>
  </si>
  <si>
    <t>ADD tyzall E30571400
Sem necessidade de investimento para engenharia corte/lead prep.</t>
  </si>
  <si>
    <t>CR-0154391-00</t>
  </si>
  <si>
    <t>CR-0154084-00</t>
  </si>
  <si>
    <t>Remove the Overlap Tape with PN E15837200 from Route: RN131 to RN177
Sem necessidade de investimento para engenharia corte/lead prep.</t>
  </si>
  <si>
    <t>CR-0154096-00</t>
  </si>
  <si>
    <t>GEM – PPV - MY2023 - LIFTGATE</t>
  </si>
  <si>
    <t>1. Replace the LIFT GATE acrylic tape inside the E15837200 grommet with E15837000 (150mm)
Sem necessidade de investimento para engenharia corte/lead prep.</t>
  </si>
  <si>
    <t>CR-0154402-00</t>
  </si>
  <si>
    <t>Add Tyzal E30571400 to Harness Body Hanking .
Sem necessidade de investimento para engenharia corte/lead prep.</t>
  </si>
  <si>
    <t>CR-0154185-00</t>
  </si>
  <si>
    <r>
      <t xml:space="preserve">change the terminal part number of cavity (1 to 8,19 to 22,25 to 28) E16318300 to E26307100.
change the terminal part number of cavity (9,10,11,13 to 18,23,24, 39,30,31,32,35,36,59,60,66 to 72,78 to 82, 85 to 92) E16318300 to E30537200
•	01 miniaplicador MRSJ1 para o terminal E26307100 – R$6.553,00 – motivo – não temos este miniaplicador disponível.
•	02 mini aplicadores  MRSJ1 para o terminal E30537200 – R$13.106,00 – Motivo – aplicadores serão usados tanto em máquinas de corte single wire como em máquinas de corte Twister. Necessidade de duas ferramentas para dedicar uma para a twister.
•	Scrap ; R$1354,30
</t>
    </r>
    <r>
      <rPr>
        <b/>
        <sz val="11"/>
        <color theme="1"/>
        <rFont val="Calibri"/>
        <family val="2"/>
        <scheme val="minor"/>
      </rPr>
      <t>Retificando.
Favor considerar:
•	02 miniaplicador MRSJ1 para o terminal E26307100 – R$6.553,00 – motivo – não temos este miniaplicador disponível. Devido ao volume e aplicação em Twister é necessário 02 miniaplicadores.
•	02 mini aplicadores  MRSJ1 para o terminal E30537200 – R$13.106,00 – Motivo – aplicadores serão usados tanto em máquinas de corte single wire como em máquinas de corte Twister. Necessidade de duas ferramentas para dedicar uma para a Twister.
•	02 Validação conforme norma USCAR21 R$6.320,00
•	Scrap ; R$1354,30</t>
    </r>
  </si>
  <si>
    <t>17:18:00
11:28</t>
  </si>
  <si>
    <t>COST STUDY:
CTO study CR for the M24 Body changes the inline terminal with IP
1) 0.50 FROM E16318300 TO E26307100 (1-8, 19-22, 25-28)
2) 0.35 FROM E16318300 TO E30537200 (9-11, 13-18, 23-24, 29-32, 35-36, 59-60, 66-72, 78-82, 85-92
Para esta CR, favor considerar apenas :
•	02 validações USCAR 21 R$6.320,00 – Motivo – Dois cabos com classificações diferentes da CR-0154391-00.
Não estou considerando mini aplicadores para esta CR, porque já foi considerado investimento na CR-0154391-00. Neste caso, esta  CR  fica condicionada a CR-0154391-00.</t>
  </si>
  <si>
    <t>CR-0154778-00</t>
  </si>
  <si>
    <t>SPIN – SOP - MY2025 - IP/CONSOLE</t>
  </si>
  <si>
    <t>CR-0154782-00</t>
  </si>
  <si>
    <t>CR-0154682-00</t>
  </si>
  <si>
    <t>Proposal: Change clip E14167400 to E00005474
Sem necessidade de investimento para engenharia corte/lead prep.</t>
  </si>
  <si>
    <t>CR-0154762-00</t>
  </si>
  <si>
    <t>3. Released for quotation of fuse box A9075409582 by customer need.
Sem necessidade de investimento para engenharia corte/lead prep.</t>
  </si>
  <si>
    <t>CR-0154798-00</t>
  </si>
  <si>
    <t>SPIN – SOP - MY2025 - IP/BODY/CAMERA</t>
  </si>
  <si>
    <t>CR-0154802-00</t>
  </si>
  <si>
    <t>CR-0154806-00</t>
  </si>
  <si>
    <t>CR-0154279-00</t>
  </si>
  <si>
    <t>Change from PN E14165400 to PN E21429300 on the branch _B133RF_MIDDLE_X1 (276466)
Troca de um tubo slit para um tubo unslit.
Sem necessidade de investimento para engenharia corte / lead prep.</t>
  </si>
  <si>
    <t>CR-0154280-00</t>
  </si>
  <si>
    <t>Change from PN E14165400 to PN E21429300 on the branch B133RF_CORNER_X1 (276467)
Troca de um tubo slit para um tubo unslit.
Sem necessidade de investimento para engenharia corte / lead prep.</t>
  </si>
  <si>
    <t>CR-0154281-00</t>
  </si>
  <si>
    <t>Change from PN E14165400 to PN E21429300 on the branch B133RF_SUPPLEMENTAL_X1 (276469)
Troca de um tubo slit para um tubo unslit.
Sem necessidade de investimento para engenharia corte / lead prep.</t>
  </si>
  <si>
    <t>CR-0154834-00</t>
  </si>
  <si>
    <t>SPIN – SOP - MY2025 - IP WH</t>
  </si>
  <si>
    <t>CR-0154835-00</t>
  </si>
  <si>
    <t>CR-0154890-00</t>
  </si>
  <si>
    <t>Change: Change open cavity TE connector E25226300 to closed cavity connector E41845300.
Sem necessidade de investimento para engenharia corte / lead prep.</t>
  </si>
  <si>
    <t>CR-0154542-00</t>
  </si>
  <si>
    <t>GEM – MVBs - MY2024 –  IP WH</t>
  </si>
  <si>
    <t>1. Change the tape E15837000 to 1271280Q0 in extension r R611_X1A according to markup.
Sem necessidade de investimento para engenharia corte / lead prep.</t>
  </si>
  <si>
    <t>CR-0154921-00</t>
  </si>
  <si>
    <t>GEM – MVBs - MY2024 - ROOF</t>
  </si>
  <si>
    <t>Change Terminal from E00066800 to E26349400
Favor considerar:
•	01 miniaplicador MRSJ1 para o terminal E26349400 – R$6.553,00 – Motivo – Não temos esta ferramenta na planta.
•	01 Validação conforme norma USCAR 21 – R$3.350,00
•	Scrap  R$1480,00</t>
  </si>
  <si>
    <t>CR-0154927-00</t>
  </si>
  <si>
    <t>1. Change terminal from E00066800 to 3202574Z6.
Favor considerar:  
•	01 miniaplicador MRJS1 – R$6.553,00 – Motivo não temos esta ferramentas na planta.
•	02 validações conforme norma USCAR 21- R$6.700,00 -  Motivo -  Devido o terminal ser novo na planta não temos esta validação.</t>
  </si>
  <si>
    <t>CR-0155013-00</t>
  </si>
  <si>
    <t>GEM – MVBs - MY2020 - REAR BUMPER</t>
  </si>
  <si>
    <t>Change PN from E14235100 to E02862500 .
Troca penas de fita
Sem necessidade de investimento para engenharia corte / lead prep.</t>
  </si>
  <si>
    <t>CR-0154928-00</t>
  </si>
  <si>
    <t>1. Change terminal from E00066800 to E26349400
Favor considerar:
•	01 miniaplicador MRSJ1 R$6.553,00 – Motivo: Terminais não são da mesma família ( para comprovação seria necessário amostras para verificar se o miniaplicador que temos hoje poderia efetuar a mesma aplicação atual.
•	01 validação conforme norma USCAR 21 – R$3.350,00
•	SCRAP : 878,20</t>
  </si>
  <si>
    <t>CR-0154929-00</t>
  </si>
  <si>
    <t>1. Change all Terminals from E03732200 to 3202575I5.
Favor considerar:
•	01 miniaplicador MRSJ1 R$6.553,00 – Motivo: Terminais não são da mesma família ( para retirar este investimento será necessário amostras para validação)
•	01 validação conforme norma USCAR 21 – R$3.350,00
•	SCRAP : 752,35</t>
  </si>
  <si>
    <t>:59</t>
  </si>
  <si>
    <t>CR-0154930-00</t>
  </si>
  <si>
    <t>Change all Terminals from E03732200 to E26349300
Favor considerar:
•	01 mini aplicador MRJS1 R$6.553,00 – Motivo : não temos esta ferramenta na planta. Terminal novo.
•	01 validação conforme norma USCAR21 – R$3.350,00 – Não temos esta validação na planta.
•	Scrap -  468,25</t>
  </si>
  <si>
    <t>CR-0154925-00</t>
  </si>
  <si>
    <t>CR-0155311-00</t>
  </si>
  <si>
    <t>SPIN – MVBns - MY2025 - LIFTGATE EXT</t>
  </si>
  <si>
    <t>PROPOSED CHANGE
Remove the current acrylic tape and apply fleece tape over the lift gate extension WH branch to avoid noise.
Remark: This issue was raised by Validation Team on CAPG.
Troca penas de fita
Sem necessidade de investimento para engenharia corte / lead prep.</t>
  </si>
  <si>
    <t>CR-0154931-00</t>
  </si>
  <si>
    <t>1. Change all Terminals from E03732200 to E26349400
Favor considerar:
•	01 miniaplicador MRSJ1 -R$6.553,00 – motivo – Ferramenta nova, não temos este miniaplicador na planta e este circuito será aplicado na Komax Sigma onde é necessário uma ferramenta dedicada devido o equipamento ter um rate baixo.
•	01 validações conforme norma USCAR 21 -R$6.700,00 – Motivo – para o cabo FLR21X-A-0.50
•	SCRAP – R$ 432,15 – cálculo atual prevendo 15 por cento do total atual.</t>
  </si>
  <si>
    <t>CR-0154924-00</t>
  </si>
  <si>
    <t>15:29:00
16:29</t>
  </si>
  <si>
    <r>
      <t xml:space="preserve">1. Change terminal from E00066800 to E26349400
Favor considerar:
•	01 miniaplicador MRSJ1 -R$6.553,00 – motivo – Ferramenta nova, não temos este miniaplicador na planta.
•	02 validações conforme norma USCAR 21 -R$6.700,00 – Motivo – para os cabos FLRY-A-0.35 e FLR21X-A-0.35
•	SCRAP – R$ 1214,23 – cálculo atual prevendo 15 por cento do total atual.
</t>
    </r>
    <r>
      <rPr>
        <b/>
        <sz val="11"/>
        <color theme="1"/>
        <rFont val="Calibri"/>
        <family val="2"/>
        <scheme val="minor"/>
      </rPr>
      <t>Retificando:
Favor considerar:
•	02 miniaplicador MRSJ1 -R$6.553,00 – motivo – Ferramenta nova, não temos este miniaplicador na planta. Estes circuitos aplicam tanto em máquinas de corte single wire como Twister. Necessidade de 02 ferramentas para não termos conflito na produção.
•	02 validações conforme norma USCAR 21 -R$6.700,00 – Motivo – para os cabos FLRY-A-0.35 e FLR21X-A-0.35
•	SCRAP – R$ 1214,23 – cálculo atual prevendo 15 por cento do total atual.</t>
    </r>
  </si>
  <si>
    <t>1. Change all terminals from E00066800 to 3202574Z6.
Favor considerar:
•	02 miniaplicador MRSJ1 -R$6.553,00 – motivo – Ferramenta nova, não temos este miniaplicador na planta. Estes circuitos aplicam tanto em máquinas de corte single wire como Twister. Necessidade de 02 ferramentas para não termos conflito na produção.
•	02 validações conforme norma USCAR 21 -R$6.700,00 – Motivo – para os cabos FLRY-A-0.35 e FLR21X-A-0.35
•	SCRAP – R$ 1214,23 – cálculo atual prevendo 15 por cento do total atual.</t>
  </si>
  <si>
    <t>CR-0155265-00</t>
  </si>
  <si>
    <t>Modification: Move splice STD_X117SP1361_W53_X1
Apenas WLL de splice
Sem necessidade de investimento para engenharia corte / lead prep.</t>
  </si>
  <si>
    <t>CR-0155312-00</t>
  </si>
  <si>
    <t>SPIN – MVBs - MY2025 - LICENSE PLATE</t>
  </si>
  <si>
    <t>Descrição: 1. Cable Asm application to License Plate - SPIN MY25
Reason: CABLE ASM W/O CONNECTOR AND CLIP (SEPARATELLY ITEMS)
License Plate PN 52169548 (PN USING UVB OPTIONAL)
Sem necessidade de investimento para engenharia corte / lead prep.</t>
  </si>
  <si>
    <t>CR-0155012-00</t>
  </si>
  <si>
    <t>GEM – MVBns - MY2024 - REAR DOOR</t>
  </si>
  <si>
    <t>Remove Spot Tape with PN E15837100.
Sem necessidade de investimento para engenharia corte / lead prep.</t>
  </si>
  <si>
    <t>CR-0155440-00</t>
  </si>
  <si>
    <t>VS30 – SORP – 2023_01 - DOORS</t>
  </si>
  <si>
    <t>Assunto: 1. WIRE HARNESS DOORS: A9070011399
, 2. COST REDUCTION PROPOSAL CHANGING WIRE SEAL FROM LPN 320454093 TO LPN 320452006, 3. THIS MODIFICATION AFFETS ONLY BOM AND WIRE LIST. , 4. THE DIFFERENCE IS ON MATERIAL: 320454093 (SILICONE); 320452006 (POLYESTER). THE PROPOSAL IS SPECIFIED FOR MERCERDES., 5. MARKED DATASHET IN ATTACHEMENT
Boa tarde.
Sem necessidade de investimento para engenharia corte/ lead prep, porém , necessário o envio de amostras para validação visto que o material é diferente. As dimensões do selo são idêntica e pertencente a mesma família.
Necessário de 100 peças para validação,</t>
  </si>
  <si>
    <t>CR-0155494-00</t>
  </si>
  <si>
    <t>GEM – MVBns - MY2025 - BODY</t>
  </si>
  <si>
    <t>Create New PNs for Body WH due to OnStar chip shortage that are similar to their reference, just removing UE1 / U92 and adding U71 option
Sem necessidade de investimento para engenharia corte / lead prep.</t>
  </si>
  <si>
    <t>CR-0155708-00</t>
  </si>
  <si>
    <t>Modification: Change the tyzall 320350B00 to E30571400
Sem necessidade de investimento para engenharia corte / lead prep.
Foi desconsiderado a Section 4:DELTA SPLICE – 52174376_009705</t>
  </si>
  <si>
    <t>CR-0154923-00</t>
  </si>
  <si>
    <t>GEM – MVBs - MY2024 -  ROOF'</t>
  </si>
  <si>
    <t>Change Terminal from E00066800 to 3202574Z6
Favor considerar:
•	01 Miniaplicador MRSJ1 para o terminal 3202574Z6 – R$ 6.553,00 – Terminal novo na planta.
•	01 validação USCAR 21 – R$3.350,00 para o cabos FLRY-A-0.35
•	Scrap – R$821,31</t>
  </si>
  <si>
    <t>CR-0155868-00</t>
  </si>
  <si>
    <t xml:space="preserve">Modification: Move splice STD_X177SP1314_BUN613_1_X1
Favor considerar:
•	Scrap- R$1.099,32 Cálculo baseado em dez por cento do volume de 9 dias de estoque.
</t>
  </si>
  <si>
    <t>1 - Replace Terminal from 320264716 to E26349400 applied to IP WH (VERTICAL INTEGRATION)
CR on hold até o momento.
Necessário a planilha do "Delta cut sheet" par avaliação
Favor considerar:
•	01 miniaplicador MRSJ1 – R$6.553,00 – Motivo -  Ferramenta é diferente da atual devido as estrias, fita de corte e corpo do terminal.
•	02 validações conforme Norma USCAR21 – R$ 6.700,00 – Validação para os cabos CU-R3XLPE-DB-A|0.35 e CU-R2PVC-0.35.</t>
  </si>
  <si>
    <t>08:45:00
08:30</t>
  </si>
  <si>
    <t>17:25:00
13:20</t>
  </si>
  <si>
    <t>1 - Replace Terminal from 320264716 to 3202574Z6 applied to IP WH (VERTICAL INTEGRATION)
CR on hold até o momento.
Necessário a planilha do "Delta cut sheet" par avaliação
Favor considerar:
•	01 miniaplicador MRSJ1 – R$6.553,00 – Motivo -  Ferramenta é diferente da atual devido as estrias, fita de corte e corpo do terminal.
•	02 validações conforme Norma USCAR21 – R$ 6.700,00 – Validação para os cabos CU-R3XLPE-DB-A|0.35 e CU-R2PVC-0.35.</t>
  </si>
  <si>
    <t>08:49:00
08:36</t>
  </si>
  <si>
    <t>17:28:00
15:56</t>
  </si>
  <si>
    <t>17:12:00
08:37</t>
  </si>
  <si>
    <t xml:space="preserve">1 - Replace Terminal from E03732200 to E26349300 applied to IP, BODY &amp; CAMERA (VERTICAL INTEGRATION)
CR on hold até o momento.
Necessário a planilha do "Delta cut sheet" par avaliação
Favor considerar:
•	01 miniaplicador MRSJ1 – R$6.553,00 – Motivo -  Ferramenta é diferente da atual devido as estrias, fita de corte e corpo do terminal.
•	02 validações conforme Norma USCAR21 – R$ 6.700,00 – Validação para os cabos CU-R3XLPE-DB-A|0.35 e CU-R2PVC-0.35.
</t>
  </si>
  <si>
    <t>16:47:00
16:46</t>
  </si>
  <si>
    <t>1 - Replace Terminal from E03732200 to 3202575I5 applied to IP, BODY &amp; CAMERA (VERTICAL INTEGRATION)
CR on hold até o momento.
Necessário a planilha do "Delta cut sheet" par avaliação
Favor considerar:
•	01 miniaplicador MRSJ1 – R$6.553,00 – Motivo -  Ferramenta é diferente da atual devido as estrias, fita de corte e corpo do terminal.
•	02 validações conforme Norma USCAR21 – R$ 6.700,00 – Validação para os cabos CU-R3XLPE-DB-A|0.35 e CU-R2PVC-0.35.</t>
  </si>
  <si>
    <t>16:44:00
16:57</t>
  </si>
  <si>
    <t>1 - Replace Terminal from E03732200 to E26349400 applied to IP, BODY &amp; CAMERA (VERTICAL INTEGRATION)
CR on hold até o momento.
Necessário a planilha do "Delta cut sheet" par avaliação
Favor considerar:
•	01 miniaplicador MRSJ1 – R$6.553,00 – Motivo -  Ferramenta é diferente da atual devido as estrias, fita de corte e corpo do terminal.
•	01 validações conforme Norma USCAR21 – R$ 6.700,00 – Validação para o cabo CU-R2PVC-A|0.50.</t>
  </si>
  <si>
    <t>17:09:00
08:43</t>
  </si>
  <si>
    <t>17:05:00
08:43</t>
  </si>
  <si>
    <t>16:25:00
17:07</t>
  </si>
  <si>
    <t>Change Proposal:
1 - Replace Terminal from E00066800 to E26349400 applied to IP &amp; CONSOLE WH (VERTICAL INTEGRATION)
CR on hold até o momento.
Necessário a planilha do "Delta cut sheet" par avaliação
Favor considerar:
•	01 miniaplicador MRSJ1 – R$6.553,00 – Motivo -  Ferramenta é diferente da atual devido as estrias, fita de corte e corpo do terminal.
•	01 validações conforme Norma USCAR21 – R$ 6.700,00 – Validação para o cabo CU-R2PVC-A|0.50.</t>
  </si>
  <si>
    <t>10:04:00
08:50</t>
  </si>
  <si>
    <t>11:58:00
08:27</t>
  </si>
  <si>
    <t>1 - Replace Terminal from E00066800 to 3202574Z6 applied to IP &amp; CONSOLE WH (VERTICAL INTEGRATION)
CR on hold até o momento.
Necessário a planilha do "Delta cut sheet" par avaliação
Favor considerar:
•	01 miniaplicador MRSJ1 – R$6.553,00 – Motivo -  Ferramenta é diferente da atual devido as estrias, fita de corte e corpo do terminal.
•	01 validações conforme Norma USCAR21 – R$ 6.700,00 – Validação para o cabo CU-R2PVC-A|0.50.</t>
  </si>
  <si>
    <t>12:02:00
10:21</t>
  </si>
  <si>
    <t>10:09:00
08:52</t>
  </si>
  <si>
    <t>CR-0155715-00</t>
  </si>
  <si>
    <t>Modification: Move splice STD_X117SP1361_W53_X1
Favor considerar:
•	SCRAP – R$1.107,29</t>
  </si>
  <si>
    <t>CR-0155877-00</t>
  </si>
  <si>
    <t>SPIN – MVBs - MY2025 - LIFTGATE</t>
  </si>
  <si>
    <t>CR-0156064-00</t>
  </si>
  <si>
    <t>GEM – MVBs - MY2025 - ENGINE</t>
  </si>
  <si>
    <t>Modification: Change current Supplier from Tyzall ( Tie Strap) to Gemini (Sierra Plastics)
Sem necessidade de investimento para engenharia corte / lead prep.</t>
  </si>
  <si>
    <t>CR-0155494-01</t>
  </si>
  <si>
    <t>CR-0156140-00</t>
  </si>
  <si>
    <t>SPIN – MVBs - MY2025 - BODY</t>
  </si>
  <si>
    <t xml:space="preserve">CHANGE: Alteração dos Squibs conforme Desenho 3D e Esquema Elétrico
</t>
  </si>
  <si>
    <t>CR-0155877-01</t>
  </si>
  <si>
    <t>Replace Terminal from 32025Y1CT to E09096400 applied to LIFTGATE WH
Favor considerar:
•	01 validação conforme norma USCAR 21 – R$3.160,00 – Motivo -  terminal novo.
•	Adequação da ferramenta para transformação para o novo part number – R$850,00 - troca da chapinha e novo LOG.
Não é necessário investimento de miniaplicador porque os terminais são identicos nos desenhos e o aplicador atual possui os mesmos parâmetros de crimpagem.</t>
  </si>
  <si>
    <r>
      <t xml:space="preserve">Replace Terminal from 32025Y1CT to E09448100 applied to LIFTGATE WH
Bom dia.
Troca do terminal “de” 32025Y1CT “para” E09448100. Terminais apresentam ter as mesmas dimensões, porém temos diferença na abertura das garras de aplicação.
Para não precisarmos considerar uma ferramenta nova, precisamos ter 400 amostras para validação na mesma ferramenta. 
Caso contrário, favor considerar:
•	01 Miniaplicador MRSJ1 para o terminal 3202574Z6 – R$ 6.553,00 – Terminal novo na planta.
•	01 validação USCAR 21 – R$3.350,00 para o cabo CU-R2PVC-A|0.75
•	Scrap – R$487,85
Lembrando que se tivermos as amostras para testes, só conseguimos retirar o valor do miniaplicador. O restante se mantém.
</t>
    </r>
    <r>
      <rPr>
        <b/>
        <sz val="11"/>
        <color theme="1"/>
        <rFont val="Calibri"/>
        <family val="2"/>
        <scheme val="minor"/>
      </rPr>
      <t>CR CANCELADA</t>
    </r>
  </si>
  <si>
    <t>08:20:00
11:15</t>
  </si>
  <si>
    <t>CR-0156164-00</t>
  </si>
  <si>
    <t>Modification: Move splice STD_X117SP2409_W53_1_X1
Sem necessidade de investimento para engenharia corte / lead prep.</t>
  </si>
  <si>
    <t>CR-0156192-00</t>
  </si>
  <si>
    <t>CHANGE: Comunização de Selo 320455A8R (TE 828904-1) para o Selo 320450463 (TE 828904-2)
Já temos o olutro selo no projeto, troca apenas para 2 circuitos
Sem necessidade de investimento para engenharia corte / lead prep.</t>
  </si>
  <si>
    <t>CR-0156213-00</t>
  </si>
  <si>
    <r>
      <t xml:space="preserve">Descrição: 1. 1. SPIN MY25 / BODY - DRAWING 52167938
CHANGE: Alteração de terminal 32025Y1CK por E06825900. Conforme informação do fornecedor, o item atual não pode ser utilizado para novos projetos.
*Conforme informação do fornecedor em anexo, os terminais são dimensionalmente identicos, favor avaliar necessidade de novos ferramentais / validação.
</t>
    </r>
    <r>
      <rPr>
        <b/>
        <sz val="11"/>
        <color theme="1"/>
        <rFont val="Calibri"/>
        <family val="2"/>
        <scheme val="minor"/>
      </rPr>
      <t>Cr “On Hold”, necessário  amostras para validação.</t>
    </r>
  </si>
  <si>
    <t>CR-0155514-00</t>
  </si>
  <si>
    <t>Create New PNs for Body WH due to OnStar chip shortage.
A. New /parts are similar to their reference, just removing UE1 / U92 and adding U71 option.
Sem necessidade de investimento para engenharia corte / lead prep.</t>
  </si>
  <si>
    <t>CR-0156307-00</t>
  </si>
  <si>
    <t>Modification: Move splice STD_X117SP1315_BUN497_1_X1
Sem necessidade de investimento para engenharia corte / lead prep.</t>
  </si>
  <si>
    <t>CR-0151714-01</t>
  </si>
  <si>
    <t>1.) Remove PVC overlap tape over the corrugated tube and apply spiral PVC TAPE 125°C in all routing for Engines LI3 &amp; LHE over the wires. This process of spiral taping should ensure that the cables/wires not exposed during handling.
2.) For branches &gt;= 150mm, use spot tape to ensure that the cables are not exposed.
3.) For the clips, use spot tape 12712909Y to make sure the clip doesn’t crush the tube during the process.
4.) Replace/Remove Acrylic tape 150°C to Fleece tape 125°C on the branches of the cylinders to improvement the handling and assembly. (ENGINE LI3 and LHE)
5) Commonization the main route where especial tolerances are indicated to LHE Engine acc to LI3 Engine. (IT WAS ALREADY APPLIED ON THE PPV PHASE).
6.) Increase coil plug(4) branch from 100mm to 120mm and add tape over the conduit.
Sem necessidade de investimento para engenharia corte / lead prep.</t>
  </si>
  <si>
    <t>CR-0156321-00</t>
  </si>
  <si>
    <t>Modification: Move splice STD_X117SP2409_W53_X1
Sem necessidade de investimento para engenharia corte / lead prep.</t>
  </si>
  <si>
    <t>CR-0156319-00</t>
  </si>
  <si>
    <t>SPIN – MVBs - MY2025 - IP WH</t>
  </si>
  <si>
    <t>Descrição: 1. TERMINAL CHANGE: FROM 32025Y36A TO E30485400
Favor considerar:
•	01 validação conforme norma USCAR 21 – R$3.350,00 – motivo – terminal novo
Não estou considerando ferramenta porque ambos os terminais possuem os mesmos desenhos conforme anexo.</t>
  </si>
  <si>
    <t>CR-0155829-00</t>
  </si>
  <si>
    <t>Assunto: 1. GEM B NARROW BODY HARNESS 52174376, 52174375 MVBS.
GEM-Brazil-MY25-MVBNS
please correct the corresponding quantities from 2pcs to 1pc
Sub-assy quantities for E23588800, E23588900, E22279600, and E24796700 for 52174376 should have only 1 each.
Sub-assy quantities and E24796900, E23588800, E22279700, and E23588900 for 52174375 should have only 1 each
Sem necessidade de investimento para engenharia corte / lead prep.</t>
  </si>
  <si>
    <t>CR-0156558-00</t>
  </si>
  <si>
    <t>SPIN – SOP - MY2025 - BODY</t>
  </si>
  <si>
    <t>Change Proposal: Replace Sleeve from Federal Mogul to FlexNyl
From PN: E37591900 to PN: E40035700 (FlexNyl) - 65X29 (1X)
From PN: E37592000 to PN: E40035800 (FlexNyl) - 145X29 (1X)
From PN: 329936549 to PN: E40058500 (FlexNyl) - 85X29 (2X)
Sem necessidade de investimento para engenharia corte / lead prep.</t>
  </si>
  <si>
    <t>CR-0156481-00</t>
  </si>
  <si>
    <t>Modification: Move splice STD_117SP4150_BUN1234_1_X1
•	Scrap : R$256,20</t>
  </si>
  <si>
    <t>CR-0156482-00</t>
  </si>
  <si>
    <t>Modification: Move splice STD_117SP4151_BUN1560_1_X1
Favor considerar:
•	Scrap : R$283,52</t>
  </si>
  <si>
    <t>CR-0156567-00</t>
  </si>
  <si>
    <t>Modification: Replace Latch connector with all open cavities by option with some blocked cavities.
Change PN E16799500 to E42222000
Sem necessidade de investimento para engenharia corte / lead prep.</t>
  </si>
  <si>
    <t>CR-0156599-00</t>
  </si>
  <si>
    <t>SPIN – MVBns - MY2025 - Várias</t>
  </si>
  <si>
    <t xml:space="preserve">Assunto: 1. CR criada para avaliação do impacto referente aos testes de impedância para circuitos de transmissão de dados conforme CG4210.
Lista dos circuitos, familias impactadas e PNs estão disponíveis no arquivo dos "Attachments" desta CR.
** BOM não é afetado nesta solicitação **
Sem necessidade de investimento para engenharia corte / lead prep.
</t>
  </si>
  <si>
    <t>CR-0156752-00</t>
  </si>
  <si>
    <t>GEM – MVBs - MY2024 - ENGINE</t>
  </si>
  <si>
    <t>08:53:00
08:56</t>
  </si>
  <si>
    <t>Move splice STD_X117SP5292_BUN557_1_X1
Sem necessidade de investimento para engenharia corte / lead prep.
Retificando:
favor considerar:
•	SCRAP – R$648,30</t>
  </si>
  <si>
    <t>CR-0156756-00</t>
  </si>
  <si>
    <t>Modification: Move splice STD_X117SP5291_BUN1892_1_X1
Favor considerar:
•	SCRAP – R$592,12</t>
  </si>
  <si>
    <t>CR-0157161-00</t>
  </si>
  <si>
    <t>GEM – MVBs - MY2024 - FUEL INJECTOR</t>
  </si>
  <si>
    <t>Proposal: 1) Reduce the Ring terminal branch and remove the E03583400 tube.
2) Remove the tube E11852000 from the inline branch
Favor considerar:
•	SCRAP – R$345,63</t>
  </si>
  <si>
    <t>CR-0157355-00</t>
  </si>
  <si>
    <t>Assunto: 1. ECR PART_4561590 : SPIN MY25 – L. Plate WH changes required to MVBs phase
Reason: Replace rear camera connector clip from PN 11547002CC14 to PN 15318012. (This clip is supplied together to the Cable – TE).
Sem necessidade de investimento para engenharia corte / lead prep.</t>
  </si>
  <si>
    <t>SPIN – MVBns - MY2025  - License Plate</t>
  </si>
  <si>
    <t>CR-0157267-00</t>
  </si>
  <si>
    <t>VS30 – SORP – 2023_01 - BODY</t>
  </si>
  <si>
    <t>CR-0157501-00</t>
  </si>
  <si>
    <t>GEM – MVBs - MY2024 -  BODY</t>
  </si>
  <si>
    <t>Assunto: 1. Affects: body´s family
Add ckts 9A and 9 to the PNs 52174411 / 412 / 416 (Body WH)
Sem necessidade de investimento para engenharia corte/lead prep.</t>
  </si>
  <si>
    <t>CR-0157501-01</t>
  </si>
  <si>
    <t>Assunto: 1. Affects: body´s family
Delete RPO SBV and T7E for PNs 52174411 / 412 / 416 (Body WH)
Sem necessidade de investimento para engenharia corte/lead prep.</t>
  </si>
  <si>
    <t>CR-0157612-00</t>
  </si>
  <si>
    <t>SPIN – SOP - MY2025 - Engine LI3/ Engine LHE/Body</t>
  </si>
  <si>
    <t>16:42:00
11:03</t>
  </si>
  <si>
    <t>09:39:00
11:03</t>
  </si>
  <si>
    <t>CR-0157998-00</t>
  </si>
  <si>
    <t>SPIN – SOP - MY2025 - Engine / Body / IP / Front Door / Rear Door / Console</t>
  </si>
  <si>
    <t>Assunto: 1. CR criada para avaliação do impacto referente à adição de Spot Tape nas twists conforme quantidade indicada na planilha Excel disponível nos "Attachments" desta CR. As quantidades de fitas descritas na planilha anexa, correspondem à utilização máxima por familia.
Bom dia.
Conforme já foi dito, para as twisters com comprimento menor que 850mm não será possível fazer o processo na máquina BT188 com Spot tape, e as twisters menores que 350mm não temos máquinas para efetuar o processo.
Sendo assim, precisamos da modificação do comprimento para adequar aos nossos processos.</t>
  </si>
  <si>
    <t>CR-0158142-00</t>
  </si>
  <si>
    <t>SPIN – MVBNs - MY2025 - Engine / Body / IP / Front Door / Rear Door / Console.</t>
  </si>
  <si>
    <t>1. 1. WLL and TLL application as requested by the Process team Project Affected - SPIN - FUEL PUMP - 52169532 - MY25 - MVBNS.
Sem necessidade de investimento para engenharia corte/lead prep.</t>
  </si>
  <si>
    <t>CR-0158151-00</t>
  </si>
  <si>
    <t>SPIN – MVBNs - MY2025 - OBJECT ALARM</t>
  </si>
  <si>
    <t>Assunto: 1. WLL and TLL application as requested by the Process team. Project Affected - SPIN - OBJECT ALARM - 52167977 - MY25 - MVBNS.
Sem necessidade de investimento para engenharia corte/lead prep.</t>
  </si>
  <si>
    <t>CR-0158132-00</t>
  </si>
  <si>
    <t>SPIN – MVBNs - MY2025 - LIFT GATE EXT</t>
  </si>
  <si>
    <t>Assunto: 1. WLL appliccation as requested by the process team. Priject Affected - SPIN - LIFT GATE EXT - 52167967 - MY25 - MVBNS.
Sem necessidade de investimento para engenharia corte/lead prep.</t>
  </si>
  <si>
    <t>CR-0158181-00</t>
  </si>
  <si>
    <t>SPIN – MVBNs - MY2025 - FRONT SEAT DR</t>
  </si>
  <si>
    <t>Assunto: 1. TLL application as requested by the Process team. Project Affected - SPIN - FRONT SEAT DR - 52168898 - MY25 - MVBNS.
Sem necessidade de investimento para engenharia corte/lead prep.</t>
  </si>
  <si>
    <t>CR-0158186-00</t>
  </si>
  <si>
    <t>SPIN – MVBNs - MY2025 - CONSOLE</t>
  </si>
  <si>
    <t>Assunto: 1. WLL application as requested by the Process team. Project Affected - SPIN - CONSOLE - 52167974 - MY25 - MVBNS
Sem necessidade de investimento para engenharia corte/lead prep.</t>
  </si>
  <si>
    <t>CR-0158187-00</t>
  </si>
  <si>
    <t>SPIN – MVBNs - MY2025 - FORNT SEAT CO DR</t>
  </si>
  <si>
    <t>Assunto: 1. TLL application as requested by the Process team. Project Affected - SPIN - FORNT SEAT CO DR - 52168899 - MY25 - MVBNS.
Sem necessidade de investimento para engenharia corte/lead prep.</t>
  </si>
  <si>
    <t>CR-0158190-00</t>
  </si>
  <si>
    <t>SPIN – MVBNs - MY2025 - LICENSE PLATE</t>
  </si>
  <si>
    <t>Assunto: 1. WLL application as requested by the Process team. Project affected - SPIN - LICENSE PLATE - 52169548 - MY25 - MVBNS
Sem necessidade de investimento para engenharia corte/lead prep.</t>
  </si>
  <si>
    <t>CR-0158172-00</t>
  </si>
  <si>
    <t>SPIN – MVBNs - MY2025 - ENGINE LI3</t>
  </si>
  <si>
    <t>Assunto: 1. WLL/TLL application as requested by the Process team. Project affected - SPIN - ENGINE LI3 - 52167983 - MY25 - MVBNS
Sem necessidade de investimento para engenharia corte/lead prep.</t>
  </si>
  <si>
    <t>CR-0158104-00</t>
  </si>
  <si>
    <t>SPIN – MVBNs - MY2025 - License Plate</t>
  </si>
  <si>
    <t>Assunto: 1. TWO 4564710 : SPIN MY25 – License Plate WH Update to PPV and MVBns Proposed Change: 1) Replace rear camera connector clip from PN 11547002CC14 to PN 15318012. PRTS: 2302175 Print Affected: 52169548 (License Plate)
Sem necessidade de investimento para engenharia corte/lead prep.</t>
  </si>
  <si>
    <t>CR-0158238-00</t>
  </si>
  <si>
    <t>SPIN – MVBNs - MY2025 - REAR DOOR RH</t>
  </si>
  <si>
    <t>Assunto: 1. WLL application as requested by the Process team. Project Affected - SPIN - REAR DOOR RH - 52169539 - MY25 - MVBNS.
Sem necessidade de investimento para engenharia corte/lead prep.</t>
  </si>
  <si>
    <t>•	02kits de aplicação R$1.400,00 – Motivo: Não temos este terminal em nosso processo, será necessário transformar a ferramenta de 32025Y32U para E00006853 e de 32025Y32V para E01188000.</t>
  </si>
  <si>
    <t>CR-0158276-00</t>
  </si>
  <si>
    <t>SPIN – MVBNs - MY2025 - FRONT DOOR CO DR</t>
  </si>
  <si>
    <t>Assunto: 1. WLL application as requested by the Process team. Project affected - SPIN - FRONT DOOR CO DR - 52167991 - MY25 - MVBNS
Sem necessidade de investimento para engenharia corte/lead prep.</t>
  </si>
  <si>
    <t>CR-0158359-00</t>
  </si>
  <si>
    <t>SPIN – MVBs - MY2025 - Body</t>
  </si>
  <si>
    <t>CR-0158536-00</t>
  </si>
  <si>
    <t>SPIN – MVBNs - MY2025 - FRONT DOOR DR</t>
  </si>
  <si>
    <t>Assunto: 1. WLL application as requested by the Process team. Project Affected - SPIN - FRONT DOOR DR - 52167941 - MY25 - MVBNS.
Sem necessidade de investimento para engenharia corte/lead prep.</t>
  </si>
  <si>
    <t>CR-0158011-00</t>
  </si>
  <si>
    <t>VS30 – SORP – 2023_01
Família: BODY  
Tipo: ISSUE</t>
  </si>
  <si>
    <t xml:space="preserve">
Considerar apenas Scrap devido alteração de comprimento 
Scrap R$    1.326,96 </t>
  </si>
  <si>
    <t>RES: CR-0158054-00</t>
  </si>
  <si>
    <t xml:space="preserve">VS30 – SORP – 2023_01
Família: BODY  
Tipo: ISSUE
Número: PFD-VS30-BR907-AEHJ2023_01-2438_LU </t>
  </si>
  <si>
    <t xml:space="preserve">Sem impacto para corte e Lead prep.
Considerar apenas Scrap devido alteração de comprimento 
Scrap R$    R$    1.667,87 </t>
  </si>
  <si>
    <t>CR-0157984-00</t>
  </si>
  <si>
    <t>GEM – MVBs - MY2025
Família: BODY
Tipo: EWO
Número: 4558815</t>
  </si>
  <si>
    <t>1 validações conforme USCAR 45 Splice 
1 validações conforme Norma GMW17136 ( Bubble Test )
8 horas mão de Obra técnica para validação Mecânica.
Scrap validação USCAR 45 e GMW17136  R$   224,43 
lead Time para Validação completa até entrega para Cliente é de 45 Dias.</t>
  </si>
  <si>
    <t>Considerar sem Impacto para corte e Lead Prep.
Deslocamento do clipe CL004_14254  em 15 mm.</t>
  </si>
  <si>
    <t>VS30 – SORP – 2023_01
Família: BODY  
Tipo: ISSUE
Número: PFD-VS30-BR907-AEHJ2023_01-2437</t>
  </si>
  <si>
    <t>GEM – MVBS - MY2021
Família: FRT FOG LP
Tipo: Cost Reduction
Número: TBD</t>
  </si>
  <si>
    <t>CR-0158318-00</t>
  </si>
  <si>
    <t xml:space="preserve">
Considerar sem impacto para  corte e Lead Prep.
Tubo já utilizado  está entrando já é utilizado.</t>
  </si>
  <si>
    <t xml:space="preserve">
1 validações conforme USCAR 45 Splice 
3 validações conforme Norma GMW17136 ( Bubble Test )
24 horas mão de Obra técnica para validação Mecânica.
Scrap validação USCAR 45 e GMW17136  R$   549,28 
lead Time para Validação completa até entrega para Cliente é de 45 Dias.
Solicitado 3 validações GMW17136 devido a não termos no banco de dados a validação com o termo E16718500  ja usamos no GEM 
</t>
  </si>
  <si>
    <t xml:space="preserve"> CR-0157988-01</t>
  </si>
  <si>
    <t>: GEM – MVBS - MY2025
Família: BODY
Tipo: EWO
Número: 4558815</t>
  </si>
  <si>
    <t xml:space="preserve"> CR-0158553-00</t>
  </si>
  <si>
    <t>VS30 – SORP – 2023_01
Família: BODY  
Tipo: EC
Número: 0119809-001
Assunto: 1. VS30 - WIRING HARNESS BODY</t>
  </si>
  <si>
    <t xml:space="preserve">
Considerar sem impacto para corte e lead Prep.
Adiciona RELÉ  no processo de montagem  e 2 porcas M6 para Fixação
</t>
  </si>
  <si>
    <t>CR-0158313-00</t>
  </si>
  <si>
    <t>Considerar sem impacto para corte e Lead Prep.
troca dos clips E04134300 / Para: E37817600</t>
  </si>
  <si>
    <t>CR-0158369-00</t>
  </si>
  <si>
    <t>GEM – MVBS - MY2024
Família: BODY
Tipo: Cost Reduction
Número: TBD</t>
  </si>
  <si>
    <t>CR-0159007-00</t>
  </si>
  <si>
    <t>SPIN – MVBNs - MY2025 - SPIN - LIFTGATE</t>
  </si>
  <si>
    <t>Assunto: 1. WLL application as requested by the Process team Project Affected - SPIN - LIFTGATE - 52167964 - MY25 - MVBNS.
Sem necessidade de investimento para engenharia corte/lead prep.</t>
  </si>
  <si>
    <r>
      <t xml:space="preserve">Replace inline between Engine &amp; Body (From 3 connectors to 1 Connector)
Bom dia.
Favor considerar:
•	05 mini aplicadores (E000000229 – E00008783 – E09920300 – 320292840 – 3202578H4) – R$32.765,00
•	02 calhas de selo ( 3204504I7 – 320452766 ) – R$ 12.000,00
•	08 Validação conforme norma USCAR 21 – R$26.800,00
•	SCRAP – R$1.200,00
</t>
    </r>
    <r>
      <rPr>
        <b/>
        <sz val="11"/>
        <color theme="1"/>
        <rFont val="Calibri"/>
        <family val="2"/>
        <scheme val="minor"/>
      </rPr>
      <t>Boa tarde 
retificando:
Favor considerar:
•	05 mini aplicadores (E000000229 – E00008783 – E09920300 – 320292840 – 3202578H4) – R$32.765,00
•	02 calhas de selo ( 3204504I7 – 320452766 ) – R$ 100.000,00
•	08 Validação conforme norma USCAR 21 – R$26.800,00
•	SCRAP – R$1.200,00</t>
    </r>
  </si>
  <si>
    <r>
      <t xml:space="preserve">08:40
</t>
    </r>
    <r>
      <rPr>
        <b/>
        <sz val="11"/>
        <color theme="1"/>
        <rFont val="Calibri"/>
        <family val="2"/>
        <scheme val="minor"/>
      </rPr>
      <t>13:32</t>
    </r>
  </si>
  <si>
    <t>CR-0159093-00</t>
  </si>
  <si>
    <t>Descrição: 1. 1. FAMILY AFFECTED: BODY 52167938 CHANGE HEATSHRINK TUBE - FROM E35100200 TO E38846200
Favor considerar:
•	01 validação conforme norma GMW17136. R$3.517,00</t>
  </si>
  <si>
    <t>CR-0159214-00</t>
  </si>
  <si>
    <t>SPIN – MVBNs - MY2025 - BODY</t>
  </si>
  <si>
    <t>Assunto: 1. WLL and TLL application as requested by the Process team. Project affected - SPIN - BODY - 52167938 - MY25 - MVBNS.
Sem necessidade de investimento para engenharia corte/lead prep.</t>
  </si>
  <si>
    <t>CR-0159468-00</t>
  </si>
  <si>
    <t>SPIN – MVBNs - MY2025 - IP</t>
  </si>
  <si>
    <t>Descrição: 1. WLL application as requested by the Process team. Project Affected - SPIN - IP - 52167961 - MY25 - MY25
Sem necessidade de investimento para engenharia corte/lead prep.</t>
  </si>
  <si>
    <t>CR-0158274-00</t>
  </si>
  <si>
    <t>Assunto: 1. BODY WIRE HARNESS.,
2. PFD-VS30-BR907-AEHJ2023_01-2438_LU.,
3. Affected drawings: 1. BODY WIRE HARNESS.,
2. PFD-VS30-BR907-AEHJ2023_01-2437,
3. Affected drawings: BODY A9070014899, A9070014999.,
4. Shifting of the clip CL004_14254 in the roof area by 15 mm.,
5. Affect drawing markup.Don´t affect BOM, CUT and Labor.
Deslocamento do clipe CL004_14254 na área do roof em 15 mm.
Sem necessidade de investimento para engenharia corte/lead prep</t>
  </si>
  <si>
    <t>CR-0158317-00</t>
  </si>
  <si>
    <t>GEM – MVBS - MY2022.5 - Engine</t>
  </si>
  <si>
    <t xml:space="preserve">ENGINE HARNESS 26373893; 26373894; 26373895; 52172425_001 Replace Fixed tube (E25184600) and insert Overlap tape (E15837200).
</t>
  </si>
  <si>
    <t>CR-0159009-00</t>
  </si>
  <si>
    <t xml:space="preserve">Projeto: SPIN – SORP - MY2025 - All Families </t>
  </si>
  <si>
    <t>Assunto: 1. REPLACE TAPE FROM 150°C (Abrasive D) to 125° (Abrasive D) for all families to SPIN MY25 Change Proposal: 1 - Replace Tape from E15837200 to E25478300 applied to ALL FAMILIES WRH HRN (Issue) Families Affected: Body IP License Plate Liftgate &amp; Liftgate Extn Fuel RR Doors FRT Doors Bumper Mirror Console 
Sem necessidade de investimento para engenharia corte/lead prep</t>
  </si>
  <si>
    <t>CR-0158042-00</t>
  </si>
  <si>
    <t>GEM – MVBS - MY2024 - ENGINE</t>
  </si>
  <si>
    <t>Assunto: 1. ENGINE - Change clip19 from E10055100 (Hellermann) 84199164 to E07869100 (Hellermann) 84224891. The same PN used in clip20
Sem necessidade de investimento para engenharia corte/lead prep</t>
  </si>
  <si>
    <t>CR-0158049-00</t>
  </si>
  <si>
    <t>GEM – MVBS - MY2024 - Body</t>
  </si>
  <si>
    <t>Assunto: 1. BODY 52174376 - Remove abrasive tape (E15837200(Plymouth Yongle) TD-DDA-BAA-BK) on the junction.
Sem necessidade de investimento para engenharia corte/lead prep</t>
  </si>
  <si>
    <t>CR-0158169-00</t>
  </si>
  <si>
    <t>GEM – MVBS - MY2024 - IP</t>
  </si>
  <si>
    <t>Assunto: 1. IP 52174448 - Remove abrasive tape (E15837200(Plymouth Yongle) TD-DDA-BAA-BK) on the junction.
Sem necessidade de investimento para engenharia corte/lead prep</t>
  </si>
  <si>
    <t>12:56.</t>
  </si>
  <si>
    <t>CR-0158180-00</t>
  </si>
  <si>
    <t>GEM – MVBS - MY2025 - BODY</t>
  </si>
  <si>
    <t>Assunto: 1. BODY 52174375 - Remove abrasive tape (E15837200 (Plymouth Yongle) TD-DDA-BAA-BK) on the junction.
Sem necessidade de investimento para engenharia corte/lead prep</t>
  </si>
  <si>
    <t>CR-0158196-00</t>
  </si>
  <si>
    <t>GEM – MVBS - MY2024 - BODY</t>
  </si>
  <si>
    <t>Assunto: 1. BODY 4NB - Change ANTI-ROT CLIP,Tie-Strap from E10055100 - 84199164 (Hellermann) to E18573800 -84199165(Hellermann).
Sem necessidade de investimento para engenharia corte/lead prep</t>
  </si>
  <si>
    <t>CR-0158198-00</t>
  </si>
  <si>
    <t>GEM – MVBS - MY2024 - CO DRIVER DOOR</t>
  </si>
  <si>
    <t>Assunto: 1. CO DRIVER DOOR - Change ANTI-ROT CLIP,Tie-Strap from E10055100 - 84199164 (Hellermann) to E18573800 -84199165(Hellermann).
Sem necessidade de investimento para engenharia corte/lead prep</t>
  </si>
  <si>
    <t>CR-0158200-00</t>
  </si>
  <si>
    <t>Assunto: 1. ENGINE - 26373893 - Change ANTI-ROT CLIP,Tie-Strap from E10055100 - 84199164 (Hellermann) to E18573800 -84199165(Hellermann).
Sem necessidade de investimento para engenharia corte/lead prep</t>
  </si>
  <si>
    <t>CR-0158203-00</t>
  </si>
  <si>
    <t>Assunto: 1. IP- 52174448 - Change ANTI-ROT CLIP,Tie-Strap from E10055100 - 84199164 (Hellermann) to E18573800 -84199165(Hellermann).
Sem necessidade de investimento para engenharia corte/lead prep</t>
  </si>
  <si>
    <t>CR-0158195-00</t>
  </si>
  <si>
    <t>Assunto: 1. BODY 5HB - Change ANTI-ROT CLIP,Tie-Strap from E10055100 - 84199164 (Hellermann) to E18573800 -84199165(Hellermann).
Sem necessidade de investimento para engenharia corte/lead prep</t>
  </si>
  <si>
    <t>CR-0158904-00</t>
  </si>
  <si>
    <t>Assunto: 1. GEM B NARROW BODY HARNESS 52174376 MY24 MVBS Delete RPO SBV and T7E for PNs 52174412, 52174411, 52183426 add new NPN6 reference 52174412 add new NPN5 reference 52174411 add new NPN7 reference 52174416 add new NPN8 reference 52183426
Sem necessidade de investimento para engenharia corte/lead prep</t>
  </si>
  <si>
    <t>09:06:00
15:05</t>
  </si>
  <si>
    <t>11:54:00
13:57</t>
  </si>
  <si>
    <t>CR-0159251-00</t>
  </si>
  <si>
    <t xml:space="preserve">GEM – MVBS - MY2025 - Lift Gate </t>
  </si>
  <si>
    <t>Assunto: 1. Modification only for DCN control because in the ECR4485336 it did not count that the branch 26291304_S609EXTERIOR_X1 was being deleted.
Sem necessidade de investimento para engenharia corte/lead prep</t>
  </si>
  <si>
    <t>Assunto: 1. VS30 - WIRING HARNESS BODY., 2. EC: 0117078-003., 3. Affected drawings: BODY A9070012099., 4. Affected modules: A9075400116, A9075408994, A9075401198, A9075401291, A9075408995, A9075400116., 5. Change wire from Ia (flexible) to Id (superflexible).
•	01 kit de decape com guias  para a máquina Power Strip, R$5.000,00 -  Motivo – por não termos o cabo para uma validação de corte no equipamento, estou supondo que o cabo por se tratar de uma quantidade bem maior de filamentos será necessário um kit de corte.</t>
  </si>
  <si>
    <t>CR-0158898-00</t>
  </si>
  <si>
    <t>GEM – MVBS - MY2025 - Body</t>
  </si>
  <si>
    <t>Assunto: 1. GEM B NARROW BODY HARNESS 52181681 MY25 MVBS Delete RPO SBV and T7E for PNs 52181637, 52181636, 52181643,52183489 add new NPN6 reference 52181637 add new NPN5 reference 52181636 add new NPN7 reference 52181643 add new NPN8 reference 52183489
Sem necessidade de investimento para engenharia corte/lead prep</t>
  </si>
  <si>
    <t>CR-0158960-01</t>
  </si>
  <si>
    <t>Assunto: 1. ENGINE HARNESS 26373893; 26373894; 26373895; 52172425_001 Replace Fixed tube from E25184600 to Overlap Tape (E15837200).
Sem necessidade de investimento para engenharia corte/lead prep</t>
  </si>
  <si>
    <t>CR-0159387-00</t>
  </si>
  <si>
    <t>GEM – MVBS - 2024.25 - Fuel Injector</t>
  </si>
  <si>
    <t>Assunto: 1. Changing the branch dimension point of the Ring terminal
Sem necessidade de investimento para engenharia corte/lead prep</t>
  </si>
  <si>
    <t>CR-0151411-02</t>
  </si>
  <si>
    <t>GEM – PPV - 2025 - FR DOOR</t>
  </si>
  <si>
    <t>Tipo: EWO
Número: EWO 4485336
Assunto: 1. GEM B NARROW FR DOOR 26302788 and 26302789 1. Invert clips (Driver Only) 2. Replace current clips used in Front / Rear Doors from: 84035393 (Hellermann PN: 151-01239 - unsealed) to: E00005474 (sealed) and reduce branch of main branch from: 189mm to: 171mm. (Driver / Co-Driver) 3. Replace Latch connector with all open cavities by option with some blocked cavities as described below: -1. Front Door LH (Driver) – from PN 31404-7110 by PN: 31404-7108 (blocked cavities: 1) -2. Front Door RH (Co-Driver) – from PN 31404-7110 by PN: 31404-7134 (blocked cavities: 4 and 6)
Favor considerar:
•	Scrap R$3.011,89 Devido a modificação do comprimento do ramal.</t>
  </si>
  <si>
    <t>CR-0151743-03</t>
  </si>
  <si>
    <t>GEM – PPV - 2025 - DOOR</t>
  </si>
  <si>
    <t>Assunto: 1. GEM B NARROW DOOR HARNESS 26302792, 26302798, 26432048 AND 26432049 MY25 PPV G.1) Replace current clips used in Front / Rear Doors from: 84035393 (Hellermann PN: 151-01239 - unsealed) to: E00005474 Replace Latch connector with all open cavities by option with some blocked cavities
Favor considerar:
•	Scrap R$1.844,76  Devido a modificação do comprimento do ramal.</t>
  </si>
  <si>
    <t>CR-0159542-00</t>
  </si>
  <si>
    <t>Descrição: 1. FAMILY AFFECTED - BODY SPIN. CHANGE MASTIC TO IMPROVE PROCESS FROM: E00090800 (1kg - need to be fractioned) TO: E24835800 (40g)
Sem necessidade de investimento para engenharia corte/lead prep.</t>
  </si>
  <si>
    <t>CR-0159544-00</t>
  </si>
  <si>
    <t>Descrição: 1. 1. FAMILY AFFECTED - BODY SPIN. CHANGE MASTIC TO IMPROVE PROCESS FROM: E00090800 (1kg - need to be fractioned) TO: E02573900 (4g)
Sem necessidade de investimento para engenharia corte/lead prep.</t>
  </si>
  <si>
    <t>CR-0158042-01</t>
  </si>
  <si>
    <t>GEM – MVBs – 2024 - ENGINE</t>
  </si>
  <si>
    <t>Assunto: 1. ENGINE - Change clip19 from E10055100 (Hellermann) 84199164 to E07869100 (Hellermann) 84224891. The same PN used in clip20
Sem necessidade de investimento para engenharia corte/lead prep.</t>
  </si>
  <si>
    <t>CR-0159530-00</t>
  </si>
  <si>
    <t>Assunto: 1. Engine - Remove circuit 3803 and change the RPOs of circuits 4621, 4621A and 4621B from L4G&amp;&amp;(L4G||L4H||L4F||LIF||LIJ) to (L4G)||(LIJ&amp;&amp;RVC).
Sem necessidade de investimento para engenharia corte/lead prep.</t>
  </si>
  <si>
    <t>CR-0159582-00</t>
  </si>
  <si>
    <t>SPIN – MVBs - MY2025 - RR OBJECT ALARM</t>
  </si>
  <si>
    <r>
      <t xml:space="preserve">Descrição: 1. AFFECTED FAMILY: RR OBJECT ALARM CHANGE CORRUGATED TUBE FROM: E37049900 TO: E10018400 (RN16 TO RN8)
</t>
    </r>
    <r>
      <rPr>
        <b/>
        <sz val="11"/>
        <color theme="1"/>
        <rFont val="Calibri"/>
        <family val="2"/>
        <scheme val="minor"/>
      </rPr>
      <t>CR No feasibility, devido ao tempo de implementação não ser suficiente. Trata-se de uma modificação de um tubo DE: E37049900 (diâmetro interno  - 6mm) para : E10018400 (diâmetro interno  - 9mm). Não possuo este diâmetro de guias na planta.
Caso seja para uma outra fase,
Favor considerar:
•	Um conjunto de guias para tubo corrugado. R$12.000,00 (Lead time de entrega entre a emissão da RC até a entrada aqui na planta é de aproximadamente 120 dias.
Fico ao dispor</t>
    </r>
  </si>
  <si>
    <t>CR-0159622-00</t>
  </si>
  <si>
    <t>GEM – MVBs - MY2025 - Body</t>
  </si>
  <si>
    <t>Número: EWO 4485336
Descrição: 1. Due to problem in SEM this CR was generated to replace CR-0150800-00
A.1) Allow supplier to use new components for 92W inline connection as described below:
A.1.1) Body WH - Connector 92W - from TE PN 2317734-1 (GM PN: 26245586) to TE PN 2404982-1 (GM PN: 26379006) Change current Supplier from Tyzall ( Tie Strap) to Gemini (Sierra Plastics) - Affected PNs: Current: 129061017 – Red/L=310/W=14 / Proposal: E30572700 – Red/L=335/W=14
B.2) Add tear PVC tapes for hanking in order to improve assembly process.
B.4) Replace FTZM connector / cover as following: Connector from TE PN 1-2109450-3 to PN TE 2-2109450-3 Cover from TE PN 2109472-2 to TE PN 1-2109472-2
B.5) Replace current EBCM ground terminal from JST PN SRGM-6.0-T (GM PN 13325666) to TE PN 2819197-3. Remove splice X117SP1750_BUN125_1 X1 (and related heatshrinkable tube), remove wire 1750 (6mm2) and connect wires 1750A (4mm2) and 1750B (2.5mm2) directly from EBCM to new TE terminal.
B.6) Replace current clip PN 157-00037 by clip PN T50S-SB5 (Lear PN: 320350366). Several locations
B.7) Replace current clip PN 155-12300 by clip PN T50S-SB5 (Lear PN: 320350366) – UEC branch (X111)
B.8) Part localization to ABC Group (NPN1)
B.14) Replace ECM connector as following instructions:
B.14.1) MY25 =&gt; Replace PN: 26331778 with some blocked cavities by PN: 345660774 with same blocked cavities (except cav. 33)
B.14.2) MY25.5 =&gt; Replace PN 12672860 with all cavities open by by PN: 345660774 with same blocked cavities (except cav. 33
Favor considerar:
•	01 miniaplicador FLRJ1 para o terminal E37621700 – R$6500,00 – Motivo: Terminal novo no projeto GEM.
•	Scrap – R$1316,14</t>
  </si>
  <si>
    <t>CR-0159554-00</t>
  </si>
  <si>
    <t>GEM – MVBs - MY2022.5-Engine</t>
  </si>
  <si>
    <t>Descrição: 1. ENGINE HARNESS 26373893; 26373894; 26373895; 52172425_001 Replace Fixed tube from E25184600 to Overlap Tape (E15837200).
Sem necessidade de investimento para engenharia corte/lead prep</t>
  </si>
  <si>
    <t>CR-0158042-02</t>
  </si>
  <si>
    <t>Assunto: 1. ENGINE - Change clip19 from E10055100 (Hellermann) 84199164 to E07869100 (Hellermann) 84224891. The same PN used in clip20
Note: only the "Cost Only" field has been changed.
Sem necessidade de investimento para engenharia corte/lead prep</t>
  </si>
  <si>
    <t>CR-0159785-00</t>
  </si>
  <si>
    <t xml:space="preserve">Assunto: 1. 1. Supplier request – SCR 266445 - Tier-2 supplier replaced old clip by new ones. Old Clip are not available anymore.
A.1) Allow supplier to use new a clip as described below:
A.1.1) IP WH – CLIP - from APTIV PN 15411124 to Hellermann Tyton PN 133-04509
Sem necessidade de investimento para engenharia corte/lead prep </t>
  </si>
  <si>
    <t>CR-0159787-00</t>
  </si>
  <si>
    <t>GEM – MVBs - MY2024 - REAR BUMPER</t>
  </si>
  <si>
    <t xml:space="preserve">Assunto: 1. Supplier request – SCR 266445 - Tier-2 supplier replaced old clip by new ones. Old Clip are not available anymore.
A.1) Allow supplier to use new a clip as described below:
A.1.1) Rear Bumper WH – CLIP - from APTIV PN 15411124 to Hellermann Tyton PN 133-04509
Sem necessidade de investimento para engenharia corte/lead prep </t>
  </si>
  <si>
    <t>CR-0159927-00</t>
  </si>
  <si>
    <t xml:space="preserve">VS30 – SORP – 2023_02 - IP WH  </t>
  </si>
  <si>
    <t>Assunto: 1. VS30 - WIRING HARNESS IP, 2. CTO Proposal, 3. Affected drawign: A9070011599, 4. Cleaning of tapes in current modules in Capital XC, change in the amount of tape.
Sem necessidade de investimento para engenharia corte/ lead prep.</t>
  </si>
  <si>
    <t>CR-0160052-00</t>
  </si>
  <si>
    <t>VS30 – SORP – 2023_02 - BODY</t>
  </si>
  <si>
    <t>Assunto: 1. VS30 - WIRING HARNESS BODY, 2. CTO Proposal, 3. Affected drawign: A9070011999, 4. Cleaning of tapes in current modules in Capital XC, change in the amount of tape.
Sem necessidade de investimento para engenharia corte/ lead prep.</t>
  </si>
  <si>
    <t>Descrição: 1. Due to problem in SEM this CR was generated to replace CR-0150800-00
A.1) Allow supplier to use new components for 92W inline connection as described below:
A.1.1) Body WH - Connector 92W - from TE PN 2317734-1 (GM PN: 26245586) to TE PN 2404982-1 (GM PN: 26379006) Change current Supplier from Tyzall ( Tie Strap) to Gemini (Sierra Plastics) - Affected PNs: Current: 129061017 – Red/L=310/W=14 / Proposal: E30572700 – Red/L=335/W=14
B.2) Add tear PVC tapes for hanking in order to improve assembly process.
B.4) Replace FTZM connector / cover as following: Connector from TE PN 1-2109450-3 to PN TE 2-2109450-3 Cover from TE PN 2109472-2 to TE PN 1-2109472-2
B.5) Replace current EBCM ground terminal from JST PN SRGM-6.0-T (GM PN 13325666) to TE PN 2819197-3. Remove splice X117SP1750_BUN125_1 X1 (and related heatshrinkable tube), remove wire 1750 (6mm2) and connect wires 1750A (4mm2) and 1750B (2.5mm2) directly from EBCM to new TE terminal.
B.6) Replace current clip PN 157-00037 by clip PN T50S-SB5 (Lear PN: 320350366). Several locations
B.7) Replace current clip PN 155-12300 by clip PN T50S-SB5 (Lear PN: 320350366) – UEC branch (X111)
B.8) Part localization to ABC Group (NPN1)
B.14) Replace ECM connector as following instructions:
B.14.1) MY25 =&gt; Replace PN: 26331778 with some blocked cavities by PN: 345660774 with same blocked cavities (except cav. 33)
B.14.2) MY25.5 =&gt; Replace PN 12672860 with all cavities open by by PN: 345660774 with same blocked cavities (except cav. 33
Sem necessidade de investimento para engenharia corte/ lead prep.</t>
  </si>
  <si>
    <t>CR-0151172-01</t>
  </si>
  <si>
    <t>GEM – PPV - MY2025 - Body</t>
  </si>
  <si>
    <t>Descrição: 1. GEM B NARROW BODY HARNESS 52174375 MY25 PPV A.1) Allow supplier to use new components for 92W inline connection as described below: A.1.1) Body WH - Connector 92W - from TE PN 2317734-1 (GM PN: 26245586) to TE PN 2404982-1 (GM PN: 26379006)
B.1) Change current Supplier from Tyzall ( Tie Strap) to Gemini (Sierra Plastics) - Affected PNs: Current: 129061017 – Red/L=310/W=14 / Proposal: E30572700 – Red/L=335/W=14 B.2) Add tear PVC tapes for hanking in order to improve assembly process.
B.2) Add tear PVC tapes for hanking in order to improve assembly process.
B.3) Keep spot tape under clip on antena cable. Note: supplier already follows this Direction, according to TWO4140045. Spot tape wrongly removed from 2D / 3D after ECR4207703. B.4) Replace FTZM conector / cover as following: -Connector from TE PN 7-2109446-2 to PN TE 5-2109446-2 -Cover from TE PN 2109472-2 to TE PN 1-2109472-2
B.4) Replace FTZM conector / cover as following: Connector from TE PN 1-2109450-3 to PN TE 2-2109450-3 Cover from TE PN 2109472-2 to TE PN 1-2109472-2
B.5) Replace current EBCM ground terminal from JST PN SRGM-6.0-T (GM PN 13325666) to TE PN 2819197-3. Remove splice X117SP1750_BUN125_1 X1 (and related heatshrinkable tube), remove wire 1750 (6mm2) and connect wires 1750A (4mm2) and 1750B (2.5mm2) directly from EBCM to new TE terminal.
B.6) Replace current clip PN 157-00037 by clip PN T50S-SB5 (Lear PN: 320350366). Several locations
B.7) Replace current clip PN 155-12300 by clip PN T50S-SB5 (Lear PN: 320350366) – UEC branch (X111)
B.8) Part localization to ABC Group (NPN1)
B.9) Replace grommet PN: 26292014 to 26238940.
B.10) Replace Grommet 26292019 to 26238942
B.11) Replace grommet 26292018 to 26238936.
B.12) Replace grommet 26292013 to 26238941.
B.13) Replace grommet 26292024 to 13243702.
B.14) Replace current ECM conector PN: 26331778 with some blocked cavities by new ECM conector PN: 12672860 with all open cavities due to MY25.5 design. Modification valid just for non PL8 (LIJ-NEM / L4G-NEM / L4F / LIF) Body WHs). For Body WHs with LIJ&amp;NEM and L4G&amp;NEM, this modification was already considered by ECR4479512
B.15) Replace sleeve from: 2681002503M0165H (Federal Mogul) to: Y401-2503-0165 (Flexnyl)
Favor considerar:
•	SCRAP : R$1206,17</t>
  </si>
  <si>
    <t>CR-0159915-00</t>
  </si>
  <si>
    <t>Assunto: 1. VS30 - WIRING HARNESS , 2. WLL application, 3. Affected family : BODY, 4. ISS-043113, 5. WLL adjustments for MY2023-01 release
Favor considerar:
•	Scrap : R$4.089,00 projetado para os circuitos que serão Obsoletos.</t>
  </si>
  <si>
    <t>CR-0159922-00</t>
  </si>
  <si>
    <t xml:space="preserve">VS30 – SORP – 2023_01 - IP WH  </t>
  </si>
  <si>
    <t>Assunto: 1. VS30 - WIRING HARNESS , 2. WLL application, 3. Affected family : IP, 4. ISS-043114, 5. WLL adjustments for MY2023-01 release
Sem necessidade de investimento para engenharia corte / lead prep, uma vez que todos os circuitos são Stock in use.</t>
  </si>
  <si>
    <t>CR-0160192-00</t>
  </si>
  <si>
    <t>VS30 – SORP – 2023_01 - BODY/IP</t>
  </si>
  <si>
    <t>Assunto: 1. WIRE HARNESS BODY, IP. A9070011599, A9070011999, A9070012099, A9070014599, A9070014699, A9070014899, A9070014999, A9070015299, A9070015399, A9070015599, A9070015699, A9070015999, A9070016099, A9070016399, A9070016499.
, 2. REDUCTION OF SOLDER BULK E11590800, 3. THIS MODIFICATION AFFETS ONLY BOM AND LABOR.
Sem necessidade de investimento para engenharia corte / lead prep,</t>
  </si>
  <si>
    <t>CR-0160196-00</t>
  </si>
  <si>
    <t>VS30 – SORP – 2023_02 - DOOR</t>
  </si>
  <si>
    <t>Assunto: 1. VS30 - WIRING HARNESS Door, 2. CTO Proposal, 3. Affected drawign: A9070012799, 4. Cleaning of tapes in current modules in Capital XC, change in the amount of tape.
Sem necessidade de investimento para engenharia corte / lead prep,</t>
  </si>
  <si>
    <t>CR-0160200-00</t>
  </si>
  <si>
    <t>Assunto: 1. VS30 - WIRING HARNESS Right Slide Door 1 , 2. CTO Proposal, 3. Affected drawign: A9070011299, 4. Cleaning of tapes in current modules in Capital XC, change in the amount of tape.
Sem necessidade de investimento para engenharia corte / lead prep,</t>
  </si>
  <si>
    <t>CR-0160099-00</t>
  </si>
  <si>
    <t>Assunto: 1. VS30 - WIRING HARNESS BODY, 2. CTO Proposal, 3. Affected drawign: A9070014599, 4. Cleaning of tapes in current modules in Capital XC, change in the amount of tape.
Sem necessidade de investimento para engenharia corte / lead prep,</t>
  </si>
  <si>
    <t>CR-0160055-00</t>
  </si>
  <si>
    <t>Assunto: 1. VS30 - WIRING HARNESS BODY, 2. CTO Proposal, 3. Affected drawign: A9070014899, 4. Cleaning of tapes in current modules in Capital XC, change in the amount of tape.
Sem necessidade de investimento para engenharia corte / lead prep,</t>
  </si>
  <si>
    <t>CR-0159676-00</t>
  </si>
  <si>
    <t>GEM – MVBs - MY2024 - REAR DOOR</t>
  </si>
  <si>
    <t>Assunto: 1. REAR DOOR LH - Change Cloth PET Tape E15837200 (Plymouth, 150°C, 19mm, BK) to Cloth PET Tape E25478300(Plymouth, 125°C, 19mm, BK)
Sem necessidade de investimento para engenharia corte / lead prep,</t>
  </si>
  <si>
    <t>CR-0158192-00</t>
  </si>
  <si>
    <t>SPIN – MVBns - MY2025 - REAR DOOR LH</t>
  </si>
  <si>
    <t xml:space="preserve">Militani, Marcio Pericles </t>
  </si>
  <si>
    <t>Descrição: 1. WLL application as requested by the Process team.
Project Affected - SPIN - REAR DOOR LH - 52169538 - MY25 - MVBNS
Sem necessidade de investimento para engenharia corte/lead prep.</t>
  </si>
  <si>
    <t>CR-0160502-00</t>
  </si>
  <si>
    <t>Descrição: 1. WLL application as requested by the Process team.
Project Affected - SPIN - REAR DOOR LH - 52169538 - MY25 - MVBNS .
Sem necessidade de investimento para engenharia corte/lead prep.</t>
  </si>
  <si>
    <t>CR-0159016-00</t>
  </si>
  <si>
    <t>SPIN – MVBns - MY2025 - FOG LAMP</t>
  </si>
  <si>
    <t>1) Add spot tape on the end of the tube (UEC 1_RN1 \ E620LEFT_X1_RN3 &amp; X86ACC_FOG_RN5)
2) Remove spot tape N87531
3) Change reference length for the ID Label
4) Remove Detail UEC 2
5) Update reference length for the X86ACC_FOG Ground Terminal
Sem necessidade de investimento para engenharia corte/lead prep.</t>
  </si>
  <si>
    <t>CR-0160656-00</t>
  </si>
  <si>
    <t>GEM – MVBs - MY2024
Família: FUEL INJECTOR
Tipo: Cost Reduction</t>
  </si>
  <si>
    <t>Considerar sem impacto para corte e Lead Prep.
Estoque de circuitos controlado com acompanhamento da Produção.
Tubo não morre comprimento anterior ainda é utilizado em outros circuitos.</t>
  </si>
  <si>
    <t>CR-0160229-00</t>
  </si>
  <si>
    <t xml:space="preserve">Família: ENGINE
Tipo: Cost Reduction
</t>
  </si>
  <si>
    <t xml:space="preserve">
Considerar sem impacto para corte e Lead Prep.
Scrap R$        385,99</t>
  </si>
  <si>
    <t xml:space="preserve">16:38:00
08:29
13:11
</t>
  </si>
  <si>
    <t xml:space="preserve">Willian Naves
Militani, Marcio Pericles </t>
  </si>
  <si>
    <t>11:31:00
16:46
09:00</t>
  </si>
  <si>
    <r>
      <t xml:space="preserve">Assunto: 1. ECR PART_4570926: MY25 G1NC – Body WH Changes required to MVBs.,
2. - Increase Antenna Cable Length. - Change Washer Hose Length and add special tolerance. - Change Clips PN FROM 13104322 TO 13248125. - Boletim#191: 54P SDM Connector Material Change (Nylon to PBT). - Change covering to TD-DDA-AAA-BK, to update 3D math accoding APPV phase. - Change covering to from CB-CGA-CBA-BK-6 to TD-DDA-AAA-BK. - Add the dimensional point for dash grommet and change conduit to tape. - Change Tape from TD-DDA-AAA-BK to TD-DDB-BAC-BK to increase the harness flexibility. - Correct the terminal image in 3D math data. - Increase the length of INLINE-BODY_TO_IP (X16X16_X1) branch. - Update Ground X86G103_X1 from Provisory PN to Final PN: TE 2819197-1. - Update the Antenna Cable branch – Item X16X1003_X1 / X16X16G_X1. - Rearrange the circuits of Ground X86G301_A_X1 and create a Splice SP550_X1 - Rearrange the circuits of Ground X86G104_A_X1 and create a Splice SP450_X1
</t>
    </r>
    <r>
      <rPr>
        <b/>
        <sz val="11"/>
        <color theme="1"/>
        <rFont val="Calibri"/>
        <family val="2"/>
        <scheme val="minor"/>
      </rPr>
      <t>CR "ON HOLD" Necessário a planilha "Delta Cut Sheet" para avaliação.</t>
    </r>
    <r>
      <rPr>
        <sz val="11"/>
        <color theme="1"/>
        <rFont val="Calibri"/>
        <family val="2"/>
        <scheme val="minor"/>
      </rPr>
      <t xml:space="preserve">
Favor considerar:
•	05 validações conforme norma USCAR45 – R$5.650,00
•	11 validações conforme norma GMW17136 – R$38.687,00
•	06 validações conforme norma USCAR 38 – R$14.280,00
</t>
    </r>
    <r>
      <rPr>
        <b/>
        <sz val="11"/>
        <color theme="1"/>
        <rFont val="Calibri"/>
        <family val="2"/>
        <scheme val="minor"/>
      </rPr>
      <t>Retificando
Favor considerar:
•	05 validações conforme norma USCAR45 – R$5.650,00</t>
    </r>
    <r>
      <rPr>
        <sz val="11"/>
        <color theme="1"/>
        <rFont val="Calibri"/>
        <family val="2"/>
        <scheme val="minor"/>
      </rPr>
      <t xml:space="preserve">
</t>
    </r>
    <r>
      <rPr>
        <b/>
        <sz val="16"/>
        <color theme="1"/>
        <rFont val="Calibri"/>
        <family val="2"/>
        <scheme val="minor"/>
      </rPr>
      <t>CR CANCELADA</t>
    </r>
  </si>
  <si>
    <t xml:space="preserve"> VS30 – SORP – 2023_02
Família: IP WH
Tipo: Release
Número: VAT2523</t>
  </si>
  <si>
    <t>CR-0161055-00</t>
  </si>
  <si>
    <t xml:space="preserve">Considerar para corte e lead prep. ( Implementação condicionada ao fornecedor dos terminais informar os parâmetros de crimpagem para desenvolvimento dos aplicadores, e posteriormente aprovação das validações conforme norma VS30 ) 
1 Aplicador para terminal E09996900 ( 927829-5 ).
1 Aplicador para Terminal Splice CLIP E40086800 (SPLC CLIP,Cu CORE,Sn PLT,390275)
1 Prensa mecal de 8 Toneladas com adequação NR12 para Aplicação Terminal Splice CLIP E40086800 (SPLC CLIP,Cu CORE,Sn PLT,390275)
1 validação de terminais E09996900 conforme Norma VS30. 
1 validação de terminais Splice CLIP E40086800 Norma VS30. 
2 horas operacionais para confecção das amostras
8 horas técnicas Validação mecânica.
Scrap R$     4.248,28 
CR ON HOLD Splice CLIP E40086800 (SPLC CLIP, Cu CORE ,Sn PLT,390275) fora do range de aplicação.( Range de acordo com desenho: mínimo 1,5mm² e máximo 2,5mm²). Range atual 1,05mm²
</t>
  </si>
  <si>
    <t>CR-0158359-01</t>
  </si>
  <si>
    <t>Favor considerar:
•	06 validações conforme norma USCAR 45 – R$6.780,00- Novas configurações.
•	05 validações conforme norma USCAR 38 – R$11.900,00 - Novas configurações.
•	05 validações conforme norma GMW17136 – R$17.185,00 - Novas configurações.
Não será possível termos estas novas configurações validadas no teste ambiental na fase VTC.</t>
  </si>
  <si>
    <t xml:space="preserve"> CR-0160762-00</t>
  </si>
  <si>
    <t>BODY Tipo: SCR
Número: CR-21/65388</t>
  </si>
  <si>
    <t xml:space="preserve">
Considerar sem impacto para corte e Lead Prep.</t>
  </si>
  <si>
    <t>BODY
Tipo: Release
Número: VAT2623</t>
  </si>
  <si>
    <t>Considerar sem impacto para corte e Lead Prep.
Scrap R$ 954,68</t>
  </si>
  <si>
    <t>CR-0161083-00</t>
  </si>
  <si>
    <t>VS30 – SORP – 2023_02
Família: IP WH
Tipo: Release
Número: VAT2523</t>
  </si>
  <si>
    <t xml:space="preserve">Aplicador para terminal E09996900 ( 927829-5 ).( terminal novo na planta)
1 Aplicador para Terminal Splice CLIP E40086800 (SPLC CLIP,Cu CORE,Sn PLT,390275), ( terminal novo na planta).
1 Prensa mecal de 4 Toneladas com adequação NR12 para Aplicação Terminal Splice CLIP E40086800 (SPLC CLIP,Cu CORE,Sn PLT,390275)
1 validação de terminais E09996900 conforme Norma VS30. 
1 validação de terminais Splice CLIP E40086800 Norma VS30. 
2 horas operacionais para confecção das amostras
8 horas técnicas Validação mecânica.
Scrap R$     4.248,28 
</t>
  </si>
  <si>
    <t>VS30 – SORP – 2023_01
Família: IP WH
Tipo: Issue
Número: ISS-043317</t>
  </si>
  <si>
    <t>CR-0160750-00</t>
  </si>
  <si>
    <t>CR-0161082-00</t>
  </si>
  <si>
    <t>CR-0161082-00 - Body</t>
  </si>
  <si>
    <t xml:space="preserve">
Considerar sem Impacto para corte Lead Prep.</t>
  </si>
  <si>
    <t>CR-0160591-00</t>
  </si>
  <si>
    <t>GEM – MVBs - MY2024
Família: BODY
Tipo: Cost Reduction
Número: TBD</t>
  </si>
  <si>
    <t xml:space="preserve">Considerar  para corte e Lead Prep.( Analise realizada base delta cut e BOM COMPARISION )
1 aplicador TE para terminal E03732200 ( diversidade de Circuitos )
1 aplicador TE para terminal 3202581Z7 ( diversidade de Circuitos )
1 aplicador TE para terminal E04004100 ( diversidade de Circuitos )
1 aplicador TE para terminal E04848200 ( diversidade de Circuitos )
Scrap  R$ R$ 11.801,00
2 caixas de Poleaseal
8 rolos de dupla Face
42 horas de HI
83 horas de HD
</t>
  </si>
  <si>
    <t>CR-0161091-00</t>
  </si>
  <si>
    <t>CR-0161100-00</t>
  </si>
  <si>
    <t>CR-0161150-00</t>
  </si>
  <si>
    <t>CR-0161274-00</t>
  </si>
  <si>
    <t>CR-0161281-00</t>
  </si>
  <si>
    <t>CR-0161391-00</t>
  </si>
  <si>
    <t>CR-0161685-00</t>
  </si>
  <si>
    <t>CR-0162023-00</t>
  </si>
  <si>
    <t>CR-0161685-01</t>
  </si>
  <si>
    <t>CR-0162605-00</t>
  </si>
  <si>
    <t>Sem impacto para corte e Lead Prep.
Condicionado ao investimentos reportado na CR-0161082-00.</t>
  </si>
  <si>
    <t xml:space="preserve">
Projeto: VS30 – SORP – 2023_02
Família: BODY
Tipo: Release
Número: VAT2623</t>
  </si>
  <si>
    <t>VS30 – SORP – 2023_02
Família: BODY
Tipo: Release
Número: VAT2623</t>
  </si>
  <si>
    <t xml:space="preserve"> VS30 – SORP – 2023_02
Família: BODY
Tipo: Release
Número: VAT2623</t>
  </si>
  <si>
    <t xml:space="preserve">
Considerar sem impacto para corte Lead prep. ( Analise feita base desenho e delta BOM.</t>
  </si>
  <si>
    <t>CR-0162033-00</t>
  </si>
  <si>
    <t>CR-0161852-00</t>
  </si>
  <si>
    <t>CR-0161862-00</t>
  </si>
  <si>
    <t>CR-0161865-00</t>
  </si>
  <si>
    <t xml:space="preserve">
Sem impacto para corte e Lead prep.
Considerar apenas Scrap devido alteração de comprimento 
Scrap R$   R$    1.327,11 
</t>
  </si>
  <si>
    <t xml:space="preserve">
Sem impacto para corte e Lead Prep.
Condicionado ao investimentos reportado na CR-0161082-00.</t>
  </si>
  <si>
    <t xml:space="preserve">
Considerar sem impacto para corte e Lead Prep.
Scrap  R$ 184,61 
O valor de obsoleto/scrap já foi considerado na cotação do release. @Santos, Marcelo Por gentileza considerar esta informação para retornar com a análise.
Base informação de que scrap já foi considerado cotação release  favor desconsiderar o Scrap reportado.
</t>
  </si>
  <si>
    <t xml:space="preserve"> 
Considerar sem impacto para corte e lead Prep.</t>
  </si>
  <si>
    <t>VS30 – SORP – 2023_02
Família: BODY
Tipo: PFD
Número: PFD-VS30-BR907-AEHJ2023_02-2435w</t>
  </si>
  <si>
    <t>VS30 – SORP – 2023_02
Família: BODY
Tipo: PFD
Número: PFD-VS30-BR907-AEHJ2023_02-2437w</t>
  </si>
  <si>
    <t xml:space="preserve">
Considerar sem impacto para corte e Lead Prep.
</t>
  </si>
  <si>
    <t xml:space="preserve">Considerar sem impacto para corte e Lead Prep.
Scrap R$ 1.667,87
</t>
  </si>
  <si>
    <t>VS30 – SORP – 2023_02
Família: BODY
Tipo: PFD
Número: PFD-VS30-BR907-AEHJ2023_02-2438w</t>
  </si>
  <si>
    <t xml:space="preserve">Considerar para corte e Lead Prep.
1 aplicador TE para terminal E04004100 ( entrando circuito doble aplicando Terminal dos dois lados.)
</t>
  </si>
  <si>
    <t>VS30 – SORP – 2023_02
Família: AUTARK
Tipo: Release</t>
  </si>
  <si>
    <t>CR-0161947-00</t>
  </si>
  <si>
    <t xml:space="preserve">Considerar sem impacto para corte e Lead prep.( Condicionada a aprovação dos investimentos reportados na CR-0161947-00 )
</t>
  </si>
  <si>
    <t xml:space="preserve"> CR-0161954-00</t>
  </si>
  <si>
    <r>
      <rPr>
        <sz val="5"/>
        <color theme="1"/>
        <rFont val="Calibri"/>
        <family val="2"/>
        <scheme val="minor"/>
      </rPr>
      <t xml:space="preserve">1) Change Tape from TD-DDA-AAA-BK to TD-DDB-BAC-BK to increase the harness flexibility
1a) Change Tape from TD-DDA-AAA-BK to TD-DDB-BAC-BK to increase the harness flexibility
2) Change electrical diagram according mark up below.
2a) Change electrical diagram according mark up below.
2b) Change electrical diagram according mark up below.
2c) Splice position on drawing 2D and 3D.
3) Remove covering tape over antenna cable;
4 ) Rearrange the circuits of Ground X86G201_X1, create Splice SP1350_1_X1 and SP1350_4_X1 and change terminal PN.
4a) Rearrange the circuits of Ground X86G201_X1, create Splice SP1350_1_X1 and SP1350_5_X1 and change terminal PN.
5) Rearrange the circuits of Ground X86G202_X1, change terminal PN, create Splices SP1350_2_X1 and SP1350_3_X1;
5a) Rearrange the circuits of Ground X86G202_X1, change terminal PN, create Splices SP1350_2_X1, SP1350_3_X1 and SP1350_4_X1
6) Change of gauge of circuits 5440A and 5440B;
7) Change route of A110_X1 and S604_X1;
8) Change route of A782_X2 and A782_X3;
9a) Change clip from HT 157-00033 to GM 24259074;
9b) Change clip from HT 157-00033 to GM 24259074;
10) Change clip from GM 84035393 to GM 84224891 and dimensional adjustment of clip 34;
11) Change clip from GM 329959JD2 to GM 84224891;
12) Delete spot tape from Antenna cable and dimensional adjustment of branches
</t>
    </r>
    <r>
      <rPr>
        <b/>
        <sz val="11"/>
        <color theme="1"/>
        <rFont val="Calibri"/>
        <family val="2"/>
        <scheme val="minor"/>
      </rPr>
      <t>Favor considerar:
•	01 miniaplicador para o terminal E11731500, Motivo – Terminal novo no projeto.
•	01 validação conforme norma USCAR21 para o terminal E11731500
•	01 infra para instalação do LPS para a máquina MC-12 para aplicação do terminal  E15142100 – Motivo- para aplicação do terminal é necessário rastreabilidade do processo.
•	01 kit de LPS( ex: tin Clint; monitor; plc; etc.)
•	02 validação conforme norma USCAR 38 para o terminal E15142100
•	02 validação conforme norma GMW17136 para o terminal E15142100
•	01 infra para instalação do LPS para a máquina MC-12 para aplicação do terminal  E15132900 – Motivo- para aplicação do terminal é necessário rastreabilidade do processo.
•	01 kit de LPS( ex: tin Clint; monitor; plc; etc.)
•	01 validação conforme norma USCAR 38 para o terminal E15132900
•	01 validação conforme norma GMW17136 para o terminal E15132900
•	11 validações conforme norma USCAR45- motivo – validações com configurações novas.
•	11 validações conforme norma GMW17136 – para as splices de novas configurações
•	17,6  horas extras para quatro  funcionários para cadastro no LJS, ajuste nas ajudas visuais e criação de locações, validação.
•	01 RACK para locações das Splice que ficará na área de lead prep. separada da área da SPIN.</t>
    </r>
  </si>
  <si>
    <t>CR-0158359-02</t>
  </si>
  <si>
    <r>
      <t xml:space="preserve">Descrição: 1. ECR PART_4570926_REV 3: MY25 G1NC – Body WH Changes required to MVBs., 2. 1) Change Clip and Antenna Cable Length.
2) Change Washer Hose Length and add special tolerance.
3) Change Clips PN FROM 13104322 TO 13248125.
4) Boletim#191: 54P SDM Connector Material Change (Nylon to PBT).
5) Change covering to TD-DDA-AAA-BK, to update 3D math accoding APPV phase.
6) Change covering to from CB-CGA-CBA-BK-6 to TD-DDA-AAA-BK.
7) Add the dimensional point for dash grommet and change conduit to tape.
8) Change Tape from TD-DDA-AAA-BK to TD-DDB-BAC-BK to increase the harness flexibility.
9) Change Ring Terminal of G302_B_X1, rearrange the circuits and change the length
10) Increase the length of INLINE-BODY_TO_IP (X16X16_X1) branch.
11) Update Ground X86G103_X1 from Provisory PN to Final PN: TE 2819197-1.
12) Rearrange the circuits of Ground X86G301_A_X1 and create a Splice SP550_X1
13) Rearrange the circuits of Ground X86G104_A_X1 and create a Splice SP450_X1
14) Change clip according Spin NP – From Aptiv 15495830 to Aptiv 15495827
15) ADD White Spot Tape
</t>
    </r>
    <r>
      <rPr>
        <b/>
        <sz val="10"/>
        <color theme="1"/>
        <rFont val="Calibri"/>
        <family val="2"/>
        <scheme val="minor"/>
      </rPr>
      <t>Favor considerar:
•	05 validações conforme norma USCAR 45 – Motivo -  Novas configurações 
•	10 validações conforme norma GMW17136 - Motivo -  Novas configurações das SPLICES e multicrimps.
•	05 Validações conforme norma USCAR38 – Motivo -  novas configurações</t>
    </r>
  </si>
  <si>
    <t>CR-0161887-00</t>
  </si>
  <si>
    <t>SPIN – MVBs - MY2025 - LIFT GATE</t>
  </si>
  <si>
    <r>
      <t xml:space="preserve">Descrição: 1. Terminal Validation and feed direction replacement - SPIN MY25
Change Proposal: Replace terminal due to repproved validation and feed Direction
From: 32025Y1CU (Right Pay-Off)To: E08963400 (Left Pay-Off)
Item proposal already used on the GEM and SPIN Console and Approved Validation.
</t>
    </r>
    <r>
      <rPr>
        <b/>
        <sz val="11"/>
        <color theme="1"/>
        <rFont val="Calibri"/>
        <family val="2"/>
        <scheme val="minor"/>
      </rPr>
      <t>Sem necessidade de investimento para engenharia corte/lead prep.
Usaremos a mesma ferramenta que atualmente aplica o terminal 32025Y1CU para aplicar o terminal E08963400.
Como se trata do mesmo terminal, não será preciso novas validações, o relatório do terminal anterior é válido para este terminal por estar trocando apenas o part number Lear.</t>
    </r>
  </si>
  <si>
    <t xml:space="preserve">Sem impacto para corte e Lead Prep.( analise feita base Delta CutSheet e BOM 
Scrap	 R$ 18.744,40
Alteração de comprimento de circuitos e tubos
</t>
  </si>
  <si>
    <t xml:space="preserve"> CR-0160595-00</t>
  </si>
  <si>
    <t>GEM – MVBs - MY2026
Família: ENGINE
Tipo: Cost Reduction
Número: EWO 4489010</t>
  </si>
  <si>
    <t>CR-0161863-00</t>
  </si>
  <si>
    <t>SPIN – MVBs - MY2025 - ENGINE</t>
  </si>
  <si>
    <t>WLL
Sem necessidade de investimento para engenharia corte/lead prep.</t>
  </si>
  <si>
    <t xml:space="preserve">
Sem impacto para corte e Lead Prep.( analise feita base Delta CutSheet e BOM 
Scrap	 R$ 17.489,97
Alteração de comprimento de circuitos e tubos</t>
  </si>
  <si>
    <t>CR-0161022-00</t>
  </si>
  <si>
    <t xml:space="preserve">
Projeto: GEM – MVBs - MY2026
Família: ENGINE
Tipo: Cost Reduction
Número: EWO 4489010</t>
  </si>
  <si>
    <t xml:space="preserve">Sem impacto para corte e Lead Prep.( analise feita base Delta CutSheet e BOM )
Scrap R$ 1.382,86
</t>
  </si>
  <si>
    <t>CR-0161953-00</t>
  </si>
  <si>
    <t>GEM – MVBs - MY2026
Família: REAR BUMPER
Tipo: EWO
Número: 4489010</t>
  </si>
  <si>
    <t xml:space="preserve">Sem impacto para corte e Lead Prep.( analise feita base Delta CutSheet e BOM )
Scrap  R$ 1.100,34
</t>
  </si>
  <si>
    <t xml:space="preserve"> CR-0161952-00</t>
  </si>
  <si>
    <t xml:space="preserve"> GEM – MVBs - MY2026
Família: REAR BUMPER
Tipo: EWO
Número: 4489010</t>
  </si>
  <si>
    <t xml:space="preserve">Sem impacto para corte e Lead Prep.( analise feita base Delta CutSheet e BOM )
Scrap  R$ 10.795,34
</t>
  </si>
  <si>
    <t>CR-0161020-00</t>
  </si>
  <si>
    <t xml:space="preserve">GEM – MVBs - MY2026
Família: ENGINE
Tipo: Cost Reduction
Número: EWO 4489010
</t>
  </si>
  <si>
    <t>CR-0161019-01</t>
  </si>
  <si>
    <t xml:space="preserve">Sem impacto para corte e Lead Prep.( analise feita base Delta CutSheet e BOM )
Scrap  R$ 10.795,21
CR cancelada 
</t>
  </si>
  <si>
    <t>CR-0162843-00</t>
  </si>
  <si>
    <t xml:space="preserve">GEM – Running change - MY2024
Família: DOORS
Tipo: TEWO
</t>
  </si>
  <si>
    <t>CR-0162967-00</t>
  </si>
  <si>
    <t>N – SOP - MY2025 - Engine LI3 &amp; LHE</t>
  </si>
  <si>
    <r>
      <t xml:space="preserve">1) Relocate and Reconfigure SP5290 due to failure of GWM 17136 tests. Applied to Engine LI3 &amp; LHE
2) Relocate SP2451 and replace hst due to failure of GWM 17136 tests and best practice (SP2451 close to breakout RN10 can cause issue on the WRG HRN). Applied to Engine LI3
3) Replace hst on the X86G108 branch due to improvement wiring harness process and GMW 17136 validation. Applied to Engine LI3
4) Relocate SP4621 due to minimum cut circuit in process be minor than circuit on SP toward to A798_X1 – Circuit 4621D (&lt;70mm)
5) Remove PVC tape over the circuit 1850D. (Only LHE)
</t>
    </r>
    <r>
      <rPr>
        <b/>
        <sz val="11"/>
        <color theme="1"/>
        <rFont val="Calibri"/>
        <family val="2"/>
        <scheme val="minor"/>
      </rPr>
      <t>Favor considerar:
•	03 validação conforme norma GMW17136
•	01 validação conforme norma USCAR 45</t>
    </r>
  </si>
  <si>
    <t>CR-0162954-00</t>
  </si>
  <si>
    <t>SPIN – MVBs - MY2025 - FOG LAMP</t>
  </si>
  <si>
    <t>1. WLL / TLL application as requested by the Process team.
Project Affected - SPIN - FOG LAMP - 52168718? - MY25 - MVBS
Sem necessidade de investimento para engenharia corte/lead prep</t>
  </si>
  <si>
    <t>CR-0162694-01</t>
  </si>
  <si>
    <t>SPIN – MVBs - MY2025 - ENGINE LI3 / ENGINE LHE</t>
  </si>
  <si>
    <t xml:space="preserve">
Favor Considerar  para corte e lead Prep. ( condicionado a revisão da LABOR, com tempos atualizados de cada processo )
1 máquina de decape (Komax MIRA ) aproximadamente R$56.500,00  ( investimento necessário para garantir corte do dreno e do cabo marrom no comprimento correto vide anexo )
Scrap. R$ 623,00
</t>
  </si>
  <si>
    <t>CR-0163101-00</t>
  </si>
  <si>
    <t>VS30 – SORP – 2023_02
Família: IP WH
Tipo: PFD
Número: PFD-VS30-BR907-AEHJ2023_02-2433w</t>
  </si>
  <si>
    <t xml:space="preserve"> CR-0162034-00</t>
  </si>
  <si>
    <t xml:space="preserve">
Considerar sem impacto para corte e Lead Prep.( analise feita base WLL )
</t>
  </si>
  <si>
    <t>GEM – MVBs - MY2024
Família: BODY
Tipo: WLL/TLL
Número: ISS-043715</t>
  </si>
  <si>
    <t>CR-0162837-00</t>
  </si>
  <si>
    <t>GEM – MVBs - MY2024
Família: BODY
Tipo: WLL/TLL
Número: ISS-043714
Descrição: 1. WLL application as requested by the Process team.
Project Affected - GEM - BODY 5HB - 52174375 - MY24 - MVVBS.</t>
  </si>
  <si>
    <t>Considerar sem impacto para corte e Lead Prep.( analise feita base WLL )</t>
  </si>
  <si>
    <t>CR-0162824-00</t>
  </si>
  <si>
    <t>GEM – MVBs - MY2024
Família: IP WH
Tipo: WLL/TLL
Número: ISS-043716
Descrição: 1. WLL application as requested by the Process team.
Project Affcted - GEM - IP - 52174448 - MY24 - MVBS.</t>
  </si>
  <si>
    <t>CR-0162322-00</t>
  </si>
  <si>
    <t xml:space="preserve">GEM – MVBs - MY2024
Família: IP WH
Tipo: Cost Reduction
Número: TBD
Descrição: 1. IP 52181682:
</t>
  </si>
  <si>
    <t xml:space="preserve">Considerar para Corte e Lead Prep.( implementação condicionado a aprovação das validações conforme Norma GMW 17136 )
5 validações conforme norma GMW17136.
Scrap Cabos + Termo retrátil  R$ 1.316,83
24 horas técnicas 
Necessidade de 650 peças do termo retrátil 3299365JY para confecção das amostras para validação.
Lead time para Validação a partir da liberação da verba 60 Dias.
</t>
  </si>
  <si>
    <t>CR-0163023-00</t>
  </si>
  <si>
    <t>SPIN – SOP - MY2025 - ENGINE LI3</t>
  </si>
  <si>
    <r>
      <t xml:space="preserve">Change Proposal:
1) Replace terminal and Seal for Cable 0.75 to Injector Connectors.
From: 32025Y2MU --&gt; To: E14929200
From: 320455AKQ --&gt; To: 320455AKC
</t>
    </r>
    <r>
      <rPr>
        <b/>
        <sz val="11"/>
        <color theme="1"/>
        <rFont val="Calibri"/>
        <family val="2"/>
        <scheme val="minor"/>
      </rPr>
      <t>Favor considerar:
•	01 miniaplicador para o terminal E14929200. Motivo -  Temos apenas um miniaplicador para este terminal e aplica par ao  projeto GEM, necessidade de mais um miniaplicador para não temos problemas de conflito de ferramentas.</t>
    </r>
  </si>
  <si>
    <t>26/09/2023
04/01/2023</t>
  </si>
  <si>
    <t>16:00:00
05:12</t>
  </si>
  <si>
    <r>
      <t xml:space="preserve">1.) Validations and Replace HST
SP2451 --&gt; Replace HST (Only Engine LI3)
SP5290 --&gt; Replace HST
X86G108 --&gt; Replace HST (Only Engine LI3)
CR “On Hold”.  A configuração das splices não está conforme oque foi validado. Necessário avaliação com produto para determinar a configuração correta.
Sugiro acertar a CR e reenviar par todos novamente.
</t>
    </r>
    <r>
      <rPr>
        <b/>
        <sz val="11"/>
        <color theme="1"/>
        <rFont val="Calibri"/>
        <family val="2"/>
        <scheme val="minor"/>
      </rPr>
      <t>Sem necessidade de investimento para engenharia corte/lead prep.</t>
    </r>
  </si>
  <si>
    <t>CR-0163400-00</t>
  </si>
  <si>
    <t>SPIN – SORP - MY2025 - RR OBJECT ALARM</t>
  </si>
  <si>
    <t>Melhoria no tubo corrugado entre o trecho RN8 a RN6 para o chicote PN 52179347
DE: E37049900 PARA: E37049300
Sem necessidade de investimento para engenharia corte/lead prep.</t>
  </si>
  <si>
    <t>CR-0164420-00</t>
  </si>
  <si>
    <t>Descrição: 1. 1. NO CHANGES AND COST IMPACT!! ONLY FOR PART NUMBER EVOLUTION
All technical changes are considered in the following CR:
CR-0162033-00 - ECR#4566445 - IP
Bom dia.
Sem necessidade de investimento para engenharia corte/lead prep.</t>
  </si>
  <si>
    <t>GEM – MVBs - MY2025.5
Família: ENGINE
Tipo: EWO
Número: WO#4485336
Descrição: 1. ENGINE HARNESS 52172425</t>
  </si>
  <si>
    <t>CR-0163772-01</t>
  </si>
  <si>
    <t xml:space="preserve">
Descrição: 1. ENGINE HARNESS 52172425
Use attached VCD from slide # 35 to 43 for ENGINE HARNESS affected change.
Notes:
"This CR is complementary CR-0150829-00 and impact only derivative 52181678 reference base 52178760."
Considerar sem impacto para corte Lead Prep.
</t>
  </si>
  <si>
    <t>CR-0162323-00</t>
  </si>
  <si>
    <t>Considerar para Corte e Lead Prep.( implementação condicionado a aprovação das validações conforme Norma GMW 17136 )
11 validações conforme norma GMW17136.
Scrap Cabos + Termo retrátil   R$ 889,49
55 horas técnicas 
Necessidade de 1375 peças do termo retrátil 3299362G2 para confecção das amostras para validação.
Lead time para Validação a partir da liberação da verba 60 Dias.</t>
  </si>
  <si>
    <t xml:space="preserve">
Considerar para Corte e Lead Prep.( implementação condicionado a aprovação das validações conforme Norma GMW 17136 )
20 validações conforme norma GMW17136.
Scrap Cabos + Termo retrátil R$ R$ 3.138,55
110 horas técnicas 
Necessidade de 2500 peças do termo retrátil 3299362G2 para confecção das amostras para validação.
Lead time para Validação a partir da liberação da verba 60 Dias.</t>
  </si>
  <si>
    <t xml:space="preserve">GEM – MVBs - MY2024
Família: BODY
Tipo: Cost Reduction
Número: TBD
Descrição: 1. BODY 52181681:
</t>
  </si>
  <si>
    <t xml:space="preserve"> GEM – MVBs - MY2024
Família: IP WH
Tipo: Cost Reduction
Número: TBD
Descrição: 11. IP 52181682
</t>
  </si>
  <si>
    <t>CR-0162324-00</t>
  </si>
  <si>
    <t>Número: TWO 4603016
Descrição: 1. Engine 26373893 / 26373894 /26373895 / 52172425
- Reduce UEC branch from 122mm to 112mm
Body 52174375 / 52174376
-Relocate UEC branch takeout to 50mm from the clip and change its length from 68mm to 83mm
-Relocate splice STD_X117SP1314_BUN613_1_X1</t>
  </si>
  <si>
    <t>CR-0163903-00</t>
  </si>
  <si>
    <t xml:space="preserve">Sem impacto para corte e Lead Prep. ( Analise feita base Delta Cut Sheet  e Delta BOM )  
Scrap  R$ 277,55 
Alteração de comprimento considerado 1 dia de lote para Scrap. ( Condicionado á aprovação da CR-0163903-00 onde já foi reportado Scrap.) 
</t>
  </si>
  <si>
    <t xml:space="preserve">GEM – MVBs - MY2025
Família: ENGINE / BODY
Tipo: TEWO
Número: TWO 4603016
Descrição: 1. Engine 52181683 / 52181684 / 52181685 / 52181686
- Reduce UEC branch from 122mm to 112mm
Body 52181680 / 52181681
-Relocate UEC branch takeout to 50mm from the clip and change its length from 68mm to 83mm
-Relocate splice STD_X117SP1314_BUN613_1_X1 </t>
  </si>
  <si>
    <t>CR-0163904-00</t>
  </si>
  <si>
    <t>CR-0160595-01</t>
  </si>
  <si>
    <t xml:space="preserve">GEM – MVBs - MY2026
Família: ENGINE
Tipo: EWO
Número: EWO 4489010
Descrição: 1. ENGINE HARNESS 52182314 _BASED PRINT_52181683
SLiDE 10: New routing of Engine WH main branch due to new headlamps
SLIDE 11: Remove OAT Sensor branch from Engine WH (OAT sensor will be connected by Front Bumper WH for all versions)
SLIDE 12: Relocate TCM branch takeout and replace current finishing by crush shield on TCM branch (spec: SB-D8D-ACB-BK)
</t>
  </si>
  <si>
    <t xml:space="preserve">
Considerar para corte Lead Prep.( Analise feita base Delta Cut Sheet  e Delta BOM ) 
1 validação conforme Norma GMW17136 para Termo retrátil E02000700
R$ 31.731,33 Scrap 
Alteração de comprimento considerado 1 dia de lote para Scrap.
</t>
  </si>
  <si>
    <t xml:space="preserve">Correção favor desconsiderar email anterior estava com valor do lote semanal. 
Sem impacto para corte e Lead Prep. ( Analise feita base Delta Cut Sheet  e Delta BOM ) 
Scrap  R$ R$ 26.797,81
Alteração de comprimento considerado 1 dia de lote para Scrap.
</t>
  </si>
  <si>
    <t>Sem impacto para corte e Lead Prep. ( Analise feita base Delta Cut Sheet  e Delta BOM ) 
Scrap  R$ 7.608,42
Alteração de comprimento considerado 1 dia de lote para Scrap.</t>
  </si>
  <si>
    <t xml:space="preserve"> CR-0161019-02</t>
  </si>
  <si>
    <t xml:space="preserve">GEM – MVBs - MY2026
Família: ENGINE
Tipo: EWO
Número: EWO 4489010
Descrição: 1. ENGINE HARNESS 52182664_BASE PRINT_52181684
Slide 10: New routing of Engine WH main branch due tonew headlamps
SLIDE 11: Remove OAT Sensor branch from Engine WH (OAT sensor will be connected by Front Bumper WH for all versions)
</t>
  </si>
  <si>
    <t>Recebido GEM 2023</t>
  </si>
  <si>
    <t>Respondido GEM 2023</t>
  </si>
  <si>
    <t>RecebidoVS30 2023</t>
  </si>
  <si>
    <t>Respondido VS30 2023</t>
  </si>
  <si>
    <t>CR-0164471-00</t>
  </si>
  <si>
    <t>SPIN – SOP - MY2025 - DRIVER DOOR / CO DRIVER DOOR / REAR LEFT DOOR / REAR RIGHT DOOR</t>
  </si>
  <si>
    <t>Descrição: 1. TERMINAL CHANGE DUE TO VALIDATION REPROVAL.
FROM: 320260AB8 (TE 1-1326032-1)
TO: 320260A93 (TE 1326032-9)
Favor considerar:
•	01 kit de aplicação para o terminal 320260A93 – R$ 1.000,00 -  motivo: terminal novo na planta ( necessário verificação de parâmetros com o fornecedor do terminal para validação.
•	01 validação conforme norma USCAR 21 – R$1.200,00 – Motivo: não temos esta validação com este part number.</t>
  </si>
  <si>
    <t>CR-0164799-00</t>
  </si>
  <si>
    <t>--------------------------------</t>
  </si>
  <si>
    <t xml:space="preserve"> Moraes, Rafael Jaco DE </t>
  </si>
  <si>
    <t>Conforme acordado com @Militani, Marcio Pericles, estou respondendo esta CR neste e-mail devido a um erro na planilha “Cmposite” do e-mail anterior.
Favor considerar :
•	01 validação conforme norma USCAR 21. R$1100,00 – Motivo – Validação nova, 32025Y20B-CU-R2PVC-A-0,75-320455A8X.</t>
  </si>
  <si>
    <t>CR-0164953-00</t>
  </si>
  <si>
    <t>SPIN – SOP - MY2025 - DRIVER DOOR</t>
  </si>
  <si>
    <t>1) Splice relocation in order to reduce cables usage.
Sem necessidade de investimento para engenharia corte/lead prep.</t>
  </si>
  <si>
    <t>CR-0164046-00</t>
  </si>
  <si>
    <t>WLL application as requested by the Process team.
Sem necessidade de investimento para engenharia corte/lead prep.</t>
  </si>
  <si>
    <t>CR-0164200-00</t>
  </si>
  <si>
    <t>SPIN – SORP - MY2025 - BODY</t>
  </si>
  <si>
    <t>Redução do termo retrátil DE: E35100200 (50 mm) - - -&gt; PARA: E35099700 (27mm) – Aplicação em bitola 4mm terminal E00004334.
ISS-043991 - Alterar o termo encolhível do item X86G101_A_X1, DE: E35100200 (50 mm) - - -&gt; PARA: E35099700 (27mm) permitindo maior flexibilidade do ramal na montagem do chicote no veículo
Favor considerar:
•	01validação conforme norma GMW17136 – R$1.100,00 – MOTIVO -  Troca do termo retrátil com nova configuração.
•	Scrap – R$885,66 -  Motivo -  para fazer os testes de estanqueidade</t>
  </si>
  <si>
    <t>CR-0163893-01</t>
  </si>
  <si>
    <t xml:space="preserve"> WLL and TLL application as request by the Process team.
Sem necessidade de investimento para engenharia corte/lead prep.</t>
  </si>
  <si>
    <t xml:space="preserve"> CR-0164681-00</t>
  </si>
  <si>
    <t>VS30 – SORP – 2023_01
Família: BODY
Tipo: AWE
Número: PFD-VS30-BR907-AEHJ2023_01-2448</t>
  </si>
  <si>
    <t xml:space="preserve">
Considerar sem impacto para corte e Lead Prep. ( Analise feita base documentação disponibilizada na  CR PFD-VS30-BR907-AEHJ2023_02-2448w )</t>
  </si>
  <si>
    <t xml:space="preserve">Considerar sem impacto para corte e Lead Prep. ( Analise feita base documentação disponibilizada na PFD-VS30-BR907-AEHJ2023_02-2501)
</t>
  </si>
  <si>
    <t>VS30 – SORP – 2023_02
Família: BODY
Tipo: AWE
Número: PFD-VS30-BR907-AEHJ2023_02-2501</t>
  </si>
  <si>
    <t>CR-0165037-00</t>
  </si>
  <si>
    <t xml:space="preserve"> CR-0164598-00</t>
  </si>
  <si>
    <t xml:space="preserve">
Projeto: GEM – MVBs - MY2024
Família: LIFTGATE
Tipo: Cost Reduction
Número: TBD
Descrição: 1. LIFTGATE - 26302799</t>
  </si>
  <si>
    <t xml:space="preserve">Considerar sem impacto para corte e Lead Prep.( Analise feita base documentação disponibilizada na CR-0164598-00 )
Scrap R$ 468,38 
</t>
  </si>
  <si>
    <t xml:space="preserve">
Considerar para Corte e Lead Prep.( implementação condicionado a aprovação das validações conforme Norma GMW 17136 e USCAR 45 )
1 validações conforme norma GMW17136.
1 validações conforme norma USCAR45.
Scrap R$ 5.488,16 
16 horas técnicas 
Necessidade de 150 peças do termo retrátil E02000700 para confecção das amostras para validação.
Lead time para Validações e implementação a partir da liberação da verba 83dias</t>
  </si>
  <si>
    <t>CR-0162419-01</t>
  </si>
  <si>
    <t>GEM – APPV - MY2026
Família: FRONT BUMPER
Tipo: EWO
Número: EWO 4489010
Descrição: 1. FRONT BUMPER HARNESS 52183579 _BASED PRINT_26294090</t>
  </si>
  <si>
    <t xml:space="preserve">Considerar sem Impacto para Corte e Lead Prep.( Analise realizada base delta Cutsheet 52183579_003 disponibilizado na CR-0162423-00 )
Scrap R$ 6.204,58
</t>
  </si>
  <si>
    <t xml:space="preserve">GEM – APPV - MY2026
Família: FRONT BUMPER
Tipo: EWO
Número: EWO#4489010
Descrição: 1. FRONT BUMPER HARNESS 52183579 _BASED PRINT_26293111
</t>
  </si>
  <si>
    <t>CR-0162423-00</t>
  </si>
  <si>
    <t xml:space="preserve">
Considerar para Corte e Lead Prep.( implementação condicionado a aprovação das validações conforme Norma GMW 17136, e investimentos já Reportados na CR-0162324-00 )
5 validações conforme norma GMW17136.
Scrap Cabos + Termo retrátil R$ 214,68
28  horas técnicas 
Necessidade de 875 peças do termo retrátil 3299362G2 para confecção das amostras para validação.
Lead time para Validação a partir da liberação da verba.
</t>
  </si>
  <si>
    <t>CR-0162325-00</t>
  </si>
  <si>
    <t>: GEM – MVBs - MY2024
Família: BODY
Tipo: Cost Reduction
Número: TBD
Descrição: 1. BODY 52181680</t>
  </si>
  <si>
    <t xml:space="preserve">
Considerar para Corte e Lead Prep.( implementação condicionado a aprovação das validações conforme Norma GMW 17136, e investimentos já Reportados na CR-0162324-00 e CR-0162325-00 )
1 validações conforme norma GMW17136.
Scrap Cabos + Termo retrátil R$ 62,64
8  horas técnicas 
Necessidade de 125 peças do termo retrátil 3299362G2 para confecção das amostras para validação.
Lead time para Validação a partir da liberação da verba.</t>
  </si>
  <si>
    <t>CR-0162326-00</t>
  </si>
  <si>
    <t xml:space="preserve">Projeto: GEM – MVBs - MY2024
Família: FRONT DOOR
Tipo: Cost Reduction
Número: TBD
Descrição: 1. FRONT DOOR 52181695:
</t>
  </si>
  <si>
    <t>VS30 – SORP – 2023_02
Família: BODY
Tipo: PFD
Número: PFD-VS30-BR907-AEHJ2023_02-2518</t>
  </si>
  <si>
    <t>CR-0164538-01</t>
  </si>
  <si>
    <t xml:space="preserve">
1 aplicador TE para terminal E00309500.( para uso no lead Prep. Seal Crimp )
Lead Time após liberação da Verba. 78 dias</t>
  </si>
  <si>
    <t>Considerar para Corte e Lead Prep.( implementação condicionado a aprovação das validações conforme Norma GMW 17136, e investimentos já Reportados na CR-0162323-00 e CR-0162326-00 )
3 validações conforme norma GMW17136.
Scrap Cabos + Termo retrátil  R$ 150,59
16  horas técnicas 
Necessidade de 375 peças do termo retrátil 3299362G2 para confecção das amostras para validação.
Lead time para Validação a partir da liberação da verba 83 dias.</t>
  </si>
  <si>
    <t>CR-0162327-00</t>
  </si>
  <si>
    <t xml:space="preserve">
Projeto: GEM – MVBs - MY2024
Família: FRONT DOOR
Tipo: Cost Reduction
Número: TBD</t>
  </si>
  <si>
    <t xml:space="preserve">
Considerar sem impacto para corte e lead Prep.( Analise feita Base delta Cut disponibilizado.)
Alteração comprimento dos Circuitos novos MC7301B, 7404B e 7405B  VS30 – SORP – 2023_02.</t>
  </si>
  <si>
    <t>CR-0165462-00</t>
  </si>
  <si>
    <t>VS30 – SORP – 2023_02
Família: BODY
Tipo: PFD
Número: PFD-VS30-BR907-AEHJ2023_02-2434w</t>
  </si>
  <si>
    <t>Favor considerar:
•	03 mini aplicadores MRSJ1 – R$19.659,00 para os terminais 32025Y2XV,3202547L3 e E04648500. Aplicadores novos. ( Aplicadores também já considerado na CR-0143516-01)
•	03 validações conforme norma USCAR 21 R$10.050,00 para os terminais 32025Y2XV,3202547L3 e e 04648500 - ( validações também já foram consideradas na CR-0143516-01)
•	02 validação conforme norma USCAR 45 R$1.130,00</t>
  </si>
  <si>
    <t xml:space="preserve"> CR-0161019-03</t>
  </si>
  <si>
    <t xml:space="preserve">Projeto: GEM – APPV - MY2026
Família: ENGINE
Tipo: EWO
Número: EWO 4489010
Descrição: 1. ENGINE HARNESS 52182664_BASE PRINT_52181684
</t>
  </si>
  <si>
    <t xml:space="preserve">
Sem impacto para corte e Lead Prep. ( Analise feita base Delta Cut Sheet  e Delta BOM ) 
Scrap  R$ 7.608,42
Alteração de comprimento considerado 1 dia de lote para Scrap.
</t>
  </si>
  <si>
    <t>CR-0161020-02</t>
  </si>
  <si>
    <t>GEM – APPV - MY2026
Família: ENGINE
Tipo: EWO
Número: EWO#4489010
Descrição: 1. ENGINE HARNESS 52182665_BASED PRINT_52181685</t>
  </si>
  <si>
    <t xml:space="preserve">Considerar sem impacto para corte Lead Prep.( Analise feita base Delta Cut Sheet e Delta BOM, implementação condicionada aos investimentos reportados na CR-0160595-02, testes e aprovação conforme Norma GMW 17136) 
Scrap R$ R$ 5.397,92
Alteração de comprimento considerado 1 dia de lote para Scrap.
</t>
  </si>
  <si>
    <t>CR-0161022-02</t>
  </si>
  <si>
    <t xml:space="preserve">Projeto: GEM – APPV - MY2026
Família: ENGINE
Tipo: EWO
Número: EWO 4489010
Descrição: 1. ENGINE HARNESS 52182666__BASED PRINT_52181686
</t>
  </si>
  <si>
    <t xml:space="preserve">Considerar sem impacto para corte Lead Prep.( Analise feita base Delta Cut Sheet e Delta BOM, implementação condicionada aos investimentos reportados na CR-0160595-02, testes e aprovação conforme Norma GMW 17136) 
Scrap  R$ 27.223,08
Alteração de comprimento considerado 1 dia de lote para Scrap.
</t>
  </si>
  <si>
    <t>Projeto: GEM – MVBs - MY2024
Família: IP WH
Tipo: Cost Reduction
Número: TBD
Descrição: 1. IP 52181682:</t>
  </si>
  <si>
    <t xml:space="preserve"> CR-0162329-00</t>
  </si>
  <si>
    <t>CR on hold   devido falta de documentação para Analise ( delta Cut Sheet ), fico no aguardo para análise posterior.</t>
  </si>
  <si>
    <t>Considerar sem impacto para corte e lead Prep.
Alteração do PN do conector DE: 32165K2NJ / PARA E43907000.</t>
  </si>
  <si>
    <t>CR-0165907-00</t>
  </si>
  <si>
    <t>GEM – MVBs - MY2024
Família: ENGINE
Tipo: Cost Reduction
Número: TBD
Descrição: 1. ENGINE 26373893
Change connector with blocked cavities from PN 32165K2NJ to E43907000.</t>
  </si>
  <si>
    <t xml:space="preserve">
Considerar sem impacto para corte e Lead Prep.( Analise feita base WLL disponibilizada para analise )
Scrap R$ 51,80 circuito 4150B considerado Obsoleto.
</t>
  </si>
  <si>
    <t>CR-0165755-00</t>
  </si>
  <si>
    <t xml:space="preserve">Projeto: VS30 – SORP – 2023_01
Família: BODY
Tipo: Issue
Número: ISS-044957
Assunto: 1. WLL rev. 24 - ISS-044957, 2. VS30 - WIRING HARNESS BODY, 3. Affected drawings: A9070012099, 4. WLL adjustments for MY2023-01 release
</t>
  </si>
  <si>
    <t xml:space="preserve">Considerar Sem impacto para corte  e Lead prep.
Alteração de Conector.
</t>
  </si>
  <si>
    <t>CR-0165886-00</t>
  </si>
  <si>
    <t>VS30 – SORP – 2023_01
Família: BODY
Tipo: Issue
Número: ISS-045064</t>
  </si>
  <si>
    <t>Considerar para Corte e Lead Prep.( implementação condicionado a aprovação das validações conforme Norma GMW 17136 )
16 validações conforme norma GMW17136.
Scrap Cabos + Termo retrátil R$ 1.675,96
132 horas técnicas
Necessidade de 2000 peças do termo retrátil 3299362M9 para confecção das amostras para validação.
Lead time para Validação a partir da liberação da verba.93 dias</t>
  </si>
  <si>
    <t>CR-0160590-00</t>
  </si>
  <si>
    <t>GEM – MVBns - MY2024
Família: BODY
Tipo: Cost Reduction
Número: TBD
Descrição: 1. BODY 52181680 - Change clip from 3203510G5 to 320350366.</t>
  </si>
  <si>
    <t xml:space="preserve">
Considerar sem impacto para corte e Lead Prep.
Alteração Clip.</t>
  </si>
  <si>
    <t>CR-0165034-00</t>
  </si>
  <si>
    <t>Projeto: SPIN – SOP - MY2025
Família: BODY
Tipo: Cost Reduction</t>
  </si>
  <si>
    <t>Alteração do termo encolhível de 50mm para 30mm do item X86RVC_RTN_X1:
FROM E16718500 TO E16725200
CR “ON HOLD” não temo tempo hábil para fazermos a validação até a data da SOP.
Em conversa com Kaique foi definido que a data para implementação será de 90 dias a partir da data de liberação da verba. 
Segundo informações da Rafaela Inocencio, a troca é apenas para um circuito do projeto.
Neste caso, favor considerar:
01  validação conforme norma GMW17136 - R$3.517,00 – Motivo – configuração nova.</t>
  </si>
  <si>
    <t>07/11/2023
08/11/2023</t>
  </si>
  <si>
    <t>16:06:00
07:25</t>
  </si>
  <si>
    <t>CR-0165500-00</t>
  </si>
  <si>
    <t>Projeto: SPIN – MVBs - MY2025
Família: ENGINE
Tipo: WLL/TLL
Número: ISS-044675_ISS-044676</t>
  </si>
  <si>
    <t>1. WLL application as requested by the Process team.
Sem necessidade de investimento para engenharia corte/lead prep</t>
  </si>
  <si>
    <t>CR-0165785-00</t>
  </si>
  <si>
    <t>Projeto: SPIN – MVBs - MY2025
Família: FOG LAMP
Tipo: EWO
Número: 4612077
Descrição: 1. ECR 4612077 - FOG LAMP</t>
  </si>
  <si>
    <t>EVOLUÇÃO DE DERIVATIVOS
Sem necessidade de investimento para engenharia corte/lead prep</t>
  </si>
  <si>
    <t>CR-0165918-00</t>
  </si>
  <si>
    <t>Projeto: SPIN – SOP - MY2025
Família: FOG LAMP
Tipo: Cost Reduction
Número: Splice Relocation</t>
  </si>
  <si>
    <t>1. CTO PROPOSAL --&gt; Splice Relocation --&gt; IP (SPIN MY25). Splice relocation in order to reduce cables usage and delete BUTT SPLICE.
Sem necessidade de investimento para engenharia corte/lead prep. Já temos a validação desta splice.</t>
  </si>
  <si>
    <t>CR-0166232-00</t>
  </si>
  <si>
    <t>Projeto: SPIN – MVBs - MY2025
Família: FOG LAMP
Tipo: WLL/TLL
Número: ISS-043867</t>
  </si>
  <si>
    <t>. WLL e TLL application as requested by the Process team.
Project Affected - SPIN - FOG_LAMP - 52186890 - MY25 - MVBS .
Sem necessidade de investimento para engenharia corte/lead prep</t>
  </si>
  <si>
    <t>CR-0166706-00</t>
  </si>
  <si>
    <t xml:space="preserve">
Projeto: SPIN – MVBs - MY2025
Família: BODY
Tipo: WLL/TLL
Número: ISS-044256</t>
  </si>
  <si>
    <t>1. WLL application as request by the Process team.
Sem necessidade de investimento para engenharia corte/lead prep</t>
  </si>
  <si>
    <t>CR-0166091-00</t>
  </si>
  <si>
    <t>VS30 – SORP – 2023_02
Família: BODY
Tipo: PFD
Número: PFD-VS30-BR907-AEHJ2023_02-2533</t>
  </si>
  <si>
    <t>Considerar sem impacto para corte e Lead  Prep.
Analise feita base documentos fornecido na CR, PFD-VS30-BR907-AEHJ2023_02-2533_LU, BOM-COMPARISON_A9070014899_B04_10107 e DELTA-LABOR-R_A9070014899_B04_10107.</t>
  </si>
  <si>
    <t xml:space="preserve">
Considerar Sem impacto par corte e lead Prep.
 Analise feita base documentação disponibilizado na CR, BOM-COMPARISON_A9070011599_B05_10120, PFD-VS30-BR907-AEHJ2023_02-2500_LU e DELTA-LABOR_A9070011599_B05_10120</t>
  </si>
  <si>
    <t>CR-0166250-00</t>
  </si>
  <si>
    <t>VS30 – SORP – 2023_02
Família: IP WH
Tipo: PFD
Número: PFD-VS30-BR907-AEHJ2023_02-2533
Assunto: 1. VS30 - WIRING HARNESS IP , 2. PFD-VS30-BR907-AEHJ2023_02-2500</t>
  </si>
  <si>
    <t xml:space="preserve">CR ON HOLD   devido falta de documentação para Analise( DELTA CUTSHEET, DELTA BOM, DELTA LABOR), fico no aguardo para análise posterior.
</t>
  </si>
  <si>
    <t xml:space="preserve">GEM – MVBs - MY2025
Família: IP WH
Tipo: EWO
Número: 4485336
Descrição: 1. 1. 1. GEM B NARROW I/P 26415448
</t>
  </si>
  <si>
    <t>CR-0166350-00</t>
  </si>
  <si>
    <t>CR-0166494-00</t>
  </si>
  <si>
    <t>VS30 – SORP – 2023_02
Família: IP WH
Tipo: Issue
Número: NA</t>
  </si>
  <si>
    <t xml:space="preserve">Considerar para corte lead prep.( Implementação condicionada a aprovação dos testes de validação conforme Norma VS30 )
Aplicador modelo TE para Terminal E03284700.
1 Validação de crimpagem conforme Norma VS30.
Aguardando retorno da TE se o aplicador sera mesmo do atual
</t>
  </si>
  <si>
    <t>VS30 – SORP – 2023_02
Família: DOOR
Tipo: Cost Reduction
Número: CTO</t>
  </si>
  <si>
    <t xml:space="preserve"> CR-0165438-00</t>
  </si>
  <si>
    <t xml:space="preserve">Considerar sem impacto para corte e Lead Prep.( Analise feita base documentação disponibilizada na CR )
</t>
  </si>
  <si>
    <t>CR-0167404-00</t>
  </si>
  <si>
    <t>Projeto: SPIN – IVER - MY2026
Família: RR OBJECT ALARM
Tipo: EWO
Número: ECR 4593506</t>
  </si>
  <si>
    <t xml:space="preserve"> VS30 – SORP – 2023_02
Família: IP WH
Tipo: Issue
Número: NA</t>
  </si>
  <si>
    <t>Considerar para corte lead prep. ( Implementação condicionada a aprovação dos testes de validação conforme Norma VS30 )
1 Validação de crimpagem Conforme Norma VS30.
8 horas técnicas para validação Mecânica
Necessidade de no mínimo 500 peças do terminal E03284700 para Validação do processor e Parametrização de CFA.
conforme informação O fornecedor estou considerando que vamos utilizar mesmo aplicador do terminal 32025YFU.</t>
  </si>
  <si>
    <t>Número: ECR 4593506
Descrição: 1. ECR PART 4593506_SPIN MY26 - LNCAP PCCR 14000_ Rear Bumper WH, 2. Release new Rear Bumper WH and extend the current one to MY26. (RPO_UDQ for 100%).
Sem necessidade de investimento para engenharia corte/lead prep</t>
  </si>
  <si>
    <t>CR-0166885-00</t>
  </si>
  <si>
    <t>Projeto: SPIN – SOP - MY2025
Família: ENGINE LHE/ LI3
Tipo: Cost Reduction
Número: CTO</t>
  </si>
  <si>
    <t>Descrição: 1. 1.) Remove PVC spiral tape in branches with up to three circuits.
Sem necessidade de investimento para engenharia corte/lead prep</t>
  </si>
  <si>
    <t>CR-0167626-00</t>
  </si>
  <si>
    <t>Projeto: SPIN – IVER - MY2026
Família: BODY
Tipo: EWO
Número: ECR 4595338</t>
  </si>
  <si>
    <t xml:space="preserve">
Favor considerar:
•	01 validação conforme norma USCAR38 – R$2 380,00
•	01 validação conforme norma GMW17136 – R$3 517,00
•	Scrap para validação R$75,00</t>
  </si>
  <si>
    <t>CR-0167663-00</t>
  </si>
  <si>
    <t>Projeto: SPIN – IVER - MY2026
Família: IP WH
Tipo: EWO
Número: ECR 4595338
Descrição: 1. IP - ECR PART 4595338 : G1NC - MY26 - PCCR 14000 - LNCAP</t>
  </si>
  <si>
    <t>ECR PART 4595338 : G1NC - MY26 - PCCR 14000 - LNCAP:
PAGE 2 - Add new branch for PAB Switch on IP WH (RPO_C99)
PAGE 4 - Update electrical diagram with SPIN MY26 content.
PAGE 5 - RPOs_&amp;UDQ and &amp;C99 for 100% of IP WH and Body WH.
PAGE 6 - New Distribution of RPO_&amp;UEU for Body WH and IP WH.
PAGE 8 - SDM Connector change due to closed cavities [11/12/13/14]
Sem necessidade de investimento para engenharia corte/lead prep</t>
  </si>
  <si>
    <t>CR-0167728-00</t>
  </si>
  <si>
    <t>SPIN – MVBs - MY2025 - Família: BODY
Tipo: WLL/TLL
Número: ISS-045687/ ISS-045686</t>
  </si>
  <si>
    <t>WLL and TLL application as request by the Process team.
Project Affected: SPIN - BODY - 52167938 - MY25 - MVBS.
Sem necessidade de investimento para engenharia corte/lead prep</t>
  </si>
  <si>
    <t>CR-0168042-00</t>
  </si>
  <si>
    <t>SPIN – SOP - MY2025
Família: FUEL PUMP
Tipo: SCR
Número: SCR: 257816
Descrição: 1. 1. SCR: 257816 - SPIN MY25 - FUEL PUMP WRG</t>
  </si>
  <si>
    <r>
      <t xml:space="preserve">Devido à obsolêcencia do terminal antigo, fornecedor Tyco solicitou a troca dos terminais:
DE 3202547I0 PARA E25651500
</t>
    </r>
    <r>
      <rPr>
        <b/>
        <sz val="11"/>
        <color theme="1"/>
        <rFont val="Calibri"/>
        <family val="2"/>
        <scheme val="minor"/>
      </rPr>
      <t>Caso tenhamos amostras para efetuar os testes e verificarmos se podemos ou não manter o aplicador anterior apenas trocando subtooling;
Favor considerar:
•	01 kit de aplicação para o terminal E25651500.
•	01 validação conforme norma USCAR 21 – R$3.517,00
•	Investimento condicionado a validação e liberação das aplicações.
Caos não tenhamos as amostras,
Favor considerar:
•	01 mini aplicador MRSJ1 para o terminal E25651500 – R$6.800,00 - Necessário caso o terminal não dê ajuste na ferramenta  3202547I0.
•	01 validação conforme norma USCAR 21 – R$3.517,00</t>
    </r>
    <r>
      <rPr>
        <sz val="11"/>
        <color theme="1"/>
        <rFont val="Calibri"/>
        <family val="2"/>
        <scheme val="minor"/>
      </rPr>
      <t xml:space="preserve">
</t>
    </r>
  </si>
  <si>
    <t>Projeto: VS30 – SORP – 2023_02
Família: BODY
Tipo: Issue</t>
  </si>
  <si>
    <t>CR-0167770-00</t>
  </si>
  <si>
    <t xml:space="preserve">Considerar sem impacto para corte Lead Prep.( Analise feita base delta Cut disponibilizado na CR )
Considerado 1 dia lote dos circuitos que será alterado comprimento  Scrap R$ 640,71
 </t>
  </si>
  <si>
    <t>CR-0164448-00</t>
  </si>
  <si>
    <t xml:space="preserve">
Projeto: SPIN – SOP - MY2025
Família: ENGINE
Tipo: EWO
Número: 4605437</t>
  </si>
  <si>
    <t>Update Wiring Harnesses PN for SOP to All Engine SPIN MY25
Print affected:
52167983 - Engine LI3 (Only blue mark on prints)
52169571 - Engine LHE (Only blue mark on prints)
apenas mudança de pn's
Sem necessidade de investimento para engenharia corte/lead prep</t>
  </si>
  <si>
    <t>CR-0165593-00</t>
  </si>
  <si>
    <t xml:space="preserve">VS30 – SORP – 2023_02
Família: BODY
Tipo: Release
Número: VAT2623
Assunto: 1. Release of new </t>
  </si>
  <si>
    <t>vS30</t>
  </si>
  <si>
    <t>CR-0168528-01</t>
  </si>
  <si>
    <t>Projeto: SPIN – MVBs - MY2025
Família: LICENSE PLATE
Tipo: ISSUE
Número: ISS-045942</t>
  </si>
  <si>
    <t>willian Naves</t>
  </si>
  <si>
    <t>Número: ISS-045942
Descrição: 1. TEARDOWN - SPIN - LICENSE PLATE - 52169548 - MY25 MVBS 52169548 - R004 Teardown Application requested by Logistics team. (Replacement PN 52179769 to 52183592)
Sem necessidade de investimento para engenharia corte/lead prep</t>
  </si>
  <si>
    <t>CR-0168958-00</t>
  </si>
  <si>
    <t>Projeto: SPIN – MVBs - MY2025
Família: OBJECT ALARM
Tipo: TLL
Número: ISS-045873</t>
  </si>
  <si>
    <t>Descrição: 1. 1. TLL application as request by the Process team. Project Affected: SPIN - OBJECT ALARM- 52167977 - MY25 - MVBS
Sem necessidade de investimento para engenharia corte/lead prep</t>
  </si>
  <si>
    <t>CR-0168955-00</t>
  </si>
  <si>
    <t>Projeto: SPIN – MVBs - MY2025
Família: BODY
Tipo: TLL
Número: ISS-045872</t>
  </si>
  <si>
    <t>Descrição: 1. TLL application as request by the Process team. Project Affected: SPIN - BODY - 52167938 - MY25 - MVBS.
Sem necessidade de investimento para engenharia corte/lead prep</t>
  </si>
  <si>
    <t>CR-0168576-00</t>
  </si>
  <si>
    <t xml:space="preserve">Projeto: SPIN – MVBs - MY2025
Família: OBJECT ALARM
Tipo: TEARDOWN
Número: ISS-045938 </t>
  </si>
  <si>
    <t>Descrição: 1. TEARDOWN - SPIN - OBJECT ALARM - 52167977 - MY25 MVBS. Teardown Application requested by Logistics
Sem necessidade de investimento para engenharia corte/lead prep</t>
  </si>
  <si>
    <t>CR-0168569-00</t>
  </si>
  <si>
    <t>Projeto: SPIN – MVBs - MY2025
Família: FRONT SEAT CO DR
Tipo: TEARDOWN
Número: ISS-045937</t>
  </si>
  <si>
    <t>Descrição: 1. TEARDOWN - SPIN - FRONT SEAT CO DR - 52168899 - MY25 MVBS. Teardown Application requested by Logistics team.
Sem necessidade de investimento para engenharia corte/lead prep</t>
  </si>
  <si>
    <t>CR-0168536-00</t>
  </si>
  <si>
    <t xml:space="preserve">Projeto: SPIN – MVBs - MY2025
Família: SPIN - FRONT SEAT DR
Tipo: TEARDOWN
Número: ISS-045936 </t>
  </si>
  <si>
    <t>Descrição: 1. TEARDOWN - SPIN - FRONT SEAT DR - 52168898 - MY25 MVBS. Teardown Application requested by Logistics team. 
Sem necessidade de investimento para engenharia corte/lead prep</t>
  </si>
  <si>
    <t>CR-0168535-00</t>
  </si>
  <si>
    <t>Projeto: SPIN – MVBs - MY2025
Família: SPIN - FUEL PUMP
Tipo: TEARDOWN
Número: ISS-045939</t>
  </si>
  <si>
    <t>Descrição: 1. TEARDOWN - SPIN - FUEL PUMP - 52169532 - MY25 MVBS. Teardown Application requested by Logistics team
Sem necessidade de investimento para engenharia corte/lead prep</t>
  </si>
  <si>
    <t>CR-0168533-00</t>
  </si>
  <si>
    <t>Projeto: SPIN – MVBs - MY2025
Família: SPIN - BODY
Tipo: TEARDOWN
Número: ISS-045935</t>
  </si>
  <si>
    <t>Descrição: 1. TEARDOWN - SPIN - BODY - 52167938 - MY25 MVBS. Teardown Application requested by Logistics team. 
Sem necessidade de investimento para engenharia corte/lead prep</t>
  </si>
  <si>
    <t>CR-0168525-00</t>
  </si>
  <si>
    <t>Projeto: SPIN – MVBs - MY2025
Família: SPIN - REAR SD DRIVER RH
Tipo: TEARDOWN
Número: ISS-045950</t>
  </si>
  <si>
    <t>Projeto: SPIN – MVBs - MY2025
Família: SPIN - REAR SD DRIVER RH
Tipo: TEARDOWN
Número: ISS-045950
Sem necessidade de investimento para engenharia corte/lead prep</t>
  </si>
  <si>
    <t>CR-0168527-00</t>
  </si>
  <si>
    <t xml:space="preserve">Projeto: SPIN – MVBs - MY2025
Família: SPIN - FRONT DOOR CO DR
Tipo: TEARDOWN
Número: : ISS-045944 </t>
  </si>
  <si>
    <t>Descrição: 1. TEARDOWN - SPIN - FRONT DOOR CO DR - 52167991 - MY25 MVBS 52167991 - R004 Teardown Application requested by Logistics team.
Sem necessidade de investimento para engenharia corte/lead prep</t>
  </si>
  <si>
    <t>CR-0168526-00</t>
  </si>
  <si>
    <t>Projeto: SPIN – MVBs - MY2025
Família: SPIN - FRONT DOOR DR
Tipo: TEARDOWN
Número: : ISS-045943</t>
  </si>
  <si>
    <t>Descrição: 1. TEARDOWN - SPIN - FRONT DOOR DR - 52167941 - MY25 MVBS 52167941 - R004 Teardown Application requested by Logistics team.
Sem necessidade de investimento para engenharia corte/lead prep</t>
  </si>
  <si>
    <t>CR-0168524-00</t>
  </si>
  <si>
    <t>Projeto: SPIN – MVBs - MY2025
Família: SPIN - REAR SD DRIVER LH
Tipo: TEARDOWN
Número: : ISS-045949</t>
  </si>
  <si>
    <t>Descrição: 1. TEARDOWN - SPIN - REAR SD DRIVER LH- 52169538 - MY25 MVBS. Teardown Application requested by Logistics team.
Sem necessidade de investimento para engenharia corte/lead prep</t>
  </si>
  <si>
    <t>CR-0168523-00</t>
  </si>
  <si>
    <t>Projeto: SPIN – MVBs - MY2025
Família: SPIN - LIFT GATE
Tipo: TEARDOWN
Número: : ISS-045948</t>
  </si>
  <si>
    <t>Descrição: 1. 1. TEARDOWN - SPIN - LIFT GATE - 52167964 - MY25 MVBS. Teardown Application requested by Logistics team.
Sem necessidade de investimento para engenharia corte/lead prep</t>
  </si>
  <si>
    <t>CR-0168519-00</t>
  </si>
  <si>
    <t>Projeto: SPIN – MVBs - MY2025
Família: SPIN - CONSOLE
Tipo: TEARDOWN
Número: : ISS-045941</t>
  </si>
  <si>
    <t>Descrição: 1. TEARDOWN - SPIN - CONSOLE - 52167974 - MY25 MVBS 52167974 - R004 Teardown Application requested by Logistics team.
Sem necessidade de investimento para engenharia corte/lead prep</t>
  </si>
  <si>
    <t>CR-0168522-00</t>
  </si>
  <si>
    <t>Projeto: SPIN – MVBs - MY2025
Família: SPIN - LIFT GATE EXT
Tipo: TEARDOWN
Número: : ISS-045947</t>
  </si>
  <si>
    <t>Descrição: 1. TEARDOWN - SPIN - LIFT GATE EXT - 52167967 - MY25 MVBS. Teardown Application requested by Logistics team.
Sem necessidade de investimento para engenharia corte/lead prep</t>
  </si>
  <si>
    <t>CR-0168511-00</t>
  </si>
  <si>
    <t>Projeto: SPIN – MVBs - MY2025
Família: IP
Tipo: TEARDOWN
Número: : ISS-045940</t>
  </si>
  <si>
    <t>Descrição: 1. TEARDOWN - SPIN - IP - 52167961 - MY25 MVBS 52167961 - R004 Teardown Application requested by Logistics team.
Sem necessidade de investimento para engenharia corte/lead prep</t>
  </si>
  <si>
    <t>CR-0168512-00</t>
  </si>
  <si>
    <t>Projeto: SPIN – MVBs - MY2025
Família: ENGINE LI3
Tipo: TEARDOWN
Número: : ISS-045946</t>
  </si>
  <si>
    <t>Descrição: 1. TEARDOWN - SPIN - ENGINE LI3 - 52167983 - MY25 MVBS. Teardown Application requested by Logistics team.
Sem necessidade de investimento para engenharia corte/lead prep</t>
  </si>
  <si>
    <t>CR-0169036-00</t>
  </si>
  <si>
    <t>Projeto: SPIN – MVBs - MY2025
Família: BODY
Tipo: TEWO
Número: 4627863
Descrição: 1. WRH HRN BODY - SPIN MY25</t>
  </si>
  <si>
    <t xml:space="preserve">TWO 4627863
1) Change Clip FROM 24259074 TO 15416149
2) Change clip according Spin NP – From Aptiv 15495830 to Aptiv 15495827 (Item 2 has been commented in MARKUP, use item 2 until completely consumed before entering the new one).
Sem necessidade de investimento para engenharia corte/lead prep
</t>
  </si>
  <si>
    <t>CR-0167614-00</t>
  </si>
  <si>
    <t>Projeto: GEM – MVBs - MY2025
Família: IP WH
Tipo: Cost Reduction
Número: 
Descrição: 1. IP 52181682</t>
  </si>
  <si>
    <t>Change the USB E29371000 to E44914100 this change only affects dimensions.
Sem necessidade de investimento para engenharia corte/lead prep</t>
  </si>
  <si>
    <t>CR-0168155-00</t>
  </si>
  <si>
    <t>Projeto: GEM – MVBs - MY2025
Família: DRIVER DOOR
Tipo: WLL/TLL
Número: ISS-045850</t>
  </si>
  <si>
    <t>Descrição: 1. WLL application carried out as requested by the Processes team.
Affected project - GEM - DRIVER DOOR - 52181691 - MY25 - MVBS
Sem necessidade de investimento para engenharia corte/lead prep</t>
  </si>
  <si>
    <t>CR-0168156-00</t>
  </si>
  <si>
    <t>Projeto: GEM – MVBns - MY2025
Família: CO DRIVER DOOR
Tipo: WLL/TLL
Número: ISS-045849</t>
  </si>
  <si>
    <t>Descrição: 1. 1. WLL application carried out as requested by the Processes team.
Affected project - GEM - CO DRIVER DOOR - 52181695 - MY25 - MVBNS.
Favor considerar:
•	Scrap – R$ 6.845,27</t>
  </si>
  <si>
    <t>CR-0168267-00</t>
  </si>
  <si>
    <t>Projeto: GEM – APPV - MY2026
Família: BODY
Tipo: EWO
Número: 4590640</t>
  </si>
  <si>
    <t>Descrição: 1. GEM B NARROW BODY HARNESS 52182307 MY26 MVBS
Sem necessidade de investimento para engenharia corte/lead prep</t>
  </si>
  <si>
    <t>12;46</t>
  </si>
  <si>
    <t>CR-0168626-00</t>
  </si>
  <si>
    <t>Projeto: GEM – MVBs - MY2026
Família: IP/ENGINE/BODY/Lift Gate/Door´s
Tipo: EWO
Número: 4489010</t>
  </si>
  <si>
    <t>Descrição: 1. Esta CR foi criada apenas para analise dos investimentos referente a evolução da CG4210 para os itens mostrados no anexos para o MY26.
Só não vamos considerar os circuitos para teste de impedancia (Item 11.5.4) .
Devemos Considerar os cabos de antena e USB.
As modificações tecnicas do produto serão cotadas através de outras CRs especificas.
Sem necessidade de investimento para engenharia corte/lead prep</t>
  </si>
  <si>
    <t>CR-0169445-00</t>
  </si>
  <si>
    <t>Projeto: SPIN – Running change - MY2025
Família: Engine LI3
Tipo: Cost Reduction
Número: CTO
Descrição: 1. CTO SPIN - ENGINE LI3</t>
  </si>
  <si>
    <t>Replace Tape Orange - Injectors Branchs -
FROM: E29473000 (TD-DBA-BAA-OR)
TO: E06656600 (TD-DDA-BAA-OR)Sem necessidade de investimento para engenharia corte/lead prep</t>
  </si>
  <si>
    <t>GEM – MVBs - MY2025
Família: IP WH
Tipo: EWO
Número: 4485336
Descrição: 1. 1. 1. GEM B NARROW I/P 26415448</t>
  </si>
  <si>
    <t xml:space="preserve">
CR não analisada pelo time de corte e lead prep, conforme email  não é necessário pois parte técnica já está respondida na CR CR-0151142-01.
</t>
  </si>
  <si>
    <t>CR-0162211-00</t>
  </si>
  <si>
    <t xml:space="preserve"> GEM - SAO
Program Phase: APPV
Model Year Code (if applicable): 2026
Ref Doc Number: EWO 4489010</t>
  </si>
  <si>
    <t xml:space="preserve">
•	4 mini aplicadores
•	8 validações conforme norma USCAR21
•	17  validações conforme norma USCAR45
•	2  validações conforme norma USCAR 38
•	31 validações conforme norma GMW17136.
•	5 pacotes de polaseal.
•	2 Rolos Contact 
•	6 Rolos dupla face
•	40 horas de gráfica.
•	1 rolo de vinil ( Para gráfica lear )
•	480 horas técnicas para validações
•	Scrap R$ R$ 22.832,72  Conforme alinhamento com Logística @Chagas, Robson Dos Santos
Foi analisado e encontrado inconsistência em algumas aplicações:
Segue abaixo as inconsistências encontradas, e já está sendo tratado pelo ABarbosa@lear.com
</t>
  </si>
  <si>
    <t>CR-0167911-00</t>
  </si>
  <si>
    <t xml:space="preserve">Considerar sem impacto para corte e Lead Prep.
</t>
  </si>
  <si>
    <t xml:space="preserve">Considerar sem impacto para corte e lead Prep.
Scrap	R$ 188,48
</t>
  </si>
  <si>
    <t>VS30 – SORP – 2023_02
Família: IP WH
Tipo: Release/PFD
Número: PFD-VS30-BR907-AEHJ2023_02-2537_LU</t>
  </si>
  <si>
    <t>CR-0169027-00</t>
  </si>
  <si>
    <t>CR-0168269-00</t>
  </si>
  <si>
    <t>APORVAÇÃO DE DT e VT</t>
  </si>
  <si>
    <t xml:space="preserve">OK  </t>
  </si>
  <si>
    <t>envio de DT e VT</t>
  </si>
  <si>
    <t>1 Aplicador para Terminal Splice CLIP E40086800</t>
  </si>
  <si>
    <t>1 Prensa mecal de 4 Toneladas com adequação NR12 para Aplicação Terminal Splice CLIP E40086800 (SPLC CLIP,Cu CORE,Sn PLT,390275)</t>
  </si>
  <si>
    <t xml:space="preserve">1 validação de terminais E09996900 conforme Norma VS30. </t>
  </si>
  <si>
    <t xml:space="preserve">
1 validação de terminais Splice CLIP E40086800 Norma VS30. 
</t>
  </si>
  <si>
    <t>N/A</t>
  </si>
  <si>
    <t>REQUISIÇÃO</t>
  </si>
  <si>
    <t>Aprovado para o terminal E40086800 (11/12/2023 às 09:11)</t>
  </si>
  <si>
    <t>PO</t>
  </si>
  <si>
    <t>DATA DE CEGADA</t>
  </si>
  <si>
    <t>VALIDAÇÃO</t>
  </si>
  <si>
    <t>APROVAÇÃO DA VALIDAÇÃO</t>
  </si>
  <si>
    <t>ENVIO PARA QUALIDADE</t>
  </si>
  <si>
    <t>1 aplicador TE para terminal E03732200 ( diversidade de Circuitos )</t>
  </si>
  <si>
    <t>1 aplicador TE para terminal 3202581Z7 ( diversidade de Circuitos )</t>
  </si>
  <si>
    <t>1 aplicador TE para terminal E04004100 ( diversidade de Circuitos )</t>
  </si>
  <si>
    <t>1 aplicador TE para terminal E04848200 ( diversidade de Circuitos )</t>
  </si>
  <si>
    <t>2 caixas de Poleaseal</t>
  </si>
  <si>
    <t>8 rolos de dupla Face</t>
  </si>
  <si>
    <t>1 aplicador TE para terminal E03355600. ( Será Usado No Lead Prep. necessário devido conflito entre os processos de Corte e lead Prep.)</t>
  </si>
  <si>
    <t>1 aplicador TE para terminal E03999200. ( Será Usado No Lead Prep. necessário devido conflito entre os processos de Corte e lead Prep.)</t>
  </si>
  <si>
    <t>1 aplicador TE para terminal E04004100. ( Usado no dois lados dos circuitos temos apenas 1 Aplicador )</t>
  </si>
  <si>
    <t>1 Aplicador TE para terminal E04848200. ( Devido Acréscimo de circuitos acima de 8.000mm será distribuído para Maquina Coiler CC64 )</t>
  </si>
  <si>
    <t>1 caixa de Polaseal</t>
  </si>
  <si>
    <t>1 rolo de papel contact.</t>
  </si>
  <si>
    <t>1 rolo de Dupla Face</t>
  </si>
  <si>
    <t>1 aplicador TE para terminal E00309500.( para uso no lead Prep. Seal Crimp )
Lead Time após liberação da Verba. 78 dias</t>
  </si>
  <si>
    <t xml:space="preserve">
1 máquina de decape (Komax MIRA ) aproximadamente R$56.500,00  ( investimento necessário para garantir corte do dreno e do cabo marrom no comprimento correto vide anexo )
Scrap. R$ 623,00
</t>
  </si>
  <si>
    <t>Considerar Sem impacto par corte e lead Prep.
 Analise feita base documentação disponibilizado na CR, BOM-COMPARISON_A9070011599_B05_10120, PFD-VS30-BR907-AEHJ2023_02-2500_LU e DELTA-LABOR_A9070011599_B05_10120</t>
  </si>
  <si>
    <t>enviado para cotação dia 11/12/2023 às 13:35 h.</t>
  </si>
  <si>
    <t>Aplicadores</t>
  </si>
  <si>
    <t>Prensa</t>
  </si>
  <si>
    <t>Validações</t>
  </si>
  <si>
    <t>EQUIPAMENTO</t>
  </si>
  <si>
    <t>Data de Entrega</t>
  </si>
  <si>
    <t>NOVO</t>
  </si>
  <si>
    <t>Retrofit CAM</t>
  </si>
  <si>
    <t>DUPLICAÇÃO</t>
  </si>
  <si>
    <t>-</t>
  </si>
  <si>
    <t>Aplicador para terminal E09996900 ( 927829-5 )</t>
  </si>
  <si>
    <t>Equipamento</t>
  </si>
  <si>
    <t>1 Validação de crimpagem conforme Norma VS30.
conforme informação O fornecedor estou considerando que vamos utilizar mesmo aplicador do terminal 32025YFU. Mesmo Aplicador</t>
  </si>
  <si>
    <t>LEAD TIME</t>
  </si>
  <si>
    <t>Inicio do processo</t>
  </si>
  <si>
    <t>CR-0166887-00</t>
  </si>
  <si>
    <t xml:space="preserve">
Considerar sem impacto para corte e Lead Prep.( Analise base BOM COMPARISON disponibilizado para analise)
</t>
  </si>
  <si>
    <t xml:space="preserve"> CR-0167911-00</t>
  </si>
  <si>
    <t xml:space="preserve">
Considerar sem impacto para corte e Lead Prep.</t>
  </si>
  <si>
    <r>
      <t xml:space="preserve">Considerar para corte e Lead prep. ( Analise realizada base delta cut , delta BOM, e Market deployment list 2023_2_20231004 )
1 aplicador TE para terminal E03355600. ( Será Usado No Lead Prep. necessário devido conflito entre os processos de Corte e lead Prep.)
1 aplicador TE para terminal E03999200. ( Será Usado No Lead Prep. necessário devido conflito entre os processos de Corte e lead Prep.)
1 aplicador TE para terminal E04004100. ( Usado no dois lados dos circuitos temos apenas 1 Aplicador )
1 Aplicador TE para terminal E04848200. ( Devido Acréscimo de circuitos acima de 8.000mm será distribuído para Maquina Coiler CC64 )
1 operador para maquina Twister. ( necessário T2 )
1 caixa de Polaseal
1 rolo de papel contact.
1 rolo de Dupla Face
55  horas operacionais para confecção amostras validação das twisters no processo.
20 horas técnicas para cadastro da twisters nas maquinas e validação do Processo.
Scrap R$ 1.224,39  Validação Processo de twisters.
Sim podemos seguir desde que  as premissas dos comprimentos seja corrigido para que possa ser possível de processar nos equipamentos.
Para circuitos de corte comprimento mínimo é 75mm.
Para circuitos de twisters comprimento mínimo é 380mm.
</t>
    </r>
    <r>
      <rPr>
        <b/>
        <sz val="11"/>
        <color theme="1"/>
        <rFont val="Calibri"/>
        <family val="2"/>
        <scheme val="minor"/>
      </rPr>
      <t xml:space="preserve">Sim podemos seguir desde que  as premissas dos comprimentos seja corrigido para que possa ser possível de processar nos equipamentos.
Para circuitos de corte comprimento mínimo é 75mm.
Para circuitos de twisters comprimento mínimo é 380mm.
</t>
    </r>
  </si>
  <si>
    <t xml:space="preserve"> CR-0166350-00</t>
  </si>
  <si>
    <t xml:space="preserve">
CR não analisada pelo time de corte e lead prep, conforme email  não é necessário pois parte técnica já está respondida na CR CR-0151142-01.
</t>
  </si>
  <si>
    <t xml:space="preserve">Considerar sem impacto para corte Lead prep. 
Scrap R$ 113,68  circuito Wire Nb 6817 morrendo.         </t>
  </si>
  <si>
    <t>CR-0168559-00</t>
  </si>
  <si>
    <t>GEM – APPV - MY2026
Família: FRONT DOOR
Tipo: EWO
Número: 4590640</t>
  </si>
  <si>
    <t>Nº RC</t>
  </si>
  <si>
    <t>Nº PO</t>
  </si>
  <si>
    <t>enviado para aprovação dia quar 13/12/2023 13:04</t>
  </si>
  <si>
    <t>Liberação</t>
  </si>
  <si>
    <t>liberado pela Aline dia qua 13/12/2023 15:02</t>
  </si>
  <si>
    <t>CR-0169320-00</t>
  </si>
  <si>
    <t xml:space="preserve">
Projeto: SPIN – SOP - MY2025
Família: BODY / IP
Tipo: TEWO
Número: 4632671
Descrição: 1. DRAWING AFFECTED:
BODY AND IP WH</t>
  </si>
  <si>
    <t>1) Change FUSE (F33) according mark up below.
2) Change electrical diagram according mark up below only for accessory FOG LAMP KIT.
Sem necessidade de investimento para engenharia corte/ lead prep</t>
  </si>
  <si>
    <t>GEM – APPV - MY2027
Família: ENGINE
Tipo: EWO
Número: EWO 4489010
Descrição: 1. ENGINE HARNESS 52182381
MY2027 DESIGN CHANGE</t>
  </si>
  <si>
    <t>CR-0166995-00</t>
  </si>
  <si>
    <t>CR-0168949-00</t>
  </si>
  <si>
    <t xml:space="preserve">GEM – APPV - MY2026
Família: IP EXT
Tipo: CR
Número: 4590640
Descrição: 1. GM GEM MY26 IP EXT 26415444
</t>
  </si>
  <si>
    <t>Favor considerar sem impacto para corte e lead Prep.</t>
  </si>
  <si>
    <t xml:space="preserve">GEM – APPV - MY2026
Família: BODY
Tipo: EWO
Número: EWO 4590640
Descrição: 1. GEM B NARROW BODY HARNESS 52181680 --&gt; 52182306 MY26/MY27 APPV
</t>
  </si>
  <si>
    <t xml:space="preserve">18 validações conforme Norma USCAR 45
19 validações conforme Norma GMW 17136
3 validações conforme Norma USCAR 38
320 horas técnicas.
Analise de Scrap considerando 1 dia de estoque base LCR 1280 Cars dia, @Martins, Guilherme; @Chagas, Robson Dos Santos  favor  validar os valores e revisar se necessário em anexo circuitos que estão saindo conforme delta cut da CCR-0168269-00
scrap 1 dia LCR 1280 TAKE RATE	Scrap circuitos	 R$                   107.130,14 
scrap 1 dia LCR 1280 TAKE RATE	Scrap tubo	R$                      823,97
scrap 1 dia LCR 1280 TAKE RATE	Scrap Splice pronta	 R$                     34.044,28 
scrap 1 dia LCR 1280 TAKE RATE	Scrap Multicrimp pronta	 R$                       2.074,27 
scrap 1 dia LCR 1280 TAKE RATE	Scrap Termo	 R$                       2.832,45 
Scrap Total 	 R$                   146.905,11 </t>
  </si>
  <si>
    <t>GEM – APPV - MY2027
Família: ENGINE             
Tipo: EWO
Número: EWO 4489010
Descrição: 1. ENGINE HARNESS 52185602
MY2027 DESIGN CHANGE</t>
  </si>
  <si>
    <t>CR-0169030-00</t>
  </si>
  <si>
    <t>CR-0170537-00</t>
  </si>
  <si>
    <t>Projeto: SPIN – SOP - MY2025
Família: Engine LI3
Tipo: Cost Reduction
Número: CTO
Descrição: 1. CTO PROPOSAL - ENGINE LI3</t>
  </si>
  <si>
    <t>Replace tape
From: E29473000 (150°C - 19mm)
To: E04675700 (125°C - 9mm)
Sem necessidade de investimento para engenharia corte/ lead prep.</t>
  </si>
  <si>
    <t>CR-0170542-00</t>
  </si>
  <si>
    <t xml:space="preserve">Projeto: SPIN – SORP - MY2025
Família: LIFT GATE
Tipo: Issue
Número: ISS-046285
</t>
  </si>
  <si>
    <t>Descrição: 1. WLL application as requested by the Process team.
Project affected - SPIN - LIFT GATE - 52167964 - MY25 - SORP..
Sem necessidade de investimento para engenharia corte/ lead prep.</t>
  </si>
  <si>
    <t>CR-0170543-00</t>
  </si>
  <si>
    <t>Projeto: SPIN – SORP - MY2025
Família: ENGINE LHE
Tipo: WLL/TLL
Número: ISS-046287</t>
  </si>
  <si>
    <t>Descrição: 1. TLL application as request by the Process team.
Project Affected: SPIN - ENGINE LHE - 52169571 - MY25 - MVBS.
Sem necessidade de investimento para engenharia corte/ lead prep.</t>
  </si>
  <si>
    <t>CR-0169437-00</t>
  </si>
  <si>
    <t>Projeto: SPIN – Running change - MY2025
Família: BODY
Tipo: Cost Reduction
Número: Splice Relocation</t>
  </si>
  <si>
    <t>Descrição: 1. CTO PROPOSAL --&gt; Splice Relocation --&gt; BODY (SPIN MY25)
Sem necessidade de investimento para engenharia corte/ lead prep.</t>
  </si>
  <si>
    <t>CR-0169551-00</t>
  </si>
  <si>
    <t>Projeto: SPIN – MVBs - MY2025
Família: SEAT DRIVER
Tipo: WLL/TLL
Número: ISS-046088</t>
  </si>
  <si>
    <t>Descrição: 1. TLL application as request by the Process team.
Project Affected: SPIN - FRONT SEAT DR - 52168898 - MY25 - MVBS.
Sem necessidade de investimento para engenharia corte/ lead prep.</t>
  </si>
  <si>
    <t>CR-0169667-00</t>
  </si>
  <si>
    <t>Projeto: SPIN – MVBs - MY2025
Família: SEAT CO DRIVER
Tipo: WLL/TLL
Número: ISS-046087</t>
  </si>
  <si>
    <t xml:space="preserve">Descrição: 1. TLL application as request by the Process team.
Project Affected: SPIN - FRONT SEAT CO DR - 52168899 - MY25 - MVBS.
</t>
  </si>
  <si>
    <t>CR-0169330-00</t>
  </si>
  <si>
    <t xml:space="preserve">GEM – APPV - MY2027
Família: ENGINE
Tipo: EWO
Número: EWO 4489010
Descrição: 1. ENGINE HARNESS 52185602
</t>
  </si>
  <si>
    <t>CR-0169693-01</t>
  </si>
  <si>
    <t>GEM – MVBs - MY2025
Família: REAR DOOR
Tipo: WLL/TLL
Número: ISS-045853</t>
  </si>
  <si>
    <t xml:space="preserve">
Considerar sem impacto para corte e Lead Prep.
1 dia LCR     Scrap R$         8.717,76
</t>
  </si>
  <si>
    <t xml:space="preserve"> CR-0169694-01</t>
  </si>
  <si>
    <t xml:space="preserve">
Considerar  sem scrap para corte e Lead Prep. 
Scrap R$         2.139,90 </t>
  </si>
  <si>
    <t>GEM – MVBs - MY2025
Família: REAR DOOR
Tipo: WLL/TLL
Número: ISS-045854</t>
  </si>
  <si>
    <t>GEM – MVBs - MY2025
Família: REAR DOOR
Tipo: WLL/TLL
Número: ISS-045851</t>
  </si>
  <si>
    <t>CR-0169696-00</t>
  </si>
  <si>
    <t xml:space="preserve">Considerar sem impacto para corte e lead Prep.
Scrap   R$         2.011,92 
</t>
  </si>
  <si>
    <t xml:space="preserve"> CR-0169697-00</t>
  </si>
  <si>
    <t xml:space="preserve">Considerar sem impacto para corte e lead Prep.
Scrap  R$         2.808,39 
</t>
  </si>
  <si>
    <t xml:space="preserve">
Projeto: GEM – MVBs - MY2025
Família: REAR DOOR
Tipo: WLL/TLL
Número: ISS-045852</t>
  </si>
  <si>
    <t xml:space="preserve">Considerar sem impacto para corte e Lead Prep.
1 dia LCR     Scrap   R$        14.318,05 
</t>
  </si>
  <si>
    <t>CR-0170124-00</t>
  </si>
  <si>
    <t>GEM – MVBs - MY2025
Família: BODY
Tipo: WLL/TLL
Número: ISS-045870</t>
  </si>
  <si>
    <t xml:space="preserve">Considerar sem impacto para corte e lead prep. 
Scrap já reportado na CR-0170124-00
</t>
  </si>
  <si>
    <t>CR-0170148-00</t>
  </si>
  <si>
    <t>GEM – MVBs - MY2025
Família: BODY
Tipo: WLL/TLL
Número: ISS-045871</t>
  </si>
  <si>
    <t>GEM – APPV - MY2026
Família: FRONT DOORS
Tipo: EWO
Número: 4590640
Descrição: 1. GEM B NARROW FR DOOR DRIVER 52181691 and Co-DRIVER 52181695
1. Update Matrix</t>
  </si>
  <si>
    <t>CR-0168559-01</t>
  </si>
  <si>
    <t>Restrição</t>
  </si>
  <si>
    <t>CR-0168267-01</t>
  </si>
  <si>
    <t>GEM – APPV - MY2027
Família: BODY
Tipo: EWO
Número: 4590640</t>
  </si>
  <si>
    <t xml:space="preserve">
1 calha de selo para selo 3299571G9 
5 validações conforme USCAR45
5 validações conforme GMW17136
3 validações conforme norma USCAR21
 112 Horas técnicas
1 pacotes de Polaseal
2 rolos de dupla Face  
1 rolos de papel contact 
@Martins, Guilherme e @Chagas, Robson Dos Santos favor  validar os valores e revisar se necessário em anexo circuitos que estão saindo ou alterando conforme delta cut.
Considerando 1 dia de estoque MCR  Scrap circuitos                           R$ 10.201,19 
Considerando 1 dia de estoque MCR Total  scrap Tubo                        R$ 471,89 
Considerando 1 dia de estoque MCR Total  Scrap  Splice Pronta       R$ 3.520,70 
Amostra Validação Splice USCAR 45  R$   519,83 
Amostras validação USCAR 21            R$   910,79 </t>
  </si>
  <si>
    <t>CR-0168269-01</t>
  </si>
  <si>
    <t>GEM – APPV - MY2027
Família: BODY
Tipo: EWO
Número: EWO 4590640</t>
  </si>
  <si>
    <t xml:space="preserve">
Investimento já reportado na CR-0168267-01  ( Analise realizada base Delta Cut  implementação condicionada, aprovação dos testes conforme normas especificadas, e investimentos reportados na CR-0168267-01.)
@Martins, Guilherme e @Chagas, Robson Dos Santos favor  validar os valores e revisar se necessário em anexo circuitos que estão saindo ou alterando conforme delta cut.
Considerando 1 dia de estoque MCR  Scrap circuitos                           R$ 9.076,63 
Considerando 1 dia de estoque MCR Total  scrap Tubo                        R$ 447,50
Considerando 1 dia de estoque MCR Total  Scrap  Splice Pronta       R$ 1.807,21</t>
  </si>
  <si>
    <t>CR-0170783-00</t>
  </si>
  <si>
    <t>VS30 – SORP – 2023_02
Família: IP WH
Tipo: PFD
Número: PFD-VS30-BR907-AEHJ2023_02-2514_LU / 2536_lu
Assunto: 1. Affected drawing: A9070011599 (IP), 2. Modular change</t>
  </si>
  <si>
    <t xml:space="preserve">
Considerar sem impacto para corte e Lead Prep.( Analise realizada base delta CUT disponibilizado.)
</t>
  </si>
  <si>
    <r>
      <t xml:space="preserve">1 Aplicador Mecal modelo MRSP1 para terminal 3202576Q6  (  já reportado na CR-0166995-00 )
1 Aplicador Mecal modelo MRSP1 para terminal E00164500 (  já reportado na CR-0166995-00 )
1 Aplicador Mecal modelo MRSP1 para terminal E00004964 (  já reportado na CR-0166995-00 )
1 Aplicador Mecal modelo MRSP1 para terminal E03887200 (  já reportado na CR-0166995-00 )
</t>
    </r>
    <r>
      <rPr>
        <strike/>
        <sz val="11"/>
        <color theme="1"/>
        <rFont val="Calibri"/>
        <family val="2"/>
        <scheme val="minor"/>
      </rPr>
      <t xml:space="preserve">1 Maquina de solda ultrassônica Modelo DS20-GT para Terminal E16092500
</t>
    </r>
    <r>
      <rPr>
        <sz val="11"/>
        <color theme="1"/>
        <rFont val="Calibri"/>
        <family val="2"/>
        <scheme val="minor"/>
      </rPr>
      <t xml:space="preserve">3 validações conforme norma USCAR 21
5 validações conforme norma USCAR 45
8 validações conforme norma GMW17136
1 validação conforme Norma USCAR38
130  horas técnicas 
</t>
    </r>
    <r>
      <rPr>
        <strike/>
        <sz val="11"/>
        <color theme="1"/>
        <rFont val="Calibri"/>
        <family val="2"/>
        <scheme val="minor"/>
      </rPr>
      <t>1 Rack de entrada de circuitos
1 Rack de saída de circuitos
1 tapete ergonômico
1 Bancada para Máquina DS20-GT 
1 Gabarito para retração do termo.
1 extrator de PVC
1 suporte para Monitor 
1 calha disposição dos cabos durante processo de Soldagem
1 Adequação NR12 para solda ultrassônica Modelo DS20-GT 
1 Infra elétrica e pneumática para instalação da máquina (elétrica 380 volts )</t>
    </r>
    <r>
      <rPr>
        <sz val="11"/>
        <color theme="1"/>
        <rFont val="Calibri"/>
        <family val="2"/>
        <scheme val="minor"/>
      </rPr>
      <t xml:space="preserve">
3 pacotes de Polaseal
4 rolos de dupla Face 
2 rolos de papel contact
solda foi retirado investimento ja temos na Planta.( errata enviado email dia 13-01--2024)</t>
    </r>
  </si>
  <si>
    <t>CR-0170489-00</t>
  </si>
  <si>
    <t>GEM – APPV - MY2027
Família: IP WH
Tipo: CR
Número: ECR4590640</t>
  </si>
  <si>
    <t>1 Aplicador Mecal modelo MRSP1 para terminal E00031625
1 Aplicador Mecal modelo MRSP1 para terminal 32025Y19G
1 Aplicador Mecal modelo MRSP1 para terminal E01080600
1 Aplicador Mecal modelo MRSP1 para terminal 32025Y3B8
2 Aplicador Mecal modelo MRSP1 para terminal E05869700
1 Aplicador Mecal modelo MRSP1 para terminal 32025Y36A
1 Aplicador Mecal modelo MRSP1 para terminal E32673300
1 Aplicador Mecal modelo MRSP1 para terminal 320298243
14 validações conforme norma USCAR 21
2 validações conforme norma USCAR 38
24 validações conforme norma USCAR 45
24 validações conforme norma GMW17136
512  horas técnicas
3 pacotes de Polaseal
4 rolos de dupla Face
2 rolos de papel contact
Scrap amostras validação R$ 3.034,66
Considerando 1 dia de estoque MCR Total Scrap  R$ 23.019,24  @Martins,@Chagas, Robson Dos Santos favor  validar os valores e revisar se necessário em anexo circuitos que estão saindo ou alterando conforme delta CUT</t>
  </si>
  <si>
    <t>CR-0171708-00</t>
  </si>
  <si>
    <t>VS30 – SORP – 2023_02
Família: BODY
Tipo: PFD</t>
  </si>
  <si>
    <t xml:space="preserve">
Considerar sem impacto para corte e lead Prep.( Analise realizada base Delta Cut e BOM COMPARISON disponibilizado).</t>
  </si>
  <si>
    <t xml:space="preserve">Considerar sem impacto para corte e Lead Prep.( Analise realizada base delta Cut Delta BOM.)
</t>
  </si>
  <si>
    <t>CR-0171841-00</t>
  </si>
  <si>
    <t>GEM – APPV - MY2026
Família: ENGINE
Tipo: Cost Reduction
Número: 
Descrição: 1. ENGINE HARNESS 52182665
ECR4633774 -DELETE DERIVATIVE</t>
  </si>
  <si>
    <t>CR-0171201-00</t>
  </si>
  <si>
    <t>Projeto: SPIN – SOP - MY2025
Família: BODY
Tipo: Cost Reduction
Número: EBCM Connector Changes
Descrição: 1. CTO PROPOSAL --&gt; EBCM Blocked Cavities Connector Change --&gt; BODY (SPIN MY25)</t>
  </si>
  <si>
    <t>Change Proposal:
1) Replace EBCM Connector (Blocked Cavities)
From: E37069400
To: E45540000
Same item, but cavities: 4,5,6,7,8,9,10,11,12,17,23,24,26,27,28,30,36,37 blocked.
** Remove 18 Cavites 3204558V4**
Prints affected:
52167938 --&gt; BODY
Considerar sem impacto para corte e Lead Prep.( Analise realizada base delta Cut Delta BOM.)</t>
  </si>
  <si>
    <t>CR-0171212-00</t>
  </si>
  <si>
    <t>Projeto: SPIN – SOP - MY2025
Família: BODY
Tipo: Cost Reduction
Número: ISS-046007
Descrição: 1. CTO PROPOSAL / ISS-046007 --&gt; BODY (SPIN MY25)</t>
  </si>
  <si>
    <t>Change Proposal:
1) Criar um tubo único para o trecho RN1000 a RN34 para quando for somente o ramal X600X500B_X1 no chicote.
Prints affected:
52167938 --&gt; BODY
Considerar sem impacto para corte e Lead Prep.( Analise realizada base delta Cut Delta BOM.)</t>
  </si>
  <si>
    <t>CR-0171214-00</t>
  </si>
  <si>
    <t>Projeto: SPIN – SOP - MY2025
Família: FRONT SEAT DRIVER / FRONT SEAT CO DRIVER
Tipo: Cost Reduction
Número: ISS-043753
Descrição: 1. CTO PROPOSAL / ISS-043753 --&gt; FRONT SEAT DRIVER / CO DRIVER (SPIN MY25)</t>
  </si>
  <si>
    <t xml:space="preserve">Change Proposal:
1) Realizar ajuste nos comprimentos os Squibs dos chicotes Front Seat SPIN.
Prints affected:
52168898 --&gt; FRONT SEAT DRIVER
52168899 --&gt; FRONT SEAT CO DRIVER
</t>
  </si>
  <si>
    <t xml:space="preserve"> CR-0171283-00</t>
  </si>
  <si>
    <t>Projeto: SPIN – Running change - MY2025
Família: IP WH
Tipo: SCR
Número: SCR#281448
Descrição: 1. AFFECTED DRAWING: 52167961 (IP WIRING HARNESS)</t>
  </si>
  <si>
    <r>
      <t>TERMINAL CHANGE ACCORDING TO SCR 281448:
FROM: E09325200
TO</t>
    </r>
    <r>
      <rPr>
        <sz val="12"/>
        <color theme="1"/>
        <rFont val="Calibri"/>
        <family val="2"/>
        <scheme val="minor"/>
      </rPr>
      <t>:</t>
    </r>
    <r>
      <rPr>
        <sz val="11"/>
        <color theme="1"/>
        <rFont val="Calibri"/>
        <family val="2"/>
        <scheme val="minor"/>
      </rPr>
      <t xml:space="preserve"> E32673300
Favor considerer:
•	04 kits para transformação das ferramentas de  E09325200 para  E32673300 incluindo placas de identificação e relatórios de aplicação /  documentação.
Não é necessário validação porque os cabos aplicados atualmente para o terminal novo E32673300 já possuem validação para o bitola de 0,35 mm², 65860 e 65763.</t>
    </r>
  </si>
  <si>
    <t>CR-0171485-00</t>
  </si>
  <si>
    <t>14;22</t>
  </si>
  <si>
    <t xml:space="preserve">Projeto: SPIN – SORP - MY2025
Família: BODY
Tipo: WLL/TLL
Número: ISS-046456 - ISS-046286
</t>
  </si>
  <si>
    <t>Descrição: 1. WLL e TLL application as request by the Process team.
Project Affected: SPIN - BODY - 52167938 - MY25 - SORP.
Sem necessidade de investimento para engenharia corte/ lead prep.</t>
  </si>
  <si>
    <t>CR-0160523-00</t>
  </si>
  <si>
    <t>Projeto: SPIN – SORP - MY2025
Família: REAR DOOR RH
Tipo: WLL/TLL
Número: ISS-043268</t>
  </si>
  <si>
    <t>14;24</t>
  </si>
  <si>
    <t>Descrição: 1. WLL application as requested by the Process team.
Project Affected - SPIN - REAR DOOR RH - 52169539 - MY25 - MVBNS .
Sem necessidade de investimento para engenharia corte/ lead prep.</t>
  </si>
  <si>
    <t>13;18</t>
  </si>
  <si>
    <t>CR-0171875-00</t>
  </si>
  <si>
    <t>Projeto: SPIN – SORP - MY2025
Família: IP WH
Tipo: Issue
Número: ISS-046457</t>
  </si>
  <si>
    <t>Descrição: 1. WLL application as requested by the Process team.
Project Affected - SPIN - IP - 52167961 - MY25 - SORP;
Sem necessidade de investimento para engenharia corte/ lead prep.</t>
  </si>
  <si>
    <t>13;31</t>
  </si>
  <si>
    <t>CR-0171968-00</t>
  </si>
  <si>
    <t>Projeto: SPIN – SOP - MY2025
Família: FRONT SEAT DRIVER / FRONT SEAT CO DRIVER
Tipo: Issue</t>
  </si>
  <si>
    <t>Change Proposal:
1) Change clipe FROM E14064200 TO E27834600
Prints affected:
52168898 --&gt; FRONT SEAT DRIVER
52168899 --&gt; FRONT SEAT CO DRIVER
Sem necessidade de investimento para engenharia corte/ lead prep.</t>
  </si>
  <si>
    <t>CR-0171976-00</t>
  </si>
  <si>
    <t>Projeto: SPIN – SOP - MY2025
Família: FUEL TANK
Tipo: Cost Reduction
Número: CHANGE SEAL</t>
  </si>
  <si>
    <t>Descrição: 1. 1. SPIN MY25 / FUEL PUMP - DRAWING 2D_52169532
Sem necessidade de investimento para engenharia corte/ lead prep.</t>
  </si>
  <si>
    <t>CR-0171960-00</t>
  </si>
  <si>
    <t xml:space="preserve">
Projeto: SPIN – SORP - MY2025
Família: IP WH
Tipo: Cost Reduction
Número: HST_CHANGES
Descrição: 1. CTO PROPOSAL - IP WRG HRN</t>
  </si>
  <si>
    <t xml:space="preserve">
Projeto: SPIN – SORP - MY2025
Família: ENGINE LHE
Tipo: WLL/TLL
Número: ISS-046514</t>
  </si>
  <si>
    <t>CR-0172422-00</t>
  </si>
  <si>
    <t>Descrição: 1. TLL application as requested by the Process team.
Project affected - SPIN - ENGINE LHE - 52169571 - MY25 - SORP
Sem necessidade de investimento para engenharia corte/ lead prep.</t>
  </si>
  <si>
    <t>CR-0172425-00</t>
  </si>
  <si>
    <t>Projeto: SPIN – SORP - MY2025
Família: LIFT GATE EXT
Tipo: WLL/TLL
Número: ISS-046510</t>
  </si>
  <si>
    <t>Descrição: 1. TLL ou WLL application as requested by the Process team.
Project Affected - SPIN - Lift Gate EXT -52167967 - MY25 - SORP 
Sem necessidade de investimento para engenharia corte/ lead prep.</t>
  </si>
  <si>
    <t>CR-0172577-00</t>
  </si>
  <si>
    <t>Projeto: SPIN – SORP - MY2025
Família: Engine LHE
Tipo: DFM
Número: ISS-046942
Descrição: 1. ENGINE LHE - 52169571</t>
  </si>
  <si>
    <t>Circuit 492 is wrong color applied acc to EE.
From: GN/WH (FLR21-X)
To: BU (FLR21-X)
Sem necessidade de investimento para engenharia corte/ lead prep.</t>
  </si>
  <si>
    <r>
      <t xml:space="preserve">Change Proposal:
CHANGE HEATSHRINK TUBE -
DE E16725200 (DIA 5.75 - Size 30mm)
PARA E14168700 (DIA 5.75 - Size 27mm)
</t>
    </r>
    <r>
      <rPr>
        <b/>
        <sz val="11"/>
        <color theme="1"/>
        <rFont val="Calibri"/>
        <family val="2"/>
        <scheme val="minor"/>
      </rPr>
      <t>CR está “on hold” necessário o “delta cut sheet” preenchido para avaliação das quantidades de validações a serem feitas.
Favor considerar:
01 validação conforme norma GMW17136.</t>
    </r>
    <r>
      <rPr>
        <sz val="11"/>
        <color theme="1"/>
        <rFont val="Calibri"/>
        <family val="2"/>
        <scheme val="minor"/>
      </rPr>
      <t xml:space="preserve">
</t>
    </r>
  </si>
  <si>
    <t>20/01/2024
23/01/2024</t>
  </si>
  <si>
    <t>14:44:00
11:41</t>
  </si>
  <si>
    <t>CR-0171865</t>
  </si>
  <si>
    <t>Projeto: GEM – APPV - MY2026
Família: CONSOLE
Tipo: EWO
Número: ECR4633774
Descrição: 1. 1. GEM CONSOLE HARNESS 26373478 MY26 AND MY27</t>
  </si>
  <si>
    <t>DELETE DERIVATIVE
Favor considerar:
•	Scrap : R$447,92</t>
  </si>
  <si>
    <t xml:space="preserve">CR-0171864-00 </t>
  </si>
  <si>
    <t xml:space="preserve">
Projeto: GEM – APPV - MY2025
Família: CONSOLE
Tipo: EWO
Número: ECR4633774</t>
  </si>
  <si>
    <t>CR-0173180-00</t>
  </si>
  <si>
    <t>Projeto: SPIN – SOP - MY2025
Família: FRONT SEAT DRIVER / FRONT SEAT CO DRIVER
Tipo: Issue
Número: 
Descrição: 1. 1. CHANGE CLIP, DUE TO ASSEMBLY ISSUE ON GM</t>
  </si>
  <si>
    <t>Change Proposal:
1) Change clip FROM E14064200 TO E08004100 (CLIPE PRETO)
Sem necessidade de investimento para engenharia corte/ lead prep.</t>
  </si>
  <si>
    <t xml:space="preserve"> CR-0172249-00</t>
  </si>
  <si>
    <t xml:space="preserve">
Projeto: VS30 – SORP – 2023_02
Família: BODY
Tipo: PFD
Número: PFD-VS30-BR907-AEHJ2023_02-2528</t>
  </si>
  <si>
    <t xml:space="preserve">
Considerar Sem impacto para corte  e Lead Prep.
Obs. conforme orientação da @Souza, Joseli Teresinha DE foi desconsiderado a Section 5:DELTA MULTICRIMP do delta Cut onde contava Multicrimp In.
</t>
  </si>
  <si>
    <t xml:space="preserve">
Considerar sem impacto para corte  e Lead Prep.
Troca de Termo retrátil para fita de tecido</t>
  </si>
  <si>
    <t>CR-0172386-00</t>
  </si>
  <si>
    <t>CR-0166995-02</t>
  </si>
  <si>
    <t>GEM – APPV - MY2027
Família: ENGINE
Tipo: EWO
Número: EWO 4489010</t>
  </si>
  <si>
    <t>CR-0166785-02</t>
  </si>
  <si>
    <t>CR-0160595-02</t>
  </si>
  <si>
    <t>GEM – APPV - MY2026
Família: ENGINE
Tipo: EWO
Número: EWO 4489010</t>
  </si>
  <si>
    <t>Considerar para corte Lead Prep.( Analise feita base Delta Cut Sheet  e Delta BOM, implementação condicionada aos testes e aprovação conforme Norma GMW 17136) 
1 validação conforme Norma GMW17136 para Termo retrátil E02000700
R$ 31.731,33 Scrap 
6 horas técnicas 
Alteração de comprimento considerado 1 dia de lote para Scrap.</t>
  </si>
  <si>
    <t xml:space="preserve">1 Aplicador Mecal modelo MRSP1 para terminal 3202576Q6
1 Aplicador Mecal modelo MRSP1 para terminal E00164500
1 Aplicador Mecal modelo MRSP1 para terminal E00004964 Loose Piece
1 Aplicador Mecal modelo MRSP1 para terminal E03887200
1 Aplicador Mecal modelo MRSP1 para terminal 3202563D0 ( Alterado conforme engenharia Produto)
1 Maquina de solda ultrassônica Modelo DS20-GT para Terminal E45033100         R$ 580.000,00               
21 validações conforme norma USCAR 21
3 validações conforme norma USCAR 45
8 validações conforme norma GMW17136
1 validação conforme Norma USCAR38
330 horas técnicas 
1 Rack de entrada de circuitos
1 Rack de saída de circuitos
1 tapete ergonômico
1 Bancada para Máquina DS20-GT 
1 Gabarito para retração do termo.
1 extrator de PVC
1 suporte para Monitor 
1 calha disposição dos cabos durante processo de Soldagem
1 Adequação NR12 para solda ultrassônica Modelo DS20-GT 
1 Infra elétrica e pneumática para instalação da máquina (elétrica 380 volts )
2 Kits de tubo guia ( para máquina de corte de tubos corrugados )
2 Kits de faca  ( para máquina de corte de tubos corrugados )
2 Kits de espaçadores  ( para máquina de corte de tubos corrugados )
2 Guias da faca ( para máquina de corte de tubos corrugados )
3 pacotes de Polaseal
4 rolos de dupla Face 
2 rolos de papel contact
</t>
  </si>
  <si>
    <t xml:space="preserve">1 Aplicador Mecal modelo MRSP1 para terminal 3202576Q6   (  já reportado na CR-0166995-00 )
1 Aplicador Mecal modelo MRSP1 para terminal E00164500  (  já reportado na CR-0166995-00 )
1 Aplicador Mecal modelo MRSP1 para terminal E00004964  (  já reportado na CR-0166995-00 ) Loose Piece
1 Aplicador Mecal modelo MRSP1 para terminal E03887200  (  já reportado na CR-0166995-00 )
1 Maquina de solda ultrassônica Modelo DS20-GT para Terminal E16092500 (  já reportado na CR-0169030-00 )
3 validações conforme norma USCAR 21 (   já reportado na CR-0169030-00 )
5 validações conforme norma USCAR 45 (  já reportado na CR-0169030-00 )
8 validações conforme norma GMW17136 (  já reportado na CR-0169030-00 )
1 validação conforme Norma USCAR38 (  já reportado na CR-0169030-00 )
130  horas técnicas (  já reportado na CR-0169030-00 )
1 Rack de entrada de circuitos (  já reportado na CR-0169030-00 )
1 Rack de saída de circuitos (  já reportado na CR-0169030-00 )
1 tapete ergonômico (  já reportado na CR-0169030-00 )
1 Bancada para Máquina DS20-GT (  já reportado na CR-0169030-00 )  
1 Gabarito para retração do termo. (  já reportado na CR-0169030-00 )
1 extrator de PVC (  já reportado na CR-0169030-00 )
1 suporte para Monitor  (  já reportado na CR-0169030-00 )
1 calha disposição dos cabos durante processo de Soldagem (  já reportado na CR-0169030-00 )
1 Adequação NR12 para solda ultrassônica Modelo DS20-GT  (  já reportado na CR-0169030-00 )
1 Infra elétrica e pneumática para instalação da máquina (elétrica 380 volts ) (  já reportado na CR-0169030-00 )
3 pacotes de Polaseal (  já reportado na CR-0169030-00 )
4 rolos de dupla Face  (  já reportado na CR-0169030-00 )
2 rolos de papel contact (  já reportado na CR-0169030-00 ) 
Considerando 1 dia de estoque LCR Total Scrap R$ 17.860,27 @Martins, Guilherme e @Chagas, Robson Dos Santos favor  validar os valores e revisar se necessário em </t>
  </si>
  <si>
    <t>1 Aplicador Mecal modelo MRSP1 para terminal 3202576Q6
1 Aplicador Mecal modelo MRSP1 para terminal E00164500
1 Aplicador Mecal modelo MRSP1 para terminal E00004964 Loose Piece
1 Aplicador Mecal modelo MRSP1 para terminal E03887200
1 Maquina de solda ultrassônica Modelo DS20-GT para Terminal E45033100
20 validações conforme norma USCAR 21
3 validações conforme norma USCAR 45
6  validações conforme norma GMW17136
1 validação conforme Norma USCAR38
330 horas técnicas 
1 Rack de entrada de circuitos
1 Rack de saída de circuitos
1 tapete ergonômico
1 Bancada para Máquina DS20-GT 
1 Gabarito para retração do termo.
1 extrator de PVC
1 suporte para Monitor 
1 calha disposição dos cabos durante processo de Soldagem
1 Adequação NR12 para solda ultrassônica Modelo DS20-GT 
1 Infra elétrica e pneumática para instalação da máquina (elétrica 380 volts )
1 Kit de tubo guia ( para máquina de corte de tubos corrugados )
1 Kit de faca  ( para máquina de corte de tubos corrugados )
1 Kit de espaçadores  ( para máquina de corte de tubos corrugados )
1 Guia da faca ( para máquina de corte de tubos corrugados )
1 Rack de alocações tubo
8 caixas KLT Grande para Tubos
3 pacotes de Polaseal
4 rolos de dupla Face 
2 rolos de papel contact</t>
  </si>
  <si>
    <t>Favor considerar para Corte Lead Prep. ( Analise realizada base Delta cut , implementação condicionada, aprovação dos testes conforme normas especificadas e investimento reportados na CR-0166995-02  )
1 Aplicador Mecal modelo MRSP1 para terminal 3202576Q6	já solicitado na CR-0166995-02
1 Aplicador Mecal modelo MRSP1 para terminal E00164500	já solicitado na CR-0166995-02
1 Aplicador Mecal modelo MRSP1 para terminal E00004964	já solicitado na CR-0166995-02 Loose Piece
1 Aplicador Mecal modelo MRSP1 para terminal E03887200	já solicitado na CR-0166995-02
2 validações conforme norma USCAR 21	
1 validações conforme norma USCAR 45	
2 validações conforme norma GMW17136	
1 validação conforme Norma USCAR38	
50  horas técnicas 	
10 caixas KLT grande  para Tubos	
1 Rack de alocações tubo	
1 Kit de tubo guia ( para máquina de corte de tubos corrugados )	
1 Kit de faca  ( para máquina de corte de tubos corrugados )	
1 Kit de espaçadores  ( para máquina de corte de tubos corrugados )	
1 Guia da faca ( para máquina de corte de tubos corrugados )	
3 pacotes de Polaseal	
3 rolos de dupla Face 	
2 rolos de papel contact	
Amostras para validações	R$ 1.246,05
Considerando 1 dia de estoque MCR Total Scrap R$  R$    16.961,71  @Martins, Guilherme e @Chagas, Robson Dos Santos favor  validar os valores e revisar se necessário em anexo circuitos que estão saindo ou alterando conforme delta cut.</t>
  </si>
  <si>
    <t>CR-0160280-00</t>
  </si>
  <si>
    <t>CR-0160595-00</t>
  </si>
  <si>
    <t>CR-0161952-00</t>
  </si>
  <si>
    <t>CR-0161019-02</t>
  </si>
  <si>
    <t>CR-0161020-01</t>
  </si>
  <si>
    <t>CR-0161022-01</t>
  </si>
  <si>
    <t>CR-0162419-00</t>
  </si>
  <si>
    <t>CR-0165674-00</t>
  </si>
  <si>
    <t>CR-0165673-00</t>
  </si>
  <si>
    <t>CR-0161019-03</t>
  </si>
  <si>
    <t>CR-0164612-00</t>
  </si>
  <si>
    <t>CR-0166437-00</t>
  </si>
  <si>
    <t>CR-0166437-01</t>
  </si>
  <si>
    <t>CR-0164612-01</t>
  </si>
  <si>
    <t>CR-0168984-00</t>
  </si>
  <si>
    <t>CR-0171865-00</t>
  </si>
  <si>
    <t>CR-0172163-00</t>
  </si>
  <si>
    <t>CR-0172366-00</t>
  </si>
  <si>
    <t>CR-0172424-00</t>
  </si>
  <si>
    <t>CR-0172460-00</t>
  </si>
  <si>
    <t>CR-0172477-00</t>
  </si>
  <si>
    <t>CR-0172542-00</t>
  </si>
  <si>
    <t>CR-0172775-00</t>
  </si>
  <si>
    <t>CR #</t>
  </si>
  <si>
    <t>Fase</t>
  </si>
  <si>
    <t>MVBs</t>
  </si>
  <si>
    <t>APPV</t>
  </si>
  <si>
    <t>IVER</t>
  </si>
  <si>
    <t>PPV</t>
  </si>
  <si>
    <t>EWO 4489010</t>
  </si>
  <si>
    <t>EWO#4489010</t>
  </si>
  <si>
    <t>EWO 4590640</t>
  </si>
  <si>
    <t>ECR4633774</t>
  </si>
  <si>
    <t>TBD</t>
  </si>
  <si>
    <t>Nº Doc</t>
  </si>
  <si>
    <t>Envio da CR p/ análise</t>
  </si>
  <si>
    <t>CR "On Hold"?</t>
  </si>
  <si>
    <t>Sim</t>
  </si>
  <si>
    <t>Não</t>
  </si>
  <si>
    <t>CSA Left</t>
  </si>
  <si>
    <t>CSA Right</t>
  </si>
  <si>
    <t>CSA Total</t>
  </si>
  <si>
    <t>L1</t>
  </si>
  <si>
    <t>L2</t>
  </si>
  <si>
    <t>L3</t>
  </si>
  <si>
    <t>L4</t>
  </si>
  <si>
    <t>R1</t>
  </si>
  <si>
    <t>R2</t>
  </si>
  <si>
    <t>R3</t>
  </si>
  <si>
    <t>R4</t>
  </si>
  <si>
    <t>Uscar 45</t>
  </si>
  <si>
    <t>GMW17136</t>
  </si>
  <si>
    <t>Horas tecnicas</t>
  </si>
  <si>
    <t>3299362G2</t>
  </si>
  <si>
    <t>X</t>
  </si>
  <si>
    <t>CR-0171416-00 BODY CARBON</t>
  </si>
  <si>
    <t>E16718500</t>
  </si>
  <si>
    <t>3299362M9</t>
  </si>
  <si>
    <t>Extra Component PN</t>
  </si>
  <si>
    <t>L5</t>
  </si>
  <si>
    <t>L6</t>
  </si>
  <si>
    <t>L7</t>
  </si>
  <si>
    <t>R5</t>
  </si>
  <si>
    <t>R6</t>
  </si>
  <si>
    <t>E16725300</t>
  </si>
  <si>
    <t>CR-0171595-00  IP HARNESS carbon</t>
  </si>
  <si>
    <t>E01120300</t>
  </si>
  <si>
    <t>CR-0171817-01 Liftgate Carbon</t>
  </si>
  <si>
    <t>E02000700</t>
  </si>
  <si>
    <t>CR-0172035-00  Liftgate  Ext</t>
  </si>
  <si>
    <t>CR-0172102-00  Rear Bumper Carbon</t>
  </si>
  <si>
    <t>CR-0172352-00 Front Bumper Carbon</t>
  </si>
  <si>
    <t xml:space="preserve"> </t>
  </si>
  <si>
    <t>MY</t>
  </si>
  <si>
    <t xml:space="preserve">CR-0160595-02 ENGINE </t>
  </si>
  <si>
    <t>CR-0162419-01 FRONT BUMPER</t>
  </si>
  <si>
    <t/>
  </si>
  <si>
    <t>CR-0162211-00  IP</t>
  </si>
  <si>
    <t>USCAR 21</t>
  </si>
  <si>
    <t>3202585H5</t>
  </si>
  <si>
    <t>E02656000</t>
  </si>
  <si>
    <t>E05363600</t>
  </si>
  <si>
    <t>E02719100</t>
  </si>
  <si>
    <t>E04410900</t>
  </si>
  <si>
    <t>E03844600</t>
  </si>
  <si>
    <t>USCAR38</t>
  </si>
  <si>
    <t>3202585H5-65763-0,35--USCAR21</t>
  </si>
  <si>
    <t>E02656000-65769-0,75--USCAR21</t>
  </si>
  <si>
    <t>E05363600-65763-0,75--USCAR21</t>
  </si>
  <si>
    <t>E02656000-65860-0,75--USCAR21</t>
  </si>
  <si>
    <t>E02719100-65763-0,5--USCAR21</t>
  </si>
  <si>
    <t>E04410900-65766-0,35--USCAR21</t>
  </si>
  <si>
    <t>32025Y3B8-65860-0,75--USCAR21</t>
  </si>
  <si>
    <t>E03844600-65766-0,35--USCAR21</t>
  </si>
  <si>
    <t>W1</t>
  </si>
  <si>
    <t>W2</t>
  </si>
  <si>
    <t>W3</t>
  </si>
  <si>
    <t>W4</t>
  </si>
  <si>
    <t xml:space="preserve">
2 validações conforme norma USCAR 45.
2 validações conforme norma GMW17136 
32 Horas técnicas 
Scrap  circuito  R$ 113,27 Considerando 1 dia LCR  
Scrap Splice pronta  R$ 1.282,10 Considerando 1 dia LCR
Scrap Termo R$ 198,44 Considerando 1 dia LCR  
Scrap validação Splice   R$ R$ 187,95
Conforme alinhado e reunião hoje , favor desconsiderar investimento reportado nessa CR, pois delta cut está gerando informação na Section  4:DELTA SPLICE que não será aplicada. 07-02-2024
</t>
  </si>
  <si>
    <t>CHP USCAR21</t>
  </si>
  <si>
    <t>R7</t>
  </si>
  <si>
    <t>Terminal</t>
  </si>
  <si>
    <t>E15132900</t>
  </si>
  <si>
    <t>3299365JY</t>
  </si>
  <si>
    <t>Disponivel</t>
  </si>
  <si>
    <t>Maqs GEM</t>
  </si>
  <si>
    <t>Carga hrs Gem</t>
  </si>
  <si>
    <t>Voume dia</t>
  </si>
  <si>
    <t>Delta</t>
  </si>
  <si>
    <t>Compra</t>
  </si>
  <si>
    <t>32025Y2XV</t>
  </si>
  <si>
    <t>E04648500</t>
  </si>
  <si>
    <t>E00166100</t>
  </si>
  <si>
    <t>E00020633</t>
  </si>
  <si>
    <t>Obsoleto desmontado</t>
  </si>
  <si>
    <t>E01080600</t>
  </si>
  <si>
    <t>E05869700</t>
  </si>
  <si>
    <t>32025Y19G</t>
  </si>
  <si>
    <t>Desmontado</t>
  </si>
  <si>
    <t>E27713500</t>
  </si>
  <si>
    <t>CR-0171785-01  Rear Lamp Carbon</t>
  </si>
  <si>
    <t>3202563E7</t>
  </si>
  <si>
    <t>E16318100</t>
  </si>
  <si>
    <t>E00006853</t>
  </si>
  <si>
    <t>E16491700</t>
  </si>
  <si>
    <t>3202535K9</t>
  </si>
  <si>
    <t>32025Y1CW</t>
  </si>
  <si>
    <t>32025Y20B</t>
  </si>
  <si>
    <t>3202501G8</t>
  </si>
  <si>
    <t>E32673300</t>
  </si>
  <si>
    <t>32025Y36A</t>
  </si>
  <si>
    <t xml:space="preserve">Aplicadores/calhas </t>
  </si>
  <si>
    <t>18 validações conforme Norma USCAR 45</t>
  </si>
  <si>
    <t>0.5</t>
  </si>
  <si>
    <t>CR-0168269-00 BODY</t>
  </si>
  <si>
    <t>0.50</t>
  </si>
  <si>
    <t>CR-0168559-01 FRONT DOORS</t>
  </si>
  <si>
    <t>Afeta somente teste eletrico não foi respondido por corte e lead Prep.</t>
  </si>
  <si>
    <t>CR-0171416-00</t>
  </si>
  <si>
    <t>CR-0171817-01</t>
  </si>
  <si>
    <t>CR-0172035-00</t>
  </si>
  <si>
    <t>CR-0172246-00</t>
  </si>
  <si>
    <t>CR-0172352-00</t>
  </si>
  <si>
    <t>Não aplica para corte e Lead Prep</t>
  </si>
  <si>
    <t xml:space="preserve"> CR-0166437-01</t>
  </si>
  <si>
    <t>GEM – APPV - MY2026
Família: BODY
Tipo: EWO
Número: 4489010
Descrição: 1. GEM B NARROW BODY HARNESS 52182307 MY26 MVBS</t>
  </si>
  <si>
    <t xml:space="preserve">Favor considerar:
•	06 calhas de selo (01 para o selo 320452329 e 5 para o selo 3204505B1) selo novo e volume alto
•	06 mini aplicadores
•	31 validações conforme norma USCAR21
•	14 validações conforme norma USCAR45
•	05 validações conforme norma USCAR 38
•	26 validações conforme norma GMW17136.
•	4 pacotes de polaseal.
•	80 horas de gráfica.
•	Horas técnicas para as validações 400 hs.
•	Scrap 21.229,85
</t>
  </si>
  <si>
    <t>GEM – APPV - MY2027
Família: BODY CARBON
Tipo: EWO
Número: 4580273
Descrição: 1. Affects. Body</t>
  </si>
  <si>
    <t>GEM – APPV - MY2027
Família: IP HARNESS carbon
Tipo: CR</t>
  </si>
  <si>
    <t xml:space="preserve"> CR-0171595-00</t>
  </si>
  <si>
    <t xml:space="preserve">Considerar para corte e Lead Prep. ( Analise realizada base Delta cut , implementação condicionada, aprovação dos testes conforme normas especificadas )
1 Aplicador Mecal modelo MRSP1 para terminal E01080600
1 Aplicador Mecal modelo MRSP1 para terminal E05869700
1 Aplicador Mecal modelo MRSP1 para terminal 320298243
1 Aplicador Mecal modelo MRSP1 para terminal 32025Y19G
8 validações conforme norma Uscar21
8 validações conforme norma Uscar45
9 validações conforme norma GMW17136
Horas 200 técnicas
66 horas de HI Para identificação de racks confecção de etiquetas e cartões Kanban
@Da Silva, Luciano Donizeti está realizando estudo de capacidade, as necessidade de ferramentas e calhas de selo pode se alterar conforme estudo.
</t>
  </si>
  <si>
    <t xml:space="preserve">CR-0171785-01 </t>
  </si>
  <si>
    <t xml:space="preserve">GEM – APPV - MY2027
Família: Rear Lamp Carbon
Tipo: CR
Número: ECR 4580273
Descrição: 1. NEW WIRING HARNESSES FOR JBQC (CARBON)
</t>
  </si>
  <si>
    <t>GEM – APPV - MY2027
Família: Liftgate Carbon
Tipo: CR
Número: ECR4580273
Descrição: 1. NEW WIRING HARNESSES FOR JBQC (CARBON)</t>
  </si>
  <si>
    <t xml:space="preserve">
1 Aplicador Mecal modelo MRSP1 para terminal E27713500
1 Aplicador Mecal modelo MRSP1 para terminal 3202563E7
4 validações conforme norma Uscar21
1 validações conforme norma Uscar45
2  validações conforme norma GMW17136
Amostras validação R$ 1.762,88 
35 Horas técnicas
22 horas de HI Para identificação de racks confecção de etiquetas e cartões Kanban
1 rack para Alocação de circuitos
@Da Silva, Luciano Donizeti está realizando estudo de capacidade, as necessidade de ferramentas e calhas de selo pode se alterar conforme estudo.
</t>
  </si>
  <si>
    <t xml:space="preserve"> GEM – APPV - MY2027
Família: Liftgate
Tipo: CR
Número: ECR4580273
Descrição: 1. NEW WIRING HARNESSES FOR JBQC (CARBON)
</t>
  </si>
  <si>
    <t xml:space="preserve">1 Aplicador Mecal modelo MRSP1 para terminal E16318100
1 Aplicador Mecal modelo MRSP1 para terminal E00006853
1 Aplicador Mecal modelo MRSP1 para terminal E16491700
1 Aplicador Mecal modelo MRSP1 para terminal 3202535K9
1 Aplicador Mecal modelo MRSP1 para terminal 32025Y1CW
1 Calha de selo para selo E10690000
1 validação conforme norma Uscar21
2 validações conforme norma GMW17136
Amostras validação R$ 853,64 
24 Horas técnicas
19 horas de HI Para identificação de racks confecção de etiquetas e cartões Kanban
1 Rack de alocação circuitos.
8 potes para armazenamento de selo
@Da Silva, Luciano Donizeti está realizando estudo de capacidade, as necessidade de ferramentas e calhas de selo pode se alterar conforme estudo.
</t>
  </si>
  <si>
    <t>GEM – APPV - MY2027
Família: Rear Bumper Carbon
Tipo: CR
Número: ECR4580273</t>
  </si>
  <si>
    <t xml:space="preserve"> CR-0172102-00</t>
  </si>
  <si>
    <t xml:space="preserve">
Considerar para corte e Lead Prep. ( Analise realizada base Delta cut , implementação condicionada, aprovação dos testes conforme normas especificadas )
3 validações conforme norma GMW17136
Amostras validação R$ 1.056,20
24 Horas técnicas
19 horas de HI Para identificação de racks confecção de etiquetas e cartões Kanban e caixas de tubo
1 Rack de alocação de tubos.
20  KLT grandes 
@Da Silva, Luciano Donizeti está realizando estudo de capacidade, as necessidade de ferramentas e calhas de selo pode se alterar conforme estudo.
</t>
  </si>
  <si>
    <t>GEM – APPV - MY2027
Família: IP EXT.
Tipo: CR
Número: ECR4580273</t>
  </si>
  <si>
    <t xml:space="preserve">GEM – APPV - MY2027
Família: Front Bumper Carbon
Tipo: CR
Número: ECR 4580273
Descrição: 1. NEW WIRING HARNESSES FOR JBQC (CARBON)
</t>
  </si>
  <si>
    <t xml:space="preserve">
1 Aplicador Mecal modelo MRSP1 para terminal 32025Y20B
1 calha de selo Para selo 320455A8X
1 validações conforme norma Uscar21
3 validações conforme norma GMW17136
8 caixas KLT grandes 
32 Horas técnicas
29  horas de HI Para identificação de racks confecção de etiquetas e cartões Kanban
Amostras validação R$ 1.471,71 
@Da Silva, Luciano Donizeti está realizando estudo de capacidade, as necessidade de ferramentas e calhas de selo pode se alterar conforme estudo.
</t>
  </si>
  <si>
    <t xml:space="preserve"> 3204505B1</t>
  </si>
  <si>
    <t>320455AKQ</t>
  </si>
  <si>
    <t>CR-0166437-01 BODY</t>
  </si>
  <si>
    <t>E37621700</t>
  </si>
  <si>
    <t>3202502F9</t>
  </si>
  <si>
    <t>320263VT6</t>
  </si>
  <si>
    <t>E10146200-65763-0,75--USCAR21</t>
  </si>
  <si>
    <t>32025Y0VL-65763-0,5-320455AKC-USCAR21</t>
  </si>
  <si>
    <t>32025Y0VL-65763-0,5-320455A4C-USCAR21</t>
  </si>
  <si>
    <t>E04174100-65766-0,5--USCAR21</t>
  </si>
  <si>
    <t>E16318300-65766-0,5--USCAR21</t>
  </si>
  <si>
    <t>E01647000-44600-0,5--USCAR21</t>
  </si>
  <si>
    <t>E16318300-44600-0,5--USCAR21</t>
  </si>
  <si>
    <t>E02719100-65763-0,35--USCAR21</t>
  </si>
  <si>
    <t>E01800300-65763-0,5--USCAR21</t>
  </si>
  <si>
    <t>32025Y0VL-44600-0,5-3204558V3-USCAR21</t>
  </si>
  <si>
    <t>320298235-65763-0,5--USCAR21</t>
  </si>
  <si>
    <t>E37621700-65784-4--USCAR21</t>
  </si>
  <si>
    <t>E37621700-65769-2,5--USCAR21</t>
  </si>
  <si>
    <t>E00020633-65763-0,5-320455AKQ-USCAR21</t>
  </si>
  <si>
    <t>E06973900-65766-0,5-320452766-USCAR21</t>
  </si>
  <si>
    <t>E06973900-44600-0,5-320452766-USCAR21</t>
  </si>
  <si>
    <t>32025Y2P8-65766-0,35-320455A4C-USCAR21</t>
  </si>
  <si>
    <t>E00166100-65763-0,5-3204558V3-USCAR21</t>
  </si>
  <si>
    <t>32025Y192-65766-0,75-320452329-USCAR21</t>
  </si>
  <si>
    <t>E00166100-65763-0,5-320455A4C-USCAR21</t>
  </si>
  <si>
    <t>E01647000-65763-0,5-3204505B1-USCAR21</t>
  </si>
  <si>
    <t>320263VT6-65766-1,5--USCAR21</t>
  </si>
  <si>
    <t>E13250300-65763-0,5-3204542D2-USCAR21</t>
  </si>
  <si>
    <t>E01647000-65766-0,5-3204505B1-USCAR21</t>
  </si>
  <si>
    <t>E01647000-44600-0,5-3204505B1-USCAR21</t>
  </si>
  <si>
    <t>E06973900-65860-0,5-320452766-USCAR21</t>
  </si>
  <si>
    <t>E03355500-65763-0,5-329983118-USCAR21</t>
  </si>
  <si>
    <t>32025Y2P8-65763-0,5-320455A4C-USCAR21</t>
  </si>
  <si>
    <t>3202536X7-65860-0,5-320455A4C-USCAR21</t>
  </si>
  <si>
    <t>3202502F9-65763-0,5-3204505B1-USCAR21</t>
  </si>
  <si>
    <t>E08964700-65763-0,5--USCAR21</t>
  </si>
  <si>
    <t>E01647000-65763-0,35-3204505B1-USCAR21</t>
  </si>
  <si>
    <t>E01647000-65860-0,5-3204505B1-USCAR21</t>
  </si>
  <si>
    <t>E10146200</t>
  </si>
  <si>
    <t>32025Y0VL</t>
  </si>
  <si>
    <t>E04174100</t>
  </si>
  <si>
    <t>E16318300</t>
  </si>
  <si>
    <t>E01647000</t>
  </si>
  <si>
    <t>E01800300</t>
  </si>
  <si>
    <t>E06973900</t>
  </si>
  <si>
    <t>32025Y2P8</t>
  </si>
  <si>
    <t>32025Y192</t>
  </si>
  <si>
    <t>E13250300</t>
  </si>
  <si>
    <t>E03355500</t>
  </si>
  <si>
    <t>3202536X7</t>
  </si>
  <si>
    <t>E08964700</t>
  </si>
  <si>
    <t>Selo</t>
  </si>
  <si>
    <t>320455AKC</t>
  </si>
  <si>
    <t>320455A4C</t>
  </si>
  <si>
    <t>3204558V3</t>
  </si>
  <si>
    <t>3204505B1</t>
  </si>
  <si>
    <t>3204542D2</t>
  </si>
  <si>
    <t>NT Fora  range terminal de  0.35 á 0.50</t>
  </si>
  <si>
    <t>Nt validação com selo 320455AKC</t>
  </si>
  <si>
    <t>Nt validação com selo 320455A4C</t>
  </si>
  <si>
    <t>NT Fora  range terminal de  0.35</t>
  </si>
  <si>
    <t>Nt validação com cabo 65766</t>
  </si>
  <si>
    <t>Nt validação com cabo 44600</t>
  </si>
  <si>
    <t>Nt validação com bitola 0.50</t>
  </si>
  <si>
    <t>Nt validação com bitola 0.35</t>
  </si>
  <si>
    <t>Nt validação com terminal sem selo</t>
  </si>
  <si>
    <t>Nt validação com bitola 4</t>
  </si>
  <si>
    <t>NT Fora  range terminal de 6.0</t>
  </si>
  <si>
    <t>Nt validação com selo 320455AKQ</t>
  </si>
  <si>
    <t>Nt validação com selo 320452766</t>
  </si>
  <si>
    <t>Nt validação com selo 320452766 CABO 44600</t>
  </si>
  <si>
    <t>Nt validação com selo 320452766 CABO 65766</t>
  </si>
  <si>
    <t>Nt aplicador nem validação</t>
  </si>
  <si>
    <t>Nt validação com selo 320452329 CABO 65766</t>
  </si>
  <si>
    <t xml:space="preserve"> CR-0171865-00</t>
  </si>
  <si>
    <t xml:space="preserve">GEM – APPV - MY2026
Família: CONSOLE
Tipo: EWO
Número: ECR4633774
Descrição: 1. 1. GEM CONSOLE HARNESS 26373478 MY26 AND MY27
</t>
  </si>
  <si>
    <t xml:space="preserve">Favor considerar:
•	Scrap : R$447,92
</t>
  </si>
  <si>
    <t>VS30 – SORP – 2023_02
Família: BODY
Tipo: PFD
Número: PFD-VS30-BR907-AEHJ2023_02-2519</t>
  </si>
  <si>
    <t xml:space="preserve"> CR-0172836-00</t>
  </si>
  <si>
    <t xml:space="preserve">
Considerar sem impacto para corte lead Prep.</t>
  </si>
  <si>
    <t xml:space="preserve">
•	09 validações conforme norma USCAR 45
•	21 VALIDAÇÕES CONFORME NORMA GMW17136.
•	Scrap R$21.229,85</t>
  </si>
  <si>
    <t>– APPV - MY2026
Família: BODY
Tipo: EWO
Número: EWO 4489010</t>
  </si>
  <si>
    <t xml:space="preserve">
Segue o racional da CR-0164612-00 que segundo o Alexandro Barbosa, não modifica em nada para engenharia corte/lead prep da CR-0164612-01 podendo ser considerado os mesmos investimentos.</t>
  </si>
  <si>
    <t>GEM – APPV - MY2026
Família: BODY
Tipo: EWO
Número: EWO 4489010</t>
  </si>
  <si>
    <t>CR-0172035-00  Liftgate  Ext CARBON</t>
  </si>
  <si>
    <t>X1</t>
  </si>
  <si>
    <t>X2</t>
  </si>
  <si>
    <t>X3</t>
  </si>
  <si>
    <t>X4</t>
  </si>
  <si>
    <t>X5</t>
  </si>
  <si>
    <t>CR-0164612-01 BODY</t>
  </si>
  <si>
    <t>foi considerado na CR 9 validações uscar45 e 21 GMW17136( necesidade 26 GMW17136 e 18 Uscar45)</t>
  </si>
  <si>
    <t>Nº</t>
  </si>
  <si>
    <t>CHP</t>
  </si>
  <si>
    <t>GEM – APPV - MY2026
Família: REAR DOOR LH
Tipo: EWO
Número: 4634774
Descrição: 1. Affects theRear Door Lh family.</t>
  </si>
  <si>
    <t xml:space="preserve">
Considerar em impacto para corte e Lead Prep.
</t>
  </si>
  <si>
    <t xml:space="preserve">Considerar sem impacto para área de corte  lead Prep.
</t>
  </si>
  <si>
    <t>GEM – PPV - MY2026
Família: REAR DOOR RH              
Tipo: EWO
Número: 4634774
Descrição: 1. Affects the Rear Door Rh family.</t>
  </si>
  <si>
    <t>3299571G9</t>
  </si>
  <si>
    <t>E10690000</t>
  </si>
  <si>
    <t>320455A8X</t>
  </si>
  <si>
    <t>Não Pedir</t>
  </si>
  <si>
    <t>Não Pedir carbon</t>
  </si>
  <si>
    <t xml:space="preserve">
1 Aplicador Mecal modelo MRSP1 para terminal 32025Y2XV ( já solicitado na CR-0166437-01 )
1 Aplicador Mecal modelo MRSP1 para terminal E04648500
1 Aplicador Mecal modelo MRSP1 para terminal E00166100 ( já solicitado na CR-0166437-01 )
1 Aplicador Mecal modelo MRSP1 para terminal E00020633 ( já solicitado na CR-0166437-01 )
1 Aplicador Mecal modelo MRSP1 para terminal 320298235
1 Calha de selo para selo 3299571G9 ( já solicitado na CR-0168267-01 )
1 Calha de selo para selo 320452329 ( já solicitado na CR-0166437-01 )
1 rack para Alocação de circuitos
17 validações conforme norma Uscar21
7 validações conforme norma Uscar45
13 validações conforme norma GMW17136
1 validações conforme norma USCAR38
Amostras validação R$ 9.724,77 
Horas 304 técnicas
12 caixas KLT Grandes
93 horas de HI Para identificação de racks confecção de etiquetas e cartões Kanban
1 Rack de alocação para Aplicadores no Die Center.
3 pacotes de Polaseal
3 rolos de dupla Face 
2 rolos de papel contact</t>
  </si>
  <si>
    <t xml:space="preserve">1 Aplicador Mecal modelo MRSP1 para terminal E27713500  já solicitado na CR-0162211-00
1 validações conforme norma Uscar21
8 Horas técnicas
2  horas de HI Para identificação de racks confecção de etiquetas e cartões Kanban
</t>
  </si>
  <si>
    <t xml:space="preserve">
Conforme orientado pelo  @Neves, Matheus DE Moraes não foi considerado  Section 5:DELTA MULTICRIMP e Section 4:DELTA SPLICE que foi gerado no delta cut pois não reflete a alteração a proposta da CR.
</t>
  </si>
  <si>
    <t>CR-0172058-00</t>
  </si>
  <si>
    <t xml:space="preserve">
Projeto: VS30 – SORP – 2023_02
Família: BODY
Tipo: Issue
Número: NA</t>
  </si>
  <si>
    <t>CR-0171598-01</t>
  </si>
  <si>
    <t>VS30 – SORP – 2023_02
Família: BODY
Tipo: Issue
Número: NA</t>
  </si>
  <si>
    <t xml:space="preserve"> CR-0172212-00</t>
  </si>
  <si>
    <t xml:space="preserve">
1 Validação Bubble Test conforme Norma VS30.
Amostras Validação R$ 522,06 
</t>
  </si>
  <si>
    <t xml:space="preserve">
Projeto: VS30 – SORP – 2023_02
Família: AUTARK
Tipo: Release
Número: </t>
  </si>
  <si>
    <t>CR-0172216-00</t>
  </si>
  <si>
    <t xml:space="preserve">
Considerar sem impacto para corte e Lead Prep.( Condicionado a Aprovação dos investimentos Reportados na CR-0172212-00 )</t>
  </si>
  <si>
    <t>CR-0172318-00</t>
  </si>
  <si>
    <t xml:space="preserve"> VS30 – SORP – 2023_02
Família: BODY
Tipo: Issue
Número: NA</t>
  </si>
  <si>
    <t xml:space="preserve">
Considerar sem impacto para corte e Lead prep.</t>
  </si>
  <si>
    <t>CR-0172384-00</t>
  </si>
  <si>
    <t xml:space="preserve">
Favor considerar sem impacto para corte  e Lead Prep.</t>
  </si>
  <si>
    <t>Favor considerar sem impacto para corte e Lead Prep.</t>
  </si>
  <si>
    <t>CR-0172781-00</t>
  </si>
  <si>
    <t>VS30 – SORP – 2023_02
Família: IP WH
Tipo: Issue
Número: ISS-046527</t>
  </si>
  <si>
    <t xml:space="preserve">
Sem impacto para corte e Lead Prep. ( Condicionado a Aprovação dos investimentos Reportados na CR-0166437-01 )</t>
  </si>
  <si>
    <t xml:space="preserve"> CR-0172477-00</t>
  </si>
  <si>
    <t>GEM – PPV - MY2026
Família: BODY              
Tipo: EWO
Número: 4634774</t>
  </si>
  <si>
    <t>CR-0174725-01</t>
  </si>
  <si>
    <t xml:space="preserve">VS30 – SORP – 2023_02
Família: BODY                                                                                                                                        
Tipo: Issue
</t>
  </si>
  <si>
    <t xml:space="preserve">
Considerar sem impacto para corte e Lead Prep. Terminal 32025Y2T8 já utilizamos em produção.
Scrap R$  87,78 
				</t>
  </si>
  <si>
    <t>CR-0173229-00</t>
  </si>
  <si>
    <t>SPIN – Running change - MY2025
Família: ENGINE
Tipo: DFM
Número: Customer Request
Descrição: 1. Change Proposal - Engine SPIN MY25</t>
  </si>
  <si>
    <t xml:space="preserve">Favor considerar sem impacto para Corte e Lead Prep.
Scrap Tubo  R$ 101,90
</t>
  </si>
  <si>
    <t xml:space="preserve">Considerar sem impacto para corte e Lead Prep.
Scrap R$ 161,68
</t>
  </si>
  <si>
    <t>CR-0173220-01</t>
  </si>
  <si>
    <t xml:space="preserve">SPIN – Running change - MY2025
Família: ENGINE
Tipo: DFM
Número: Customer Request
Descrição: 1. Change Proposal - Engine LI3/LHE
</t>
  </si>
  <si>
    <t xml:space="preserve">Bom dia,
Considerar sem impacto para corte e lead Prep.
Considerando 1 dia de estoque base LCR1310 Cars dia Scrap R$ 3.433,14  @Martins, Guilherme, @Chagas, Robson Dos Santos  favor validar os valores e revisar se necessário.
</t>
  </si>
  <si>
    <t>CR-0172013-00</t>
  </si>
  <si>
    <t>GEM – MVBs - MY2025
Família: ENGINE
Tipo: Cost Reduction
Número: TBD
Descrição: 1. ENGINE HARNESS 52181683</t>
  </si>
  <si>
    <t>Projeto: GEM – APPV - MY2026
Família: IP WH              
Tipo: EWO
Número: 4634774
Descrição: 1. 1. 1. Affects the IP family</t>
  </si>
  <si>
    <t>Favor considerar:
•	SCRAP – R$9 162,45</t>
  </si>
  <si>
    <t>CR-0172035-01</t>
  </si>
  <si>
    <t>Projeto: GEM – APPV - MY2027
Família: Liftgate Extension
Tipo: EWO
Número: ECR4580273</t>
  </si>
  <si>
    <t xml:space="preserve">Descrição: 1. 1) AFFECTS FAMILY LIFTGATE EXTENSION
2) NEW WIRING HARNESSES FOR JBQC (CARBON)
3) PLEASE LOOK THE SEVERITY IN THE VCD
Considerar para corte e Lead Prep. ( Analise realizada base Delta cut , implementação condicionada, aprovação dos testes conforme normas especificadas )
1 Aplicador Mecal modelo MRSP1 para terminal E16318100
1 Aplicador Mecal modelo MRSP1 para terminal E00006853
1 Aplicador Mecal modelo MRSP1 para terminal E16491700
1 Aplicador Mecal modelo MRSP1 para terminal 32025Y1CW
1 Aplicador Mecal modelo MRSP1 para terminal E03846100
1 Aplicador Mecal modelo MRSP1 para terminal E05507000
1 Calha de selo para selo E10690000
2 validação conforme norma Uscar21
2 validações conforme norma GMW17136
Amostras validação R$ 853,64 
24 Horas técnicas
19 horas de HI Para identificação de racks confecção de etiquetas e cartões Kanban
1 Rack de alocação circuitos.
8 potes para armazenamento de selo
</t>
  </si>
  <si>
    <t>CR-0172102-01</t>
  </si>
  <si>
    <t>Projeto: GEM – APPV - MY2027
Família: Rear Bumper Carbon
Tipo: CR
Número: ECR4580273
Descrição: 1. NEW WIRING HARNESSES FOR JBQC (CARBON)</t>
  </si>
  <si>
    <t>Favor manter os mesmos investimentos da CR-0172102-00.</t>
  </si>
  <si>
    <t>CR-0171817-02</t>
  </si>
  <si>
    <t xml:space="preserve">Considerar para corte e Lead Prep. ( Analise realizada base Delta cut , implementação condicionada, aprovação dos testes conforme normas especificadas, investimento reportados nas CR-0162211-00  forem aprovados os itens marcados como já solicitado não devem ser considerados )
1 Aplicador Mecal modelo MRSP1 para terminal E27713500 ( já solicitado na CR-0162211-00 )
1 Aplicador Mecal modelo MRSP1 para terminal 3202563E7
4 validações conforme norma Uscar21
1 validações conforme norma Uscar45
2  validações conforme norma GMW17136
Amostras validação R$ 1.762,88 
56  Horas técnicas
22 horas de HI Para identificação de racks confecção de etiquetas e cartões Kanban
1 rack para Alocação de circuitos
</t>
  </si>
  <si>
    <t xml:space="preserve">GEM – APPV - MY2027
Família: Liftgate Carbon
Tipo: EWO
Número: ECR4580273
Descrição: 1. NEW WIRING HARNESSES FOR JBQC (CARBON)
</t>
  </si>
  <si>
    <t xml:space="preserve">CR-0171785-02 </t>
  </si>
  <si>
    <t>CR-0172246-01</t>
  </si>
  <si>
    <t>Projeto: GEM – APPV - MY2027
Família: IP EXT.
Tipo: EWO
Número: ECR4580273
Descrição: 1. NEW WIRING HARNESSES FOR JBQC (CARBON)</t>
  </si>
  <si>
    <t>sem investimento para engenharia corte/ lead prep.</t>
  </si>
  <si>
    <t>CR-0172352-01</t>
  </si>
  <si>
    <t>Projeto: GEM – APPV - MY2027
Família: Front Bumper Carbon
Tipo: EWO
Número: ECR 4580273
Descrição: 1. 1.AFFECTS FAMILY FRONT BUMPER
2. NEW WIRING HARNESSES FOR JBQC (CARBON)
3.PLEASE LOOK THE SEVERITY IN THE VCD</t>
  </si>
  <si>
    <t xml:space="preserve">Manter os mesmos investimentos informados na CR-0172352-00. </t>
  </si>
  <si>
    <t xml:space="preserve">
Considerar para corte e Lead Prep. ( Analise realizada base Delta cut implementação condicionada aprovação dos testes conforme normas especificadas, e investimento reportados CR-0162211-00 forem aprovados os itens marcados como já solicitado não devem ser considerados )
1 Aplicador Mecal modelo MRSP1 para terminal E27713500 (  já solicitado na CR-0162211-00 )
1 Aplicador Mecal modelo MRSP1 para terminal E16318100  ( já solicitado na CR-0172035-01 )
2  horas de HI Para identificação de racks confecção de etiquetas e cartões Kanban</t>
  </si>
  <si>
    <t xml:space="preserve">
 GEM – APPV - MY2027
Família: Rear Lamp Carbon
Tipo: EWO
Número: ECR 4580273
Descrição: 1. NEW WIRING HARNESSES FOR JBQC (CARBON)</t>
  </si>
  <si>
    <t>CR-0174218-00</t>
  </si>
  <si>
    <t>Projeto: VS30 – SORP – 2023_02
Família: BODY
Tipo: EC</t>
  </si>
  <si>
    <t>Assunto: 1. Affected ALL BODY Drawing: A9070011999/ A9070012099/ A9070014599/ A9070014699/ A9070014899/ A9070014999/ A9070015299/ A9070015399/ A9070015599/ A9070015699/ A9070015999/ A9070016099/ A9070016399/ A9070016499, 2. Request by Sales to quote module A 907 540 02 98, 3. Add circuits 3962_1B and 3962_2B, 4. Affected BOM, CUT and LABOR
•	1 Aplicador TE modelo Ocean para terminal E00309500 ( já solicitado na CR-0164538-01) – Motivo: aplicação dupla nos cabos de multicore que estão entrando no processo, temos apenas uma ferramenta disponível e aplica em duas máquinas diferentes. Como a aplicação desta multicore será feita em Prensa, teremos risco de conflito de processo.
•	09 horas de HI para liberação da ferramenta.
•	2  horas de HI Para identificação de racks confecção de etiquetas e cartões Kanban</t>
  </si>
  <si>
    <t>CR-0174725-02</t>
  </si>
  <si>
    <t>Projeto: VS30 – SORP – 2023_02
Família: BODY                                                                                                                                        
Tipo: Issue
Número: NA</t>
  </si>
  <si>
    <r>
      <t xml:space="preserve">Assunto: 1. WIRING HARNESS BODY, 2. Affected drawings: A9070012099 and A9070014899, 3. BOM Correction, 4. Updated terminal in circuit 5184B From: 3202581Z7 To: 32025Y2T8., 5. Added part number E05939500 on node CL365_00182, 6. Adding clip and insulation to module A 907 540 29 12, 7. Affect BOM, CUTSHEET and LABOR
</t>
    </r>
    <r>
      <rPr>
        <b/>
        <sz val="11"/>
        <color theme="1"/>
        <rFont val="Calibri"/>
        <family val="2"/>
        <scheme val="minor"/>
      </rPr>
      <t>Sem necessidade de investimento para engenharia corte/lead prep.</t>
    </r>
  </si>
  <si>
    <t>CR-0175069-00</t>
  </si>
  <si>
    <t xml:space="preserve">
Projeto: SPIN – Running change - MY2025
Família: IP WH
Tipo: TEWO
Número: 4663240
Descrição: 1. 1. Prints Affected: 52167961 (IP)</t>
  </si>
  <si>
    <r>
      <t xml:space="preserve">PAGE 2 - Change LPM conector (A800LPM_X1) from 13522994 to 15226104;
Note: DRBFM will be updated acc to ECR content and it will sent by GM.
</t>
    </r>
    <r>
      <rPr>
        <b/>
        <sz val="11"/>
        <color theme="1"/>
        <rFont val="Calibri"/>
        <family val="2"/>
        <scheme val="minor"/>
      </rPr>
      <t>Sem necessidade de investimento para engenharia corte/lead prep.</t>
    </r>
  </si>
  <si>
    <t>10;48</t>
  </si>
  <si>
    <t>CR-0174192-00</t>
  </si>
  <si>
    <t>Projeto: VS30 – SORP – 2023_02
Família: IP / BODY
Tipo: Issue
Número: H35</t>
  </si>
  <si>
    <r>
      <t xml:space="preserve">Assunto: 1. Affected IP and BODY, 2. Drawing: IP A9070011599 | BODY A9070011999/ A9070012099/ A9070014599/ A9070014699/ A9070014899/ A9070014999/ A9070015299/ A9070015399/ A9070015599/ A9070015699/ A9070015999/ A9070016099/ A9070016399/ A9070016499, 3. Quotation for new cables H35/5 and H35/3., 4. Just affect BOM and CUT.
</t>
    </r>
    <r>
      <rPr>
        <b/>
        <sz val="11"/>
        <color theme="1"/>
        <rFont val="Calibri"/>
        <family val="2"/>
        <scheme val="minor"/>
      </rPr>
      <t>Favor considerar:
•	03 validações conforme norma IEC ( VS30)</t>
    </r>
  </si>
  <si>
    <t>Projeto: GEM – PPV - MY2026
Família: BODY              
Tipo: EWO
Número: 
Descrição: 1. Affects the Body family</t>
  </si>
  <si>
    <t>ECR4634774 was issued to release new WH PNs (and delete others) according to PCCR16536 and PCCR15942.
New PNs are similar to their references except by the addition of RPO &amp;AVH and / or removal of RPO &amp;UVC.</t>
  </si>
  <si>
    <t>CR-0172575-00</t>
  </si>
  <si>
    <t>Projeto: VS30 – SORP – 2023_02
Família: BODY
Tipo: Issue
Número: ISS-046726 / ISS-046885</t>
  </si>
  <si>
    <t>Assunto: 1. WIRING HARNESS BODY, 2. WLL REV25 - ISS-046726 , 3. WLL REV26 - ISS-046885, 4. Affected drawings: A9070011999, A9070012099, A9070014599, A9070014899, A9070014999, A9070015299, A9070015399, A9070015599, A9070015699, A9070015999, A9070016099, A9070016399, A9070016499, A9070014699
, 5. WLL adjustments for MY2023-02 release
Sem necessidade de investimento para engenharia corte/lead prep.</t>
  </si>
  <si>
    <t>CR-0174806-00</t>
  </si>
  <si>
    <t>Projeto: SPIN – Running change - MY2025
Família: Liftgate &amp; Extn SPIN MY25
Tipo: Cost Reduction
Número: Terminal Defog
Descrição: 1. LIFTGATE &amp; EXTN - SPIN MY25</t>
  </si>
  <si>
    <t>Proposal:
Replace Defog Terminal applied to Liftgate aand Liftgate Extn. From: 320262553 To: 320251721
Bom dia
Cr contempla a troca do terminal 320262553 - 154717-3  para o terminal 320251721 - 154717-6. Ambos os terminais são os mesmos desenhos.
Não será necessário investimento para esta CR por se tratar de não termos variação do terminal conforme anexo, porém, fica condicionado a validação interna e condicionado a aceitação do cliente para o envio  do relatório de validação com o part number do terminal atual e um adendo no campo de comentários que o terminal proposto é o mesmo terminal ( não será modificado o relatório atual).</t>
  </si>
  <si>
    <t>CR-0174811-00</t>
  </si>
  <si>
    <t>Projeto: SPIN – Running change - MY2025
Família: LIFTGATE
Tipo: EWO
Número: 4645674
Descrição: 1. ECR 4645674 - DROP LS1/LS2 - LIFTGATE - SPIN MY25</t>
  </si>
  <si>
    <t>16;35</t>
  </si>
  <si>
    <t>Change Proposal.
Delete PN 52179373 from Liftgate WH.
Sem necessidade de investimento para engenharia corte/lead prep</t>
  </si>
  <si>
    <t>CR-0174836-00</t>
  </si>
  <si>
    <t>Projeto: SPIN – SOP - MY2025
Família: Engine LI3
Tipo: TEWO
Número: 4663013</t>
  </si>
  <si>
    <t>Change Proposal:
1) Replace terminal and Seal for Cable 0.75 to Injector Connectors.
From: 32025Y2MU --&gt; To: E14929200
From: 320455AKQ --&gt; To: 320455AKC
Favor considerar:
•	01 validação conforme norma Uscar 21 -  Motivo: Troca do terminal From: 32025Y2MU --&gt; To: E14929200
•	01 upgrade da ferramenta 32025Y2MU para transformar na ferramenta E14929200.</t>
  </si>
  <si>
    <t>CR-0175574-00</t>
  </si>
  <si>
    <t>Projeto: SPIN – Running change - MY2025
Família: BODY
Tipo: EWO
Número: 4645674
Descrição: 1. 1. ECR 4645674 - DROP LS1/LS2 - BODY - SPIN MY25</t>
  </si>
  <si>
    <t>CR-0175703-00</t>
  </si>
  <si>
    <t xml:space="preserve">
Projeto: SPIN – Running change - MY2025
Família: BODY
Tipo: EWO
Número: 4650017
Descrição: 1. 1. ECR 4650017 -GMSA Zero Forecast Clean UP - BODY - SPIN MY25</t>
  </si>
  <si>
    <t>ISSUE DESCRIPTION
This ECR has been issued to drop LS1/LS2 version.
Change Proposal.
Delete PN 52186113 from BODY WH.
* Need to check exclusive components, due to the PNs obsolescence.
Print Affected:
52167938 - BODY
Sem necessidade de investimento para engenharia corte/lead prep.</t>
  </si>
  <si>
    <t>Change Proposal.
Delete PNs below from BODY WH:
52186109
52186110
52186759
52186760
52186774
Sem necessidade de investimento para engenharia corte/lead prep.</t>
  </si>
  <si>
    <t>CR-0175763-00</t>
  </si>
  <si>
    <t>Projeto: SPIN – Running change - MY2025
Família: ENGINE LI3 &amp; LHE
Tipo: EWO
Número: 4647838
Descrição: 1. ECR 4647838 - ENGINE LI3 &amp; LHE - SPIN MY25</t>
  </si>
  <si>
    <t>Change Proposal: Only applied to PNs evolution
ECR_4605437 ECR_4647838
52187932 ---------&gt; 52190363
52187933 ---------&gt; 52190364
52187934 ---------&gt; 52190365
52187935 ---------&gt; 52190366
52187936 ---------&gt; 52190367
52187937 ---------&gt; 52190368
For technical changes see CR-0174743-00 que está junto com a Cr0152784.
Sem necessidade de investimento para engenharia corte/lead prep.</t>
  </si>
  <si>
    <t>CR-0175779-00</t>
  </si>
  <si>
    <t>Projeto: SPIN – SOP - MY2025
Família: DRIVER DOOR
Tipo: EWO
Número: 4645674
Descrição: 1. ECR 4645674 - DROP LS1/LS2 - DRIVER DOOR- SPIN MY25</t>
  </si>
  <si>
    <t>Change Proposal.
Delete PN 52179364 from Driver Door
Print Affected: 52167941 - Driver Door
Sem necessidade de investimento para engenharia corte/lead prep.</t>
  </si>
  <si>
    <t>CR-0175831-00</t>
  </si>
  <si>
    <t>Projeto: SPIN – SOP - MY2025
Família: CO DRIVER DOOR
Tipo: EWO
Número: 4645674
Descrição: 1. ECR 4645674 - DROP LS1/LS2 - CO DRIVER DOOR- SPIN MY25</t>
  </si>
  <si>
    <t>05/03/2024
e
13/03/2024</t>
  </si>
  <si>
    <t>15:03:00
e
10:13</t>
  </si>
  <si>
    <t>Change Proposal.
Delete PN 52179368 from Co Driver Door
Print Affected: 52167991 - Co Driver Door
Sem necessidade de investimento para engenharia corte/lead prep.</t>
  </si>
  <si>
    <t>CR-0175702-00</t>
  </si>
  <si>
    <t>Projeto: SPIN – Running change - MY2025
Família: BODY
Tipo: EWO
Número: 4632694
Descrição: 1. ECR_4632694: MY25 G1NC – Body WH Changes Required - BODY MY25 / MY26</t>
  </si>
  <si>
    <t>CHANGE PROPOSAL
1- Change Clip FROM 24259074 TO 15416149.
2- Change electrical diagram according mark up only for accessory FOG LAMP.
3- Rear Camera/Antenna branches relocated.
4- Apply Tyzall strap to tie up body wiring harness.
5- Add uncovering length to B88FRONT_LEFT branch (Whell Speed Sensor).
6- Change the wire gauge from 0.35 to 0.5 of circuit 548D.
7- Change only the clip tab direction
Sem necessidade de investimento para engenharia corte/lead prep.</t>
  </si>
  <si>
    <t>CR-0172416-00</t>
  </si>
  <si>
    <t xml:space="preserve">
Projeto: GEM – MVBs - MY2025
Família: BODY 4NB
Tipo: TEWO
Número: TWO4621438
Descrição: 1.</t>
  </si>
  <si>
    <t>TWO application as requested by the Process team.
Affected project - GEM - BODY - 52181680 - MY25 - MVBS.
Segundo informações de produto ( Guilherme) trata-se apenas de uma troca de termo encolhível , pois, já temos a validação do mesmo.
Sem necessidade de investimento para engenharia corte/lead prep.</t>
  </si>
  <si>
    <t>CR-0172420-00</t>
  </si>
  <si>
    <t>Projeto: GEM – MVBs - MY2025
Família: BODY 4NB
Tipo: TEWO
Número: TWO4621438</t>
  </si>
  <si>
    <t>Descrição: 1. TWO application as requested by the Process team.
Affected project - GEM - BODY - 52181681 - MY25 - MVBS.
Sem necessidade de investimento para engenharia corte/lead prep.</t>
  </si>
  <si>
    <t>Projeto: GEM – APPV - MY2026
Família: IP WH             
Tipo: Cost Reduction
Número: 
Descrição: 1. Afeta a Famlia do IP
Essa Cr foi gerada apena para ajusta da WLL dos cabos USB e coaxiais.</t>
  </si>
  <si>
    <t>CR-0173224-00</t>
  </si>
  <si>
    <t xml:space="preserve">
Projeto: GEM – MVBs - MY2025
Família: BODY             
Tipo: EWO
Número: 4585525
Descrição: 1. Affects: Body Family</t>
  </si>
  <si>
    <t>A.1) Extend usage of acrylic tape E15837200 on BDU branch over heat shrinkable tube (up to terminal bend)
Sem necessidade de investimento para engenharia corte/lead prep.</t>
  </si>
  <si>
    <t>CR-0173271-00</t>
  </si>
  <si>
    <t xml:space="preserve">Projeto: GEM – MVBs - MY2025
Família: BODY             
Tipo: EWO
Número: 4585525          </t>
  </si>
  <si>
    <t xml:space="preserve">Descrição: 1. 1. Affects BOdy's family
A.2) BODY WH (MY25 only) Change UEC branch / Side Blinker LH branch as described below:
A.2.1) Relocate UEC branch takeout to 50mm from the clip and change its length from 68mm to 83mm
A.2.2) Relocate splice as described
Favor considerer:
•	SCRAP - R$2.814,53 </t>
  </si>
  <si>
    <t>CR-0173355-00</t>
  </si>
  <si>
    <t>CR-0173366-00</t>
  </si>
  <si>
    <t>Descrição: 1. Affects Body's family
BODY WH - Move splice STD_X117SP1361_W53_X1
Look severity in VCD
•	Scrap - R$3265,32</t>
  </si>
  <si>
    <t>Extend usage of acrylic tape on BDU branch over heat shrinkable tube (up to terminal bend)
Look severity in VCD
Sem necessidade de investimento para engenharia corte/lead prep.</t>
  </si>
  <si>
    <t>CR-0173368-00</t>
  </si>
  <si>
    <t>BODY WH (MY25 only) Change UEC branch / Side Blinker LH branch as described below:
A.2.1) Relocate UEC branch takeout to 50mm from the clip and change its length from 68mm to 83mm
A.2.2) Relocate splice as described
Look severity in VCD
Favor considerer: 
•	Scrap – R$3346,62</t>
  </si>
  <si>
    <t>CR-0173434-00</t>
  </si>
  <si>
    <t>Projeto: GEM – MVBs - MY2025
Família: Body
Tipo: EWO
Número: 4585525</t>
  </si>
  <si>
    <t>Número: 4585525
Descrição: 1. affects body's family Body WH - Change the Mastic from E22512600 to E02573900. See severity in VCD
Sem necessidade de investimento para engenharia corte/lead prep.</t>
  </si>
  <si>
    <t>CR-0173438</t>
  </si>
  <si>
    <t xml:space="preserve">Número: 4585525
Descrição: 1. Affects Body's family BODY WH - Move splice STD_X117SP1361_W53_X1 see severity in VCD
Favor considerar:
•	Scrap : R$1113,41
</t>
  </si>
  <si>
    <t>CR-0173441-00</t>
  </si>
  <si>
    <t>Projeto: GEM – MVBs - MY2025
Família: Engine
Tipo: EWO
Número: 4585525</t>
  </si>
  <si>
    <t>14;52</t>
  </si>
  <si>
    <t>Descrição: 1. Affects Engine 52181683 - MY25 ENGINE WH - Reduce UEC branch from 122mm to 112mm.
Favor considerar:
•	Scrap : R$2505,07</t>
  </si>
  <si>
    <t>CR-0173443-00</t>
  </si>
  <si>
    <t>Projeto: GEM – MVBs - MY2025
Família: Engine
Tipo: EWO</t>
  </si>
  <si>
    <t>Número: 4585525
Descrição: 1. Affects Engine 52181684 - MY25 ENGINE WH - Reduce UEC branch from 122mm to 112mm
Favor considerar:
•	Scrap ; R$1279,67</t>
  </si>
  <si>
    <t>CR-0173444-00</t>
  </si>
  <si>
    <t>Número: 4585525
Descrição: 1. Affects Engine 52181685 - MY25 ENGINE WH - Reduce UEC branch from 122mm to 112mm.
Favor considerar:
•	Scrap : R$1712,37</t>
  </si>
  <si>
    <t>CR-0173445-00</t>
  </si>
  <si>
    <t>Número: 4585525
Descrição: 1. Affects Engine 52181686 - MY25 ENGINE WH - Reduce UEC branch from 122mm to 112mm.
Favor considerar:
•	Scrap ; R$2086,17</t>
  </si>
  <si>
    <t>15;37</t>
  </si>
  <si>
    <t>CR-0173450</t>
  </si>
  <si>
    <t>Número: 4585525
Descrição: 1. Affects Engine 52181685 ENGINE WH (LIF ONLY) - Move splice STD_X117SP5291_BUN1892_1_X1 from branch RN33 to RN28.
Favor considerar :
SCRAP : 1256,47</t>
  </si>
  <si>
    <t>CR-0173463-00</t>
  </si>
  <si>
    <t>Número: 4585525
Descrição: 1. Affects Engine 52181685 ENGINE WH (LIF ONLY) - Move splice STD_X117SP5291_BUN1892_1_X1 from branch RN10 to RN6
Favor considerar:
Scrap : R$2098,34</t>
  </si>
  <si>
    <t>CR-0173567-00</t>
  </si>
  <si>
    <t>Descrição: 1. Affects Engine 52182665 ENGINE WH (LIF ONLY) - Move splice STD_X117SP5291_BUN1892_1_X1 from branch RN33 to RN28.
Favor considerar:
Scrap : R$598,34</t>
  </si>
  <si>
    <t>CR-0173569-00</t>
  </si>
  <si>
    <t>Número: 4585525
Descrição: 1. Affects Engine 52182665 ENGINE WH (LIF ONLY) - Move splice STD_X117SP5291_BUN1892_1_X1 from branch RN10 to RN6.
Favor considerar:
•	SCRAP : R$323,56</t>
  </si>
  <si>
    <t>CR-0173660-00</t>
  </si>
  <si>
    <t>Projeto: GEM – MVBs - MY2025
Família: ENGINE
Tipo: EWO
Número: ECR4585525</t>
  </si>
  <si>
    <t xml:space="preserve">Descrição: 1. HARNESS AFFECTED ENGINE 52181683 ENGINE WH (MY25 ONLY. FOR MY26/MY27, THIS MODIFICATION WAS ALREADY CONSIDERED IN ECR4489010) - Relocate TCM branch takeout and replace current finishing by crush shield on TCM branch (spec: SB-D8D-ACB-BK)
Favor considerar:
•	Scrap : R$734,23.
</t>
  </si>
  <si>
    <t>CR-0173471-00</t>
  </si>
  <si>
    <t>Projeto: GEM – MVBs - MY2025
Família: IP
Tipo: EWO
Número: 4585525</t>
  </si>
  <si>
    <t xml:space="preserve">Descrição: 1. Affects IP family IP WH IP WH - Replace ethernet cables Acome from PNs 1502X3019 (CU-R3XLPE-DB – Suppleir Acome - local) and 16AH32010 (CU-R3XLPE-DB- Supplier Acome - local) by PN E07773400 (CU-R2PP-E1 – Supplier Leoni - imported). See severity in VCD
Favor considerar:
•	02 validações conforme norma USCAR 21 -  Motivo -  troca do código Legacy </t>
  </si>
  <si>
    <t>CR-0173438-00</t>
  </si>
  <si>
    <t>CR-0173450-00</t>
  </si>
  <si>
    <t>Descrição: 1. Affects Body's family BODY WH - Move splice STD_X117SP1361_W53_X1 see severity in VCD
Favor considerar:
• SCRAP - R$1245,20</t>
  </si>
  <si>
    <t>Descrição: 1. Affects Engine 52181685 ENGINE WH (LIF ONLY) - Move splice STD_X117SP5291_BUN1892_1_X1 from branch RN33 to RN28.
Favor considerar:
•	SCRAP – R$1554,20</t>
  </si>
  <si>
    <t>CR-0176299-00</t>
  </si>
  <si>
    <t>Projeto: GEM – APPV - MY2027
Família: BODY  
Tipo: EWO
Número: 4610896</t>
  </si>
  <si>
    <t>CR-0176781-00</t>
  </si>
  <si>
    <t>Projeto: SPIN – Running change - MY2025
Família: IP WH
Tipo: EWO
Número: 4645674</t>
  </si>
  <si>
    <t>Felipe</t>
  </si>
  <si>
    <t xml:space="preserve">Descrição: 1. ECR 4645674 - DROP LS1/LS2 - IP - SPIN MY25
ISSUE DESCRIPTION .This ECR has been issued to drop LS1/LS2 version.
Change Proposal.
Delete PN 52186119 from IP WH
MO Técnica:  6 Horas HI   8 Horas SAL
  Máquina/ Acessórios:  N/A 
Material:  Scrap:  10.257,12  reais </t>
  </si>
  <si>
    <t xml:space="preserve">Descrição: 1. IT AFFECTS THE BODY FAMILY
1. Create new PNs of BODY WH for MY27 only. New PNs are similar to their references except by addition of option &amp;UD7. Delete PNs without UD7 option for MY27.
•	01 validação coonforme norma USCAR 21 para o terminal E15395600 FLR21X-A-0.35.
•	01 validação conforme norma USCAR 45 para a nova configuração STD_X117SP4150_BUN1234_1_X1.
•	01 validação conforme norma GMW17136 para a configuração STD_X117SP4150_BUN1234_1_X1. Termo - E16718500.
•	01 Rack de locações para lead prep.
•	01 Rack de locações para corte de circuitos.
•	Scrap – R$304,00
•	16 hs técnicas 
</t>
  </si>
  <si>
    <t>CR-0175836-00</t>
  </si>
  <si>
    <t>Projeto: GEM – APPV - MY2026
Família: IP WH  
Tipo: EWO
Número: 4610896</t>
  </si>
  <si>
    <t xml:space="preserve">Descrição: 1. 1. IT AFFECTS THE BODY FAMILY
1. Create new PNs of BODY WH for MY27 only. New PNs are similar to their references except by addition of option &amp;UD7. Delete PNs without UD7 option for MY27.
Favor considerer:
•	01 validação coonforme norma USCAR 21 para o terminal E15395600 FLR21X-A-0.35.
•	01 validação conforme norma USCAR 45 para a nova configuração STD_X117SP4150_BUN1234_1_X1.
•	01 validação conforme norma GMW17136 para a configuração STD_X117SP4150_BUN1234_1_X1. Termo - E16718500.
•	01 Rack de locações para lead prep.
•	01 Rack de locações para corte de circuitos.
•	Scrap – R$304,00
•	16 hs técnicas </t>
  </si>
  <si>
    <t>CR-0176419-00</t>
  </si>
  <si>
    <t>Projeto: GEM – MVBs - MY2025
Família: BODY  
Tipo: EWO
Número: ECR4646755
Descrição: 1. Affects body family</t>
  </si>
  <si>
    <t>Create new Body WH PNs with L4F engine for version 2LT ARG / URU. Note: new PNs are similar to their references, except by:
Removal: LIF
Addition: L4F / RVC
Sem necessidade de investimento para engenharia corte/lead prep.</t>
  </si>
  <si>
    <t>CR-0176602-00</t>
  </si>
  <si>
    <t xml:space="preserve">
Projeto: GEM – MVBs - MY2025
Família: BODY  
Tipo: EWO
Número: 4646755
Descrição: 1. 1. Affects body family</t>
  </si>
  <si>
    <t>CR-0176297-00</t>
  </si>
  <si>
    <t>Projeto: GEM – APPV - MY2027
Família: IP WH  
Tipo: EWO
Número: 4610896</t>
  </si>
  <si>
    <t>Descrição: 1. Create new PNs of IP WH for MY27 only. New PNs are similar to their references except by addition of option &amp;UD7. Delete PNs without UD7 option for MY27
Favor considerar:
•	02 validação conforme norma USCAR 45 -  Motivo – configuração nova.
•	02 validações conforme norma GMW17136 – Motivo – configuração nova para o termo E01120300.</t>
  </si>
  <si>
    <t>CR-0174636-00</t>
  </si>
  <si>
    <t>Projeto: GEM – MVBs - MY2025
Família: ROOF
Tipo: EWO
Número: 4585525</t>
  </si>
  <si>
    <t>Descrição: 1. ROOF WH - Change heat shrink tube over Splices SP6815 / SP2150 / SP157 from E02000700 - HC-CDB-0003-TE (65mm, 135°C, 5 ID) to 3299362G2 - HC-BBB-PCA-BK (50mm, 110°, 6 ID).
Favor considerer:
•	06 validações conforme norma GMW17136. Motivo - Troca de termo novo.
•	Scrap para validações : R$345,00</t>
  </si>
  <si>
    <t>CR-0174909-00</t>
  </si>
  <si>
    <t>Projeto: GEM – MVBs - MY2025
Família: REAR BUMPER
Tipo: EWO
Número: 4585525
Descrição: 1. REAR BUMPER 26293109 - MY25</t>
  </si>
  <si>
    <t>REAR BUMPER WH - Change heat shrink tube over Splices SP3350_BUN824 / SP9_BUN824 / SP2379_BUN944 / SP2379_BUN513 / SP2374_BUN944 / SP2374_BUN513 from E02000700 - HC-CDB-0003-TE (65mm, 135°C, 5 ID) to 3299362G2 - HC-BBB-PCA-BK (50mm, 110°, 6 ID).
Favor considerar:
•	04 validações conforme norma GMW17136. Motivo – Termo 3299362G2 novo.
•	Scrap para validação: R$150,00</t>
  </si>
  <si>
    <t>CR-0174910-00</t>
  </si>
  <si>
    <t>Projeto: GEM – MVBs - MY2025
Família: REAR BUMPER
Tipo: EWO
Número: 4585525
Descrição: 1. REAR BUMPER 26293110 - MY25</t>
  </si>
  <si>
    <t>REAR BUMPER WH - Change heat shrink tube over Splices SP3350_BUN824 / SP9_BUN824 / SP2379_BUN944 / SP2379_BUN513 / SP2374_BUN944 / SP2374_BUN513 from E02000700 - HC-CDB-0003-TE (65mm, 135°C, 5 ID) to 3299362G2 - HC-BBB-PCA-BK (50mm, 110°, 6 ID).
CR condicionada sem investimento porque já foi considerado o investimento na CR-0174909-00. Caso esta CR entre em processo de validação antes da CR-0174909-00 deverá ser considerado o investimento da CR anterior.</t>
  </si>
  <si>
    <t>BODY 2LT ARG / URU</t>
  </si>
  <si>
    <t>W.Mapa</t>
  </si>
  <si>
    <t>Criação de novos derivativos com adição de 02 opciuonais, exclusão de 01 opcional em relação ao derivatico de referência com impacto em volume de circuitos de corte e demais processos de lead prep cofnorme abaixo:
1) Aumento de volume de 76 circuitos de corte
2) Redução de volume de 02 circuitos de corte
3) Aumento de volume de 03 splices
4) Aumento de volume de 04 Multicrimp
Solicitado a Marcio Militani Mix para novos derivativos para análise de carga de máquina (Capacidade x disponibilidade)
Nota: Ver Racional na pasta da CR</t>
  </si>
  <si>
    <t>CR-0176804-00</t>
  </si>
  <si>
    <t>Cria novos PNs de Rear Bumper (ECR4611651)</t>
  </si>
  <si>
    <t>Em analise</t>
  </si>
  <si>
    <t>CR-0176400-00</t>
  </si>
  <si>
    <t>Projeto: VS30 – SORP – 2024_01
Família: Autarke                                                                                                                                        
Tipo: Release
Número: ZAT515319</t>
  </si>
  <si>
    <t>Favor considerar sem impacto para corte e Lead prep.</t>
  </si>
  <si>
    <t>CR-0176401-00</t>
  </si>
  <si>
    <t>Projeto: VS30 – SORP – 2024_01
Família: Door                                                                                                                                        
Tipo: Release
Número: VAT312323</t>
  </si>
  <si>
    <t xml:space="preserve">
Favor considerar sem impacto para corte e Lead prep.</t>
  </si>
  <si>
    <t>CR-0176402-00</t>
  </si>
  <si>
    <t xml:space="preserve">
Favor considerar sem impacto para corte e Lead Prep.</t>
  </si>
  <si>
    <t>CR-0176412-00</t>
  </si>
  <si>
    <t>Projeto: VS30 – SORP – 2024_01
Família: BODY                                                                                                                                        
Tipo: Release
Número: VAT312123</t>
  </si>
  <si>
    <t>Sem impacto para corte e Lead Prep.( Investimentos já reportados na CR-0177281-00)</t>
  </si>
  <si>
    <t>CR-0176516-00</t>
  </si>
  <si>
    <t>Projeto: VS30 – SORP – 2024_01
Família: DOOR                                                                                                                                        
Tipo: Release
Número: VAT312323</t>
  </si>
  <si>
    <t xml:space="preserve">Favor considerar sem impacto para corte e Lead Prep.
Scrap R$   95,32 </t>
  </si>
  <si>
    <t>CR-0176517-00</t>
  </si>
  <si>
    <t>CR-0176518-00</t>
  </si>
  <si>
    <t xml:space="preserve">Considerar sem impacto para corte e Lead Prep.
Scrap   R$ 97,63 
</t>
  </si>
  <si>
    <t>CR-0176520-00</t>
  </si>
  <si>
    <t>CR-0176285-01</t>
  </si>
  <si>
    <t>Projeto: VS30 – SORP – 2024_01
Família: IP WH                                                                                                                                        
Tipo: Release
Número: VAT312023</t>
  </si>
  <si>
    <t xml:space="preserve">
Considerar sem impacto para corte e lead Prep.
Scrap R$ 1.761,18 
</t>
  </si>
  <si>
    <t>CR-0177282-00</t>
  </si>
  <si>
    <t xml:space="preserve">
Projeto: VS30 – SORP – 2024_01
Família: BODY                                                                                                                                        
Tipo: Release
Número: VAT312123</t>
  </si>
  <si>
    <t xml:space="preserve">
Considerar Sem impacto para corte e Lead Prep.( Investimentos já reportados na CR-0177281-00)</t>
  </si>
  <si>
    <t>CR-0177294-00</t>
  </si>
  <si>
    <t>Considerar Sem impacto para corte e Lead Prep.( Investimentos já reportados na CR-0177281-00)</t>
  </si>
  <si>
    <t>CR-0177296-00</t>
  </si>
  <si>
    <t>CR-0177289-00</t>
  </si>
  <si>
    <t>CR-0177293-00</t>
  </si>
  <si>
    <t>CR-0177286-00</t>
  </si>
  <si>
    <t>CR-0177291-00</t>
  </si>
  <si>
    <t>CR-0177281-00</t>
  </si>
  <si>
    <t>Projeto: VS30 – SORP – 2024_01
Família: BODY
Tipo: Release
Número: VAT312123</t>
  </si>
  <si>
    <t xml:space="preserve">
01 mini aplicador heavy gauge Mecal para o terminal 3201510U6
01 mini aplicador Mecal para o terminal 320151509
01 mini aplicador TE para o terminal E06921800
01 mini aplicador TE para o terminal 32025Y154
07 validações de Aplicação de terminais conforme Norma VS30
14 validações de Multicrimp conforme norma VS30
05 caixas KLT Grande para Tubos 
226 Horas técnicas 
50 Horas HI
82 horas Terceiros
Amostras validação     R$    7.085,59 
Scrap considerando base take rate MCR    R$    25.313,76 </t>
  </si>
  <si>
    <t>CR-0177290-01</t>
  </si>
  <si>
    <t>CR-0177284-01</t>
  </si>
  <si>
    <t>CR-0176285-00</t>
  </si>
  <si>
    <t>Cancelado</t>
  </si>
  <si>
    <t>CR-0177294-01</t>
  </si>
  <si>
    <t xml:space="preserve">Considerar sem impacto no corte e lead Prep.
Scrap R$   244,03 
</t>
  </si>
  <si>
    <t>CR-0177284-00</t>
  </si>
  <si>
    <t>CR-0177290-00</t>
  </si>
  <si>
    <t>CR-0177290-02</t>
  </si>
  <si>
    <t>CR-0178309-00</t>
  </si>
  <si>
    <t>Projeto: VS30 – SORP – 2023_02
Família: BODY                                                                                                                                        
Tipo: PFD
Número: PFD-VS30-BR907-AEHJ2023_02-2566</t>
  </si>
  <si>
    <t xml:space="preserve">Considerar sem impacto para corte e lead Prep.
Scrap   R$       2.324,31 </t>
  </si>
  <si>
    <t>CR-0178369-00</t>
  </si>
  <si>
    <t>CR-0175031-01</t>
  </si>
  <si>
    <t>W. Mapa</t>
  </si>
  <si>
    <t>Sem impacto para corte e lead prep, por se tratar de evolução de PN sem alterações e/ou adicão/remoção de opcionais</t>
  </si>
  <si>
    <t>Concluir anaálise</t>
  </si>
  <si>
    <t>Projeto: GEM – MY2025
Família: BODY 5HB
Tipo: EWO
Número: 4585525
Descrição: 1. 1. Affect Front Fascia - 26294090
CR generated only for PN evolution</t>
  </si>
  <si>
    <t>Projeto: GEM – MVBs - MY2025
Família: FRONT BUMPER  
Tipo: EWO
Número: O4646755
Descrição: Evolução dos derivativos abaixo com alteração de RPO devido a versão 2LT do engine. Com a evolução dos derivativos REMOVE o RPO (LIF) e Adiciona (L4F e RVC)</t>
  </si>
  <si>
    <t>Projeto: GEM – APPV - MY2027
Família: REAR BUMPER  
Tipo: EWO
Número: 4611651
Descrição: 1. GEM B NARROW 52189505 RR OBJECT ALARM SEN APPV MY27</t>
  </si>
  <si>
    <t>Derivativos de referência não localizados no EDI
Revisar impacto de acordo com Take Rate de vendas enviado para análise de por aumento de volume de circuitos e demais processos
Ver racional prévio salvo na nova pasta da CR</t>
  </si>
  <si>
    <t>Remove 05 derivativos e adiciona 01 derivativo (Apenas 02 opcionais UD7 e HB5 já utilizado no derivativo 52177848) no desenho 26293109
Falta informação do desenho 26293109 onde remove 05 derivativos e adiciona 01 derivativo (Apenas 01 opcional UD7 já utilizado no derivativo 52177846)
Informação importante para verificar se temos circuitos comuns para calculo de scrap e demais analises
Ver racional prévio salvo na nova pasta da CR</t>
  </si>
  <si>
    <t>CR-0177696-00</t>
  </si>
  <si>
    <t>Projeto: GEM – MVBs - MY2025
Família: IP WH  
Tipo: EWO
Número: ECR4671123
Descrição: 1. Affects IP family</t>
  </si>
  <si>
    <t xml:space="preserve">
 Favor Considerar sem impacto para corte e Lead Prep.( análise feita Base Take rate atual não recebemos Take rate atualizado )Acréscimo de volume 2.464 circuitos dia e dois tipos no corte base MCR de 1506.</t>
  </si>
  <si>
    <t>CR-0177750-00</t>
  </si>
  <si>
    <t>Projeto: GEM – MVBs - MY2026
Família: IP WH  
Tipo: EWO
Número: ECR4671738</t>
  </si>
  <si>
    <t>Favor Considerar sem impacto para corte e Lead Prep.( análise feita Base Take rate atual não recebemos Take rate atualizado )
Saida de volume 428 circuitos dia e 0,284 tipos no corte base MCR de 1507 jpd.</t>
  </si>
  <si>
    <t>CR-0177885-00</t>
  </si>
  <si>
    <t>Projeto: GEM – MVBs - MY2026
Família: BODY  
Tipo: TEWO
Número: TWO4673431
Descrição: 1. AFFECTS THE BODY FAMILY
B.3) Change Front Fog Lamp power circuits.
B.3.1) Disconnect ckts 1317 (from A15LV2_X5 – cav. 7 to X111 – cav.32) and 2234 (from X112 – cav.31 to X102 – cav.11) but keep them in the WH as backup circuits
B.3.2) Add ckt 2234 between BCM (A15LV2_X5 – cav. 24) and Inline to Front Bumper (X102 – cav. 11).</t>
  </si>
  <si>
    <t>Considerar para corte e Lead Prep. ( Análise realizada base Delta cut , implementação condicionada, aprovação dos testes conforme normas especificadas e a conferência do time de produto sobre aplicação do terminal E10146200 no SEM range máximo do terminal é para bitola de 0.50 )
1 Aplicador Mecal modelo MRSP1 para terminal E10146200 ( para Aplicação manual Lead Prep.)
1 Validações conforme norma USCAR21
8 horas técnicas 
Amostras Validação R$ 41,94</t>
  </si>
  <si>
    <t xml:space="preserve"> CR-0177889-00</t>
  </si>
  <si>
    <t>Considerar para corte e Lead Prep. ( Análise realizada base Delta cut , implementação condicionada, aprovação dos testes conforme normas especificadas e a conferência do time de produto sobre aplicação do terminal E10146200 no SEM range máximo do terminal é para bitola de 0.50 )
1 Aplicador Mecal modelo MRSP1 para terminal E10146200 ( para Aplicação manual Lead Prep.) ( já reportado na CR-0177885-00 )
1 Validações conforme norma USCAR21 ( já reportado na CR-0177885-00 )
8 horas técnicas ( já reportado na CR-0177885-00 )
Amostras Validação R$ 41,94 ( já reportado na CR-0177885-00 )</t>
  </si>
  <si>
    <t>CR-0178085-00</t>
  </si>
  <si>
    <t xml:space="preserve">Projeto: GEM – MVBs - MY2027
Família: IP WH  
Tipo: EWO
Número: ECR4677207
Descrição: 1. 1. Affects IP family
IP WH (MY25 / MY26 / MY27) – CLIP - from APTIV PN 15411124 to Hellermann Tyton PN 133-04509
see severity in VCD
</t>
  </si>
  <si>
    <t xml:space="preserve">
Considerar sem impacto para corte e Lead Prep.
</t>
  </si>
  <si>
    <t xml:space="preserve"> CR-0178162-00</t>
  </si>
  <si>
    <t xml:space="preserve">Projeto: GEM – APPV - MY2026
Família: IP WH  
Tipo: EWO
Número: ECR4677207
Descrição: 1. Family: IP
IP WH /MY26/MY27 - Replace ethernet cables Acome from PNs 1502X3019 (CU-R3XLPE-DB – Supplier Acome - local) and 16AH32010 AND E21154500 (CU-R3XLPE-DB- Supplier Acome - local) by PN E07773400 (CU-R2PP-E1 – Supplier Leoni - imported)
</t>
  </si>
  <si>
    <t xml:space="preserve">
Considerar para corte e Lead Prep. ( Análise realizada base Delta cut , implementação condicionada, aprovação dos testes conforme normas especificadas )
1 Aplicador Mecal modelo MRSP1 para terminal E32673300 ( para Aplicação manual Lead Prep.) Já Solicitado Na CR-0162211-00  </t>
  </si>
  <si>
    <t>CR-0178185-00</t>
  </si>
  <si>
    <t xml:space="preserve">
Projeto: GEM – APPV - MY2026
Família: IP WH  
Tipo: EWO
Número: ECR4677207
Descrição: 1. Family: IP
For splice SP6816_W191_5_X1, update option for circuit 6816A from: UHX to: UFQ&amp;UHX</t>
  </si>
  <si>
    <t>CR-0178188-00</t>
  </si>
  <si>
    <t>Projeto: GEM – MVBs - MY2026
Família: IP WH  
Tipo: EWO
Número: ECR4677207
Descrição: 1. Family: IP</t>
  </si>
  <si>
    <t xml:space="preserve">Sem impacto para corte e lead Prep.
Alteração de Fita DE E04650700 Para E15837200
</t>
  </si>
  <si>
    <t xml:space="preserve">Projeto: GEM – MVBs - MY2025
Família: BODY  
Tipo: EWO
Número: 4646755
Descrição: 1. 1. Affects body family
Create new Body WH PNs with L4F engine for version 2LT ARG / URU. Note: new PNs are similar to their references, except by:
Removal: LIF
Addition: L4F / RVC
</t>
  </si>
  <si>
    <t xml:space="preserve">Favor Considerar sem impacto para corte e Lead prep. ( Análise realizada base Delta cut, e take rate disponibilizado )
Acréscimo 144 peças dia no corte e 0,5 tipos por dia
</t>
  </si>
  <si>
    <t>0.000</t>
  </si>
  <si>
    <t xml:space="preserve">CR-0170489-00 IP </t>
  </si>
  <si>
    <t>--3299362G2-1,2-0,5-1,7-----0,35-0,5-0,35-----0,5-----------</t>
  </si>
  <si>
    <t>--3299362G2-0,7-1-1,7-----0,35-0,35------0,5-0,5----------</t>
  </si>
  <si>
    <t>--E16718500-1,05-0,35-1,4-----0,35-0,35-0,35-----0,35-----------</t>
  </si>
  <si>
    <t>--E16718500-0,35-0,7-1,05-----0,35-------0,35-0,35----------</t>
  </si>
  <si>
    <t>--3299362M9-3,35-4-7,35-----0,35-0,5-2,5-----1-3----------</t>
  </si>
  <si>
    <t>--3299362M9-4,35-3-7,35-----1-0,35-0,5-2,5----3-----------</t>
  </si>
  <si>
    <t>--E16718500-0,5-0,85-1,35-----0,5-------0,5-0,35----------</t>
  </si>
  <si>
    <t>--E16718500-0,35-0,75-1,1-----0,35-------0,75-----------</t>
  </si>
  <si>
    <t>--E16718500-1,25-0,5-1,75-----0,5-0,75------0,5-----------</t>
  </si>
  <si>
    <t>--E16718500-0,85-0,35-1,2-----0,5-------0,35-----0,35------</t>
  </si>
  <si>
    <t>--E16718500-0,5-1,85-2,35-----0,5-------0,5-0,5-0,5-0,35--------</t>
  </si>
  <si>
    <t>--3299362M9-6,25-0,5-6,75-----1,5-0,5-0,75-2----0,5-----1,5------</t>
  </si>
  <si>
    <t>--E16725300-1,35-1,9-3,25-----0,35-1------0,35-0,35-0,35-0,5-0,35-------</t>
  </si>
  <si>
    <t>--E16725300-1,75-4-5,75-----1-0,75------0,5-0,5-3---------</t>
  </si>
  <si>
    <t>--E16725300-1,75-9-10,75-----1-0,75------2,5-0,5-0,5-2,5-3-------</t>
  </si>
  <si>
    <t>--E01120300-2,5-15-17,5-----2,5-------2,5-2,5-2,5-2,5-2,5-2,5------</t>
  </si>
  <si>
    <t>--E16725300-1,25-1,05-2,3-----0,75-0,5------0,35-0,35-0,35---------</t>
  </si>
  <si>
    <t>--E16725300-1,25-1,75-3-----0,75-0,5------0,35-0,35-0,35-0,35-0,35-------</t>
  </si>
  <si>
    <t>--E16725300-1,25-2,1-3,35-----0,75-0,5------0,35-0,35-0,35-0,35-0,35-0,35------</t>
  </si>
  <si>
    <t>--E16725300-0,5-3-3,5-----0,5-------2,5-0,5----------</t>
  </si>
  <si>
    <t>--3299362G2-0,35-0,7-1,05-----0,35-------0,35-0,35----------</t>
  </si>
  <si>
    <t>--3299362G2-2,85-4-6,85-----0,35-2,5------2,5-0,5-1---------</t>
  </si>
  <si>
    <t>--E02000700-0,35-1,05-1,4-----0,35-------0,35-0,35-0,35---------</t>
  </si>
  <si>
    <t>--E02000700-0,35-0,7-1,05-----0,35-------0,35-0,35----------</t>
  </si>
  <si>
    <t>--E02000700-1,05-1,05-2,1-----0,35-0,35-0,35-----0,35-0,35-0,35---------</t>
  </si>
  <si>
    <t>--E02000700-1,05-0,35-1,4-----0,35-0,35-0,35-----0,35-----------</t>
  </si>
  <si>
    <t>--E02000700-1,4-0,7-2,1-----0,35-0,35-0,35-0,35----0,35-0,35----------</t>
  </si>
  <si>
    <t>--E02000700-0,5-1,25-1,75-----0,5-------0,5-0,75----------</t>
  </si>
  <si>
    <t>--E02000700-1-0,5-1,5-----0,5-0,5------0,5-----------</t>
  </si>
  <si>
    <t>--E02000700-1,05-1,4-2,45-----0,35-0,35-0,35-----0,35-0,35-0,35-0,35--------</t>
  </si>
  <si>
    <t>--E02000700-1-0,5-1,5-----0,5-0,5-- ----0,5-----------</t>
  </si>
  <si>
    <t>--E02000700-1250-0,5-1,75-----0,5-0,75------0,5-----------</t>
  </si>
  <si>
    <t>---0-0,35-0,35------------0,35-----------</t>
  </si>
  <si>
    <t>--E16718500-1,25-0,5-1,75-----0,75-0,5------0,5-----------</t>
  </si>
  <si>
    <t>--E16718500-0,75-1-1,75-----0,75-------0,5-0,5----------</t>
  </si>
  <si>
    <t>--E16718500-0,5-2,25-2,75-----0,5-------0,5-0,5-0,75---------</t>
  </si>
  <si>
    <t>--E16718500-1,5-0,75-2,25-----0,5-0,5-0,5-----0,75-----------</t>
  </si>
  <si>
    <t>--E16725300-1,25-0,7-1,95-----0,75-0,5------0,35-0,35----------</t>
  </si>
  <si>
    <t>--E16725300-1,25-1,4-2,65-----0,75-0,5------0,35-0,35-0,35-0,35--------</t>
  </si>
  <si>
    <t>--E16725300-1,25-0,35-1,6-----0,75-0,5------0,35-----------</t>
  </si>
  <si>
    <t>--E16725300-1,1-1,2-2,3-----0,35-0,75------0,35-0,35-0,5---------</t>
  </si>
  <si>
    <t>--E16725300-1,1-0,85-1,95-----0,35-0,75------0,35-0,5----------</t>
  </si>
  <si>
    <t>--E16718500-1,85-0-1,85-----0,75-0,75-0,35----------------</t>
  </si>
  <si>
    <t>--E16725300-0-3-3------------2,5-0,5----------</t>
  </si>
  <si>
    <t>--E16725300-3-0-3-----2,5-0,5-----------------</t>
  </si>
  <si>
    <t>--E16718500-1-0,5-1,5-----0,5-0,5------0,5-----------</t>
  </si>
  <si>
    <t>--E16718500-0,35-0,35-0,7-----0,35-------0,35-----------</t>
  </si>
  <si>
    <t>--E16718500-0,5-1-1,5-----0,5-------0,5-0,5----------</t>
  </si>
  <si>
    <t>--E16718500-0-1,75-1,75------------0,5-0,75-0,5---------</t>
  </si>
  <si>
    <t>--E16725300-1,35-1,55-2,9-----0,35-1------0,35-0,35-0,35-0,5--------</t>
  </si>
  <si>
    <t>--E16718500-1,4-1,05-2,45-----0,35-0,35-0,35-0,35----0,35-0,35-0,35---------</t>
  </si>
  <si>
    <t>--E16718500-1,05-1,05-2,1-----0,35-0,35-0,35-----0,35-0,35-0,35---------</t>
  </si>
  <si>
    <t>3202585H5-----0,35-----------------------</t>
  </si>
  <si>
    <t>E02656000-----0,75-----------------------</t>
  </si>
  <si>
    <t>E05363600-----0,75-----------------------</t>
  </si>
  <si>
    <t>E02719100-----0,5-----------------------</t>
  </si>
  <si>
    <t>E04410900-----0,35-----------------------</t>
  </si>
  <si>
    <t>32025Y3B8-----0,75-----------------------</t>
  </si>
  <si>
    <t>E03844600-----0,35-----------------------</t>
  </si>
  <si>
    <t>E15132900--3299365JY---3,25-1-1-0,75-0,5-------------------</t>
  </si>
  <si>
    <t>E15132900--3299365JY---2,75-1-1-0,75--------------------</t>
  </si>
  <si>
    <t>--3299362M9-1,5-2,5-4-----1,5-------2-0,5----------</t>
  </si>
  <si>
    <t>--E16718500-1,5-1,5-3-----0,75-0,75------0,75-0,75----------</t>
  </si>
  <si>
    <t>--3299362M9-0-3-3------------3-----------</t>
  </si>
  <si>
    <t>--3299362M9-3,5-3-6,5-----0,5-0,5-2,5-----3-----------</t>
  </si>
  <si>
    <t>--3299362M9-4,5-3-7,5-----1-0,5-0.5-2,5----3-----------</t>
  </si>
  <si>
    <t>--3299362M9-4,5-3-7,5-----1-0,5-0,5-2,5----3-----------</t>
  </si>
  <si>
    <t>--3299362M9-3,5-4-7,5-----0,5-0,5-2,5-----1-3----------</t>
  </si>
  <si>
    <t>--3299362M9-3,5-4,5-8-----0,5-1-2,5-----3-0,5----------</t>
  </si>
  <si>
    <t>--E16718500-0,5-0,85-1,35-----0,5-------0,35-0,75----------</t>
  </si>
  <si>
    <t>--E16718500-0-0,75-0,75------------0,75-----------</t>
  </si>
  <si>
    <t>--3299362M9-3-0-3-----0,5-0,5-2----------------</t>
  </si>
  <si>
    <t>--E16718500-0-0,7-0,7------------0,35-0,35----------</t>
  </si>
  <si>
    <t>--E16718500-0-1,05-1,05------------0,35-0,35-0,35---------</t>
  </si>
  <si>
    <t>--E16718500-0,5-1,1-1,6-----0,5-------0,35-0,75----------</t>
  </si>
  <si>
    <t>--E16718500-0,7-0,35-1,05-----0,35-0,35------0,35-----------</t>
  </si>
  <si>
    <t>E02719100--E16718500-0,85---0,35-0.50---------------------</t>
  </si>
  <si>
    <t>E02719100--E16718500-1---0,5-0,5---------------------</t>
  </si>
  <si>
    <t>E15132900--3299365JY---3,5-0,5-3---------------------</t>
  </si>
  <si>
    <t>E15132900--3299365JY---3,85-0,5-3-0,35--------------------</t>
  </si>
  <si>
    <t>E15132900--3299365JY---3,35-3-0,35---------------------</t>
  </si>
  <si>
    <t>--E16718500-0,85-1,05-1,9-----0,5-0,35------0,35-0,35-0,35---------</t>
  </si>
  <si>
    <t>--E16718500-0,85-0,7-1,55-----0,5-0,35------0,35-0,35----------</t>
  </si>
  <si>
    <t>E10146200-----0,75-----------------------</t>
  </si>
  <si>
    <t>32025Y0VL-320455AKC----0,5-----------------------</t>
  </si>
  <si>
    <t>32025Y0VL-320455A4C----0,5-----------------------</t>
  </si>
  <si>
    <t>E04174100-----0,5-----------------------</t>
  </si>
  <si>
    <t>E16318300-----0,5-----------------------</t>
  </si>
  <si>
    <t>E01647000-----0,5-----------------------</t>
  </si>
  <si>
    <t>E02719100-----0,35-----------------------</t>
  </si>
  <si>
    <t>E01800300-----0,5-----------------------</t>
  </si>
  <si>
    <t>32025Y0VL-3204558V3----0,5-----------------------</t>
  </si>
  <si>
    <t>320298235-----0,5-----------------------</t>
  </si>
  <si>
    <t>E37621700-----4-----------------------</t>
  </si>
  <si>
    <t>E37621700-----2,5-----------------------</t>
  </si>
  <si>
    <t>E00020633-320455AKQ----0,5-----------------------</t>
  </si>
  <si>
    <t>E06973900-320452766----0,5-----------------------</t>
  </si>
  <si>
    <t>32025Y2P8-320455A4C----0,35-----------------------</t>
  </si>
  <si>
    <t>E00166100-3204558V3----0,5-----------------------</t>
  </si>
  <si>
    <t>32025Y192-320452329----0,75-----------------------</t>
  </si>
  <si>
    <t>E00166100-320455A4C----0,5-----------------------</t>
  </si>
  <si>
    <t>E01647000-3204505B1----0,5-----------------------</t>
  </si>
  <si>
    <t>320263VT6-----1,5-----------------------</t>
  </si>
  <si>
    <t>E13250300-3204542D2----0,5-----------------------</t>
  </si>
  <si>
    <t>E03355500-329983118----0,5-----------------------</t>
  </si>
  <si>
    <t>32025Y2P8-320455A4C----0,5-----------------------</t>
  </si>
  <si>
    <t>3202536X7-320455A4C----0,5-----------------------</t>
  </si>
  <si>
    <t>3202502F9-3204505B1----0,5-----------------------</t>
  </si>
  <si>
    <t>E08964700-----0,5-----------------------</t>
  </si>
  <si>
    <t>E01647000-3204505B1----0,35-----------------------</t>
  </si>
  <si>
    <t>--3299362M9-0-6,5-6,5------------1-2-1,5-0,5-1,5-------</t>
  </si>
  <si>
    <t>--3299362M9-0-8-8------------1-2-1,5-0,5-1,5-1,5------</t>
  </si>
  <si>
    <t>--3299362M9-0,85-0,5-1,35-----0,35-0,5------0,5-----------</t>
  </si>
  <si>
    <t>--3299362M9-0,35-1-1,35-----0,35-------0,5-0,5----------</t>
  </si>
  <si>
    <t>--3299362M9-0,5-0-0,5-----0,5------------------</t>
  </si>
  <si>
    <t>--3299362M9-3,5-2-5,5-----0,5-3------1-0,5-0,5---------</t>
  </si>
  <si>
    <t>--3299362M9-3,85-2,5-6,35-----0,5-0,35-3-----1,5-0,5-0,5---------</t>
  </si>
  <si>
    <t>--E16718500-3,85-2-5,85-----0,5-0,35-3-----1-0,5-0,5---------</t>
  </si>
  <si>
    <t>--E16718500-0,7-1,9-2,6-----0,35-0,35------0,5-0,35-0,35-0,35-0,35-------</t>
  </si>
  <si>
    <t>--E16718500-1-0,75-1,75-----0,5-0,5------0,75-----------</t>
  </si>
  <si>
    <t>--E16718500-0,85-0,35-1,2-----0,5-0,35------0,35-----------</t>
  </si>
  <si>
    <t>--E16718500-1,5-0,35-1,85-----0,5-0,5-0,5-----0,35-----------</t>
  </si>
  <si>
    <t>--E16718500-1,2-0,7-1,9-----0,35-0,5-0,35-----0,35-0,35----------</t>
  </si>
  <si>
    <t>--E16718500-1,2-0,35-1,55-----0,35-0,5-0,35-----0,35-----------</t>
  </si>
  <si>
    <t>--3299362M9-1,7-0,35-2,05-----0,5-0,5-0,35-0,35----0,35-----------</t>
  </si>
  <si>
    <t>--3299362M9-0,85-0,7-1,55-----0,5-0,35------0,35-0,35----------</t>
  </si>
  <si>
    <t>--3299362M9-6-0-6-----1,5-0,5-0,5-2-1,5--------------</t>
  </si>
  <si>
    <t>--3299362G2-4,5-0-4,5-----1,5-0,5-0,5-2---------------</t>
  </si>
  <si>
    <t>--3299362G2-6,75-0-6,75-----1,5-0,5-0,5-0,75-2-1,5-------------</t>
  </si>
  <si>
    <t>E02719100--E16718500---0,85-0,5-0,35---------------------</t>
  </si>
  <si>
    <t>E02719100--E16718500---1-0,5-0,5---------------------</t>
  </si>
  <si>
    <t>E15132900--3299365JY---3,35-0,35-3---------------------</t>
  </si>
  <si>
    <t>E15132900--3299365JY---3,85-0,5-0,35-3--------------------</t>
  </si>
  <si>
    <t>--3299362M9-1,5-5,5-7-----1,5-------2-0,5-1,5-1,5--------</t>
  </si>
  <si>
    <t>--3299362M9-1,5-4-5,5-----1,5-------2-0,5-1,5---------</t>
  </si>
  <si>
    <t>--3299362G2-0,85-0,5-1,35-----0,35-0,5------0,5-----------</t>
  </si>
  <si>
    <t>--3299362G2-0,35-1-1,35-----0,35-------0,5-0,5----------</t>
  </si>
  <si>
    <t>--E16718500-0,7-0,5-1,2-----0,35-0,35------0,5-----------</t>
  </si>
  <si>
    <t>--E16718500-0-0,5-0,5------------0,5-----------</t>
  </si>
  <si>
    <t>--3299362G2-0,5-1,2-1,7-----0,5-------0,35-0,5-0,35---------</t>
  </si>
  <si>
    <t>--E16718500-0,35-1,05-1,4-----0,35-------0,35-0,35-0,35---------</t>
  </si>
  <si>
    <t>--3299362M9-3,5-4,5-8-----0,5-0,5-2,5-----3-1,5----------</t>
  </si>
  <si>
    <t>--E16718500-0,5-1,2-1,7-----0,5-------0,5-0,35-0,35---------</t>
  </si>
  <si>
    <t>--E16718500-0,5-1,45-1,95-----0,5-------0,35-0,35-0,75---------</t>
  </si>
  <si>
    <t>--E16718500-0,85-0,35-1,2-----0,5-0,35------0,35-------0,35----</t>
  </si>
  <si>
    <t>--E16718500-1,7-0,35-2,05-----0,5-0,5-0,35-0,35----0,35-----------</t>
  </si>
  <si>
    <t>--E16718500-0,5-1,35-1,85-----0,5-------0,5-0,5-0,35---------</t>
  </si>
  <si>
    <t>--3299362M9-5,5-0,5-6-----1,5-0,5-2-----0,5-------1,5----</t>
  </si>
  <si>
    <t>--3299362M9-4-0,5-4,5-----1,5-0,5-2-----0,5-----------</t>
  </si>
  <si>
    <t>--3299362M9-6,25-0,5-6,75-----1,5-0,5-0,75-2----0,5-------1,5----</t>
  </si>
  <si>
    <t>--E16718500-1,05-0,35-1,4-----0,35-0,35------0,35-------0,35----</t>
  </si>
  <si>
    <t>--E16718500-1,25-0,5-1,75-----0,5-0,5------0,75-----------</t>
  </si>
  <si>
    <t>--E16725300-0-4-4------------1-1-1-1--------</t>
  </si>
  <si>
    <t>--E16725300-0-5-5------------1-1-1-1-1-------</t>
  </si>
  <si>
    <t>--E16718500-0-2,25-2,25------------1-0,5-0,75---------</t>
  </si>
  <si>
    <t>--E16725300-1,35-1,9-3,25-----0,35-1------0,35-0,35-0,5-0,35-0,35-------</t>
  </si>
  <si>
    <t>--E16725300-1,35-1,55-2,9-----0,35-1------0,35-0,35-0,5-0,35--------</t>
  </si>
  <si>
    <t>--E01120300-2,5-10-12,5-----2,5-------2,5-2,5-2,5-2,5--------</t>
  </si>
  <si>
    <t>--E01120300-2,5-12,5-15-----2,5-------2,5-2,5-2,5-2,5-2,5-------</t>
  </si>
  <si>
    <t>--E16725300-1,1-1,55-2,65-----0,35-0,75------0,35-0,35-0,5-0,35--------</t>
  </si>
  <si>
    <t>--E16725300-1,1-1,2-2,3-----0,35-0,75------0,35-0,5-0,35---------</t>
  </si>
  <si>
    <t>--E16718500-0,7-0-0,7-----0,35-0,35-----------------</t>
  </si>
  <si>
    <t>--E16718500-0,35-0-0,35-----0,35------------------</t>
  </si>
  <si>
    <t>32025Y3B8-----0,7-0,35-0,35---------------------</t>
  </si>
  <si>
    <t>3202585H5-----0,7-0,35-0,35---------------------</t>
  </si>
  <si>
    <t>CHP USCAR45, uscar38 USCAR 21</t>
  </si>
  <si>
    <t>3202585H5-65763-0,5--USCAR21</t>
  </si>
  <si>
    <t>E21557000</t>
  </si>
  <si>
    <t>E21557000-65763-0,5--USCAR21</t>
  </si>
  <si>
    <t>32025Y19G-65763-0,35--USCAR21</t>
  </si>
  <si>
    <t>32025Y19G-65766-0,35--USCAR21</t>
  </si>
  <si>
    <t>32025Y36A-65763-0,5--USCAR21</t>
  </si>
  <si>
    <t>32025Y3B8-65763-0,35--USCAR21</t>
  </si>
  <si>
    <t>320298243-65763-0,5--USCAR21</t>
  </si>
  <si>
    <t>E00031625-65766-0,35--USCAR21</t>
  </si>
  <si>
    <t>E01080600-65769-2,5--USCAR21</t>
  </si>
  <si>
    <t>E05363600-65763-0,5--USCAR21</t>
  </si>
  <si>
    <t>E05869700-65763-0,35--USCAR21</t>
  </si>
  <si>
    <t>E00031625</t>
  </si>
  <si>
    <t>CR-0178423-00 IP</t>
  </si>
  <si>
    <t xml:space="preserve">E15395600 </t>
  </si>
  <si>
    <t>CR-0177750-00 IP</t>
  </si>
  <si>
    <t xml:space="preserve">no SEM range máximo do terminal é para bitola de 0.50 </t>
  </si>
  <si>
    <t>CR-0178372-00</t>
  </si>
  <si>
    <t>Projeto: VS30 – SORP – 2023_02
Família: BODY                                                                                                                                        
Tipo: PFD
Número: PFD-VS30-BR907-AEHJ2023_02-2530</t>
  </si>
  <si>
    <t xml:space="preserve">Favor considerar sem impacto para corte e lead Prep.
Scrap alteração de Comprimento R$ 1.360,89 </t>
  </si>
  <si>
    <t>CR-0178377-00</t>
  </si>
  <si>
    <t xml:space="preserve">Projeto: GEM – PPV - MY2026
Família: IP WH  
Tipo: EWO
Número: ECR4677207
Descrição: 1. Family: IP
</t>
  </si>
  <si>
    <t>Favor considerar para corte e Lead Prep.
Mão de obra
2 hrs HI</t>
  </si>
  <si>
    <t>CR-0178748-00</t>
  </si>
  <si>
    <t>Projeto: VS30 – SORP – 2023_02
Família: BODY
Tipo: PFD
Número: PFD-VS30-BR907-AEHJ2023_02-2539</t>
  </si>
  <si>
    <t xml:space="preserve">Considerar para corte e Lead Prep.
 Implementação Condicionado a aprovação nos testes conforme Norma VS30, amostras de no mínimo 200 metros de cada cabo novo para teste na máquina de corte Bateria standard Pac dos cabos novos  devem seguir o mesmo padrão dos cabos atuais  processados na máquina de corte PS9550 do VS30.
10 Validações de Terminal conforme Norma VS30
1 validação de solda Multicrimp GS20.
1 jogo de facas de corte e decape para bitola 16 para Power strip 9550 ( Investimento Pode ser retirado caso testes com cabos novos não apresente Problemas no processamento e qualidade com as facas atuais)
1 jogo de facas de corte e decape para bitola 25 para Power strip 9550 ( Investimento Pode ser retirado caso testes com cabos novos não apresente Problemas no processamento e qualidade com as facas atuais)
1 jogo de facas de corte e decape para bitola 35 para Power strip 9550 ( Investimento Pode ser retirado caso testes com cabos novos não apresente Problemas no processamento e qualidade com as facas atuais)
1 jogo de facas de corte e decape para bitola 50 para Power strip 9550 ( Investimento Pode ser retirado caso testes com cabos novos não apresente Problemas no processamento e qualidade com as facas atuais)
Scrap R$ 21.416,19 considerando 1 dia de estoque base MCR. @Martins, Guilherme @Chagas, Robson Dos Santos favor validar os valores e revisar se necessário.
Horas técnicas de validação e testes 132
Amostras Validações R$ 7.582,24 </t>
  </si>
  <si>
    <t>CR-0178423-00</t>
  </si>
  <si>
    <t>Projeto: GEM – PPV - MY2026
Família: IP WH  
Tipo: EWO
Número: ECR4677207
Descrição: 1. Family: IP</t>
  </si>
  <si>
    <t xml:space="preserve">
Favor considerar para corte e Lead Prep.( implementação condicionada a aprovação nos testes conforme normas, e investimentos reportados na CR-0170489-00 IP)
1 Validação conforme norma USCAR21
1Validação conforme Norma GMW17136
27 Horas técnicas 
Amostras validação R$ 196,03
Impacto corte acréscimo de 3600 peças e 3 tipos por dia.( Análise base Take rate fornecido )
</t>
  </si>
  <si>
    <t>CR-0178432-00</t>
  </si>
  <si>
    <t>Projeto: VS30 – SORP – 2023_02
Família: IP WH                                                                                                                                        
Tipo: PFD
Número: PFD-VS30-BR907-AEHJ2023_02-2567_LU</t>
  </si>
  <si>
    <t xml:space="preserve">Considerar sem impacto para corte e lead prep.
Scrap R$   1.559,78 alteração de comprimento
</t>
  </si>
  <si>
    <t>CR-0178471-00</t>
  </si>
  <si>
    <t xml:space="preserve">
Projeto: GEM – PPV - MY2026
Família: IP WH  
Tipo: EWO
Número: ECR4677207
Descrição: 1. Family: IP
Phase:PPV
MY:26</t>
  </si>
  <si>
    <t xml:space="preserve">
Favor considerar sem impacto para corte e Lead Prep.( implementação condicionada a aprovação nos testes conforme normas, e investimentos já reportados na CR-0170489-00 IP e CR-0178423-00 )</t>
  </si>
  <si>
    <t>CR-0178420-00</t>
  </si>
  <si>
    <t xml:space="preserve">
Favor considerar para corte e Lead Prep. ( Análise realizada base Delta cut , implementação condicionada, aprovação dos testes conforme normas especificadas )
1 Aplicador Mecal modelo MRSP1 para terminal E05869700.
1 validações conforme norma Uscar21
8 horas técnicas 
Amostras de validação   R$ 234,98 </t>
  </si>
  <si>
    <t xml:space="preserve"> CR-0178473-00</t>
  </si>
  <si>
    <t>Projeto: GEM – APPV - MY2026
Família: IP WH  
Tipo: TEWO
Número: TWO4673431
Descrição: 1. Family: IP
Only for the first EVC PTB cars</t>
  </si>
  <si>
    <t xml:space="preserve">
1 Aplicador Mecal modelo MRSP1 para terminal E08850400  ( Para Aplicação manual Lead Prep. dupla 0.35+0.35 )
3 Validações conforme norma USCAR21
1 Validação conforme norma USCAR45
1 Validação conforme Norma GMW17136
40 horas técnicas 
Amostras de validação   R$   195,51 </t>
  </si>
  <si>
    <t xml:space="preserve"> CR-0178909-00</t>
  </si>
  <si>
    <t>Projeto: GEM – APPV - MY2026
Família: BODY  
Tipo: EWO
Número: ECR4677205
Descrição: 1. Affects the Body's Family 4NB
Phase: APPV
MY:26 and 27</t>
  </si>
  <si>
    <t>Considerar para corte e Lead Prep. ( Análise realizada base Delta cut , implementação condicionada, aprovação dos testes conforme normas especificadas )
1 Validação conforme norma USCAR21
8 horas técnicas 
Amostras de validação   R$   59,61 
Scrap R$ 243,26 considerando 1 dia de lote MCR1507 Cars dia, base take rate disponibilizado para análise.</t>
  </si>
  <si>
    <t xml:space="preserve"> CR-0178790-00</t>
  </si>
  <si>
    <t xml:space="preserve">
Projeto: GEM – APPV - MY2026
Família: IP WH  
Tipo: EWO
Número: ECR4677207
Descrição: 1. family: IP
Phase:PPV
MY:26
Only for PNs evolution</t>
  </si>
  <si>
    <t xml:space="preserve">
Considerar sem impacto para corte e Lead Prep.
Evolução de PNs
</t>
  </si>
  <si>
    <t>CR-0178430-00</t>
  </si>
  <si>
    <t xml:space="preserve">Projeto: GEM – PPV - MY2026
Família: IP WH  
Tipo: EWO
Número: ECR4677207
Descrição: 1. Family: IP
Phase:PPV
MY:26
This cr must consider connector 13520645_X174X212B_X1 as critical characteristic and severity 9.     
</t>
  </si>
  <si>
    <t xml:space="preserve">
considerar sem impacto para corte e lead Prep. ( Análise realizada base Delta cut )Alteração do RPO para os circuitos 2640P, 5019A, 5020A, 5021A, 5022A. Considerar o conector X174X212B_X1 como característica Critica e Severidade 9.</t>
  </si>
  <si>
    <t>CR-0180211-00</t>
  </si>
  <si>
    <t>CR-0178660-00</t>
  </si>
  <si>
    <t>Projeto: GEM – MVBs - MY2025
Família: ENGINE  
Tipo: EWO
Número: ECR4670119
Descrição: 1. WH (MY25) AFFECTED ENGINE: 52189049
1) FOR ENGINE L4G WH, CHANGE ROUTING / CLIP AS DESCRIBED.
1.1) DELETE BRACKET PN 26223557 FOR VEEHICLES WITH L4G ENGINES ONLY (KEEP IT IN LIJ ENGINES)
NOTE: BRACKET IS ZERO SEQUENCE PART AT GVT PLANT (BRACKET IS NOT POA OF WH OR TIE BAR)</t>
  </si>
  <si>
    <t xml:space="preserve">Considerar sem impacto para corte e Lead Prep.
Scrap R$ 1.246,48 considerando 1 dia Base MCR </t>
  </si>
  <si>
    <t>CR-0178965-00</t>
  </si>
  <si>
    <t xml:space="preserve">Projeto: GEM – MVBs - MY2025
Família: ENGINE 
Tipo: EWO
Número: ECR4670119
Descrição: 1. WH (MY25) AFFECTED ENGINE: 52189048
1) FOR ENGINE L4G WH, CHANGE ROUTING / CLIP AS DESCRIBED.
1.1) DELETE BRACKET PN 26223557 FOR VEEHICLES WITH L4G ENGINES ONLY (KEEP IT IN LIJ ENGINES)
NOTE: BRACKET IS ZERO SEQUENCE PART AT GVT PLANT (BRACKET IS NOT POA OF WH OR TIE BAR)
</t>
  </si>
  <si>
    <t xml:space="preserve">
Considerar sem impacto para corte e Lead Prep.
Scrap R$ 4.721,25 considerando 1 dia Base MCR
Alteração de comprimento de circuitos</t>
  </si>
  <si>
    <t>Projeto: GEM – PPV - MY2026
Família: IP WH 
Tipo: EWO
Número: 4677207
Descrição: 1. Family: IP
Phase:PPV
MY:26</t>
  </si>
  <si>
    <t xml:space="preserve">
Considerar para corte e Lead Prep. ( Análise realizada base Delta cut , implementação condicionada, aprovação dos testes conforme normas especificadas )
3 Validações conforme norma USCAR45
3 Validações conforme norma GMW17136
49 horas técnicas 
Amostras Validação R$ 578,398
</t>
  </si>
  <si>
    <t>CR-0180250-00</t>
  </si>
  <si>
    <t xml:space="preserve">Projeto: GEM – PPV - MY2026
Família: IP WH 
Tipo: EWO
Número: 4677207
Descrição: 1. Family: IP
Phase:PPV
MY:26
Move splice STS_X117SP_W191_2_X1 according to attached markup.
Cost reduction
</t>
  </si>
  <si>
    <t xml:space="preserve">
considerar sem impacto para corte e Lead Prep.  (Análise realizada base Delta cut , implementação condicionada, aprovação dos testes conforme normas especificadas )
Scrap R$ 973,75
Alteração de comprimento.</t>
  </si>
  <si>
    <t>Considerar sem impacto para corte e Lead Prep.
Alteração de conector
DE: E20401000 / PARA: E42999000 
DE: E18773800 / PARA: E42999200.</t>
  </si>
  <si>
    <t>GEM – APPV - MY2026
Família: BODY  
Tipo: EWO
Número: ECR4677205
Descrição: 1. Affects the Body's Family 4NB
Phase: APPV
MY:26 and 27</t>
  </si>
  <si>
    <t xml:space="preserve"> CR-0178920-00</t>
  </si>
  <si>
    <t xml:space="preserve">
Considerar sem impacto para corte e lead Prep.
Alteração de fita G28/G29 para G46.
OBS.
Conforme orientado pela @Souza, Joseli Teresinha DE via Teams foi ignorado os itens os Deltas que aparecem no delta CUT, pois são sujeiras do report que foi esquecido de retirar.</t>
  </si>
  <si>
    <t>CR-0178434-00</t>
  </si>
  <si>
    <t xml:space="preserve">
Projeto: VS30 – SORP – 2023_02
Família: BODY
Tipo: PFD
Número: PFD-VS30-BR907-AEHJ2023_02-2562_LU</t>
  </si>
  <si>
    <t xml:space="preserve">
Favor considerar sem impacto para Corte e lead Prep.</t>
  </si>
  <si>
    <t>Projeto: VS30 – SORP – 2023_02
Família: BODY                                                                                                                                        
Tipo: Issue
Número: ISS-043317</t>
  </si>
  <si>
    <t>CR-0175885-00</t>
  </si>
  <si>
    <t xml:space="preserve">Favor considerar sem impacto para corte e Lead prep. </t>
  </si>
  <si>
    <t xml:space="preserve"> CR-0176090-00</t>
  </si>
  <si>
    <t xml:space="preserve">
Projeto: VS30 – N/A – 2023_02
Família: BODY                                                                                                                                        
</t>
  </si>
  <si>
    <t xml:space="preserve">
Projeto: VS30 – SORP – 2024_01
Família: BODY
Tipo: PFD
Número: PFD-VS30-BR907-AEHJ2024_01-2562w</t>
  </si>
  <si>
    <t>Considerar sem impacto para corte e lead Prep.
Alteração de fita G28/G29 to G46. - EC116233</t>
  </si>
  <si>
    <t>CR-0178486-00</t>
  </si>
  <si>
    <t>CR-0178511-00</t>
  </si>
  <si>
    <t>VS30 – SORP – 2024_01
Família: BODY
Tipo: PFD
Número: PFD-VS30-BR907-AEHJ2024_01-2537w</t>
  </si>
  <si>
    <t xml:space="preserve">
Considerar sem impacto para Corte e Lead Prep.
Scrap R$ 303,93 
</t>
  </si>
  <si>
    <t>Favor considerar sem impacto para corte lead prep.
Scrap R$ 13.089,37 considerando 1 dia De Lote Base MCR</t>
  </si>
  <si>
    <t>CR-0178574-00</t>
  </si>
  <si>
    <t>VS30 – SORP – 2024_01
Família: BODY
Tipo: PFD
Número: PFD-VS30-BR907-AEHJ2024_01-2530w</t>
  </si>
  <si>
    <t>CR-0181048-00</t>
  </si>
  <si>
    <t>VS30 – SORP – 2023_02
Família: BODY
Tipo: PFD
Número: PFD-VS30-BR907-AEHJ2023_02-2564</t>
  </si>
  <si>
    <t xml:space="preserve"> CR-0178792-00</t>
  </si>
  <si>
    <t xml:space="preserve">
Favor considerar sem impacto para corte lead prep.
Scrap R$ 192,79 
1 Horas HI
1 Horas Técnicas</t>
  </si>
  <si>
    <t>Projeto: VS30 – SORP – 2024_01
Família: BODY
Tipo: PFD
Número: PFD-VS30-BR907-AEHJ2024_01-2566w</t>
  </si>
  <si>
    <t xml:space="preserve"> CR-0181032-00</t>
  </si>
  <si>
    <t>VS30 – SORP – 2024_01
Família: IP WH
Tipo: PFD
Número: PFD-VS30-BR907-AEHJ2024_01-2567w</t>
  </si>
  <si>
    <t xml:space="preserve"> CR-0179012-00</t>
  </si>
  <si>
    <t xml:space="preserve">Considerar sem impacto para corte e Lead Prep.
Scrap R$ 214,00 </t>
  </si>
  <si>
    <t xml:space="preserve">Considerar sem Impacto para corte e Lead Prep.
Scrap R$ 105,33 </t>
  </si>
  <si>
    <t>Projeto: GEM – Running change - MY2025
Família: CONSOLE  
Tipo: EWO
Número: ECR#4667281
Descrição: 1. CONSOLE HARNESS
APPV phase</t>
  </si>
  <si>
    <t>CR-0179262-00</t>
  </si>
  <si>
    <t>CR-0180767-00</t>
  </si>
  <si>
    <t>Projeto: GEM – APPV - MY2027
Família: FRONT BUMPER 
Tipo: PCR
Número: ECR4683765          
Descrição: 1. FRONT BUMPER WH 52186440 APPV CARBON</t>
  </si>
  <si>
    <t xml:space="preserve"> considerar para Corte e Lead Prep. ( Condicionado aos Investimentos reportados na CR-0115438-00 )
1 Validação conforme norma GMW17136 STD_X117SP1150_BUN624_1_X1 CSA Left 0.50, CSA Right 1.250 CSA Total 1.750 com Termo 3299362G2.( Já reportado na CR-0115438-00 )
1 Validação conforme norma GMW17136 STD_X117SP5214_BUN649_1_X1 CSA Left 1.05, CSA Right 1.40 CSA Total 2.450 com Termo 3299362G2. ( Já reportado na CR-0115438-00 )
1 Validação conforme norma GMW17136 STD_X117SP2234_BUN639_1_X CSA Left 1.00, CSA Right 0.50 CSA Total 1.50 com Termo 3299362G2. </t>
  </si>
  <si>
    <t>CR-0178399-00</t>
  </si>
  <si>
    <t>Projeto: VS30 – SORP – 2023_02
Família: IP WH                                                                                                                                        
Tipo: Issue
Número: ISS-048541 / ISS-047764</t>
  </si>
  <si>
    <t>Considerar sem impacto para corte e Lead Prep.
Scrap R$  1.146,41 considerando Scrap 1 dia base MCR</t>
  </si>
  <si>
    <t>GEM – APPV - MY2026
Família: IP EXT 
Tipo: CR
Número: ECR4677210
Descrição: 1. GM GEM MY26 IP EXT 26415444
ECR4677210
BASE CR-0168949-00</t>
  </si>
  <si>
    <t>Projeto: VS30 – SORP – 2023_02
Família: BODY
Tipo: WLL/TLL
Número: ISS-049526
Assunto: 1. WLL BODY REV 27
Implementação da PFD2566</t>
  </si>
  <si>
    <t xml:space="preserve"> CR-0180934-00</t>
  </si>
  <si>
    <t xml:space="preserve">
Considerar sem impacto para corte e lead Prep.
Scrap R$   409,41 considerando 1 dia Base MCR</t>
  </si>
  <si>
    <t xml:space="preserve"> CR-0181231-00</t>
  </si>
  <si>
    <t>PFD-VS30-BR907-AEHJ2024_01-2612
Assunto: 1. PFD-VS30-BR907-AEHJ2024_01-2612, 2. Elimination of the 2 x 2-pole. Microphone variant on the roof control unit “Low”. - EC0123682-007, 3. Unification of the solution from high DBE towards low DBE</t>
  </si>
  <si>
    <t xml:space="preserve">
1 aplicador TE para terminal E03844600 adversidade de circuitos conflito com máquinas de corte.( para uso no lead Prep. Seal Crimp)
Scrap R$ 565,83 
</t>
  </si>
  <si>
    <t>Projeto: GEM – APPV - MY2026
Família: IP EXT
Tipo: EWO
Número: ECR4677210                       
Descrição: 1. 1. GEM B NARROW IP EXT HARNESS 52186437 MY26/27 APPV</t>
  </si>
  <si>
    <t>CR-0179262-02</t>
  </si>
  <si>
    <t xml:space="preserve">
Considerar sem impacto para corte e Lead Prep.
Scrap R$         2.606,38 considerando 1 dia Base 
Change wire length. Wire Nb 5019 e 5020</t>
  </si>
  <si>
    <t>CR-0181209-00</t>
  </si>
  <si>
    <t>GEM – APPV - MY2027
Família: FRONT BUMPER
Tipo: PCR
Número: 17598                       
Descrição: 1. AFFECTED WIRE HARNESS: FRONT BUMPER 52186440
1) Add aero shutter connector branch &amp; circuits as described and update routing of main branch. See markups in VCD#1 and VCD#2
Note: Creation / proliferation of new Front Bumper WHs is required due to this modification
Phase: APPV
MY:27 Carbon</t>
  </si>
  <si>
    <t>CR-0181859-00</t>
  </si>
  <si>
    <t xml:space="preserve">
Considerar sem impacto para Corte e Lead Prep. ( Análise realizada base delta cut)
Scrap R$4.469,67 considerando Scrap 1 dia base MCR</t>
  </si>
  <si>
    <t>GEM – APPV - MY2027 
Família: IP EXT. CARBON
Tipo: EWO
Número: ECR4677210                       
Descrição: 1. 1. 1. GEM B NARROW CARBON IP EXT HARNESS 52186437 MY26/27 APPV
BASE CR-0172246-01</t>
  </si>
  <si>
    <t xml:space="preserve">Considerar sem impacto para corte lead Prep.
Scrap R$ R$ 5.194,69 considerando Scrap 1 dia base MCR
</t>
  </si>
  <si>
    <t>GEM – APPV - MY2026
Família: ENGINE 
Tipo: EWO
Número: 4677208
Descrição: 1. ENGINE HARNESS 52182314</t>
  </si>
  <si>
    <t>CR-0179116-00</t>
  </si>
  <si>
    <t xml:space="preserve">
Favor Considerar para corte e Lead Prep.
Implementação Condicionado a aprovação nos testes conforme Norma VS30, amostras de no mínimo 200 metros de cada cabo novo para teste na máquina de corte Bateria standard Pac dos cabos novos devem seguir o mesmo padrão dos cabos atuais processados na máquina de corte PS9550 do VS30.
10 Validações de Terminal conforme Norma VS30. ( já solicitado na CR-0178748-00 )
1 validação de solda Multicrimp GS20. ( já solicitado na CR-0178748-00 )
1 jogo de facas de corte e decape para bitola 16 para Power strip 9550 ( Investimento Pode ser retirado caso testes com cabos novos não apresente Problemas no processamento e qualidade com as facas atuais) já solicitado na CR-0178748-00
1 jogo de facas de corte e decape para bitola 25 para Power strip 9550 ( Investimento Pode ser retirado caso testes com cabos novos não apresente Problemas no processamento e qualidade com as facas atuais) já solicitado na CR-0178748-00
1 jogo de facas de corte e decape para bitola 35 para Power strip 9550 ( Investimento Pode ser retirado caso testes com cabos novos não apresente Problemas no processamento e qualidade com as facas atuais) já solicitado na CR-0178748-00
1 jogo de facas de corte e decape para bitola 50 para Power strip 9550 ( Investimento Pode ser retirado caso testes com cabos novos não apresente Problemas no processamento e qualidade com as facas atuais) já solicitado na CR-0178748-00
Scrap R$ 21.416,19 considerando 1 dia de estoque base MCR. @Martins, Guilherme @Chagas, Robson Dos Santos favor validar os valores e revisar se necessário. ( já solicitado na CR-0178748-00 )
Horas técnicas de validação e testes 132 ( já solicitado na CR-0178748-00)
Amostras Validações R$ 7.582,24 ( já solicitado na CR-0178748-00 )
 </t>
  </si>
  <si>
    <t>vs30</t>
  </si>
  <si>
    <t>CR-0178754-01</t>
  </si>
  <si>
    <t>VS30 – SORP – 2024_01
Família: BODY
Tipo: PFD
Número: PFD-VS30-BR907-AEHJ2024_01-2539w
Assunto: 1. PFD-VS30-BR907-AEHJ2024_01-2539w - igual CR-0178748-00, 2. Family Affected: Body, 3. The route of the thick Kl.30 cables into the interior (inside the front wall to the MFB under the driver's seat box) makes laying the vehicle's electrical wiring harness in the interior more difficult. By using a highly flexible cable type for the Kl.30 cables, the laying of the vehicle's electrical cable harness in the interior is improved. - EC0117078, 4. Conversion of cable type from Ia to Id on the Main Fuse Box Driver Seat Box (F150/4)</t>
  </si>
  <si>
    <t xml:space="preserve">
Considerar sem impacto para corte e Lead Prep.
Conforme informação de engenharia é apenas correção de desenho e por isso não tem delta cut para analise.</t>
  </si>
  <si>
    <t xml:space="preserve">Projeto: VS30 – SORP – 2024_01
Família: BODY
Tipo: PFD
Número: PFD-VS30-BR907-AEHJ2024_01-2600
Assunto: 1. PFD-VS30-BR907-AEHJ2024_01-2600, 2. Family affected: Body, 3. Change and standardization of the corrugated tube size to NW6 for Ref. E5/2*1-B and B92/28*1-B
</t>
  </si>
  <si>
    <t xml:space="preserve"> CR-0181816-00</t>
  </si>
  <si>
    <t>CR-0179117-00</t>
  </si>
  <si>
    <t>GEM – APPV - MY2026
Família: ENGINE 
Tipo: EWO
Número: 4677208
Descrição: 1. ENGINE HARNESS 52182664</t>
  </si>
  <si>
    <t>Considerar sem impacto para corte lead Prep.
Scrap R$ R$ 1.669,85 considerando Scrap 1 dia base MCR</t>
  </si>
  <si>
    <t>CR-0178778-00</t>
  </si>
  <si>
    <t>CR-0178908-00</t>
  </si>
  <si>
    <t>CR-0178921-00</t>
  </si>
  <si>
    <t>CR-0178922-00</t>
  </si>
  <si>
    <t>CR-0178923-00</t>
  </si>
  <si>
    <t>CR-0179064-00</t>
  </si>
  <si>
    <t>CR-0179280-00</t>
  </si>
  <si>
    <t>CR-0179831-00</t>
  </si>
  <si>
    <t>CR-0179830-00</t>
  </si>
  <si>
    <t>CR-0179696-00</t>
  </si>
  <si>
    <t>CR-0179883-00</t>
  </si>
  <si>
    <t>CR-0180067-01</t>
  </si>
  <si>
    <t>10/05/202</t>
  </si>
  <si>
    <t>Thiago Godoi</t>
  </si>
  <si>
    <t xml:space="preserve">
Considerar sem impacto para corte e Lead Prep. ( Condicionada aprovação dos Investimentos CR-0166995-02 )</t>
  </si>
  <si>
    <t xml:space="preserve"> CR-0179358-01</t>
  </si>
  <si>
    <t>Projeto: GEM – APPV - MY2027
Família: ENGINE
Tipo: EWO
Número: 4677208                       
Descrição: 1. ENGINE HARNESS 52182381</t>
  </si>
  <si>
    <t>CR-0179360-01</t>
  </si>
  <si>
    <t xml:space="preserve">GEM – APPV - MY2027
Família: ENGINE
Tipo: EWO
Número: 4677208                       
Descrição: 1. ENGINE HARNESS 52185602
ECR4677208 - MY27_52185602 - LFD MM3                  </t>
  </si>
  <si>
    <t>Projeto: GEM – APPV - MY2027
Família: ENGINE             
Tipo: EWO
Número: EWO 4489010
Descrição: 1. ENGINE HARNESS 52185602
MY2027 DESIGN CHANGE</t>
  </si>
  <si>
    <t xml:space="preserve">
Considerar sem impacto para corte e Lead Prep. ( Condicionada aprovação dos Investimentos CR-0166995-02 e CR-0166785-02 )</t>
  </si>
  <si>
    <t xml:space="preserve">Considerar para corte e Lead Prep. ( Análise realizada base Delta cut , implementação condicionada, aprovação dos testes conforme normas especificadas )
1 Validação conforme norma USCAR21 aplicação dupla terminal E04289300 0.50+0.50 
1 Validação conforme norma USCAR38 Terminal E16092400 CSA 2.50 ( 5 cabos de bitola 0.50 )
1 Validação conforme Norma GMW17136 Terminal E16092400 CSA 2.50 ( 5 cabos de bitola 0.50 ) com termo retrátil E16092400
24 horas técnicas 
Amostras de validação   R$ R$     485,75 </t>
  </si>
  <si>
    <t>CR-0179290-00</t>
  </si>
  <si>
    <t xml:space="preserve">Projeto: GEM – APPV - MY2027
Família: ENGINE 
Tipo: EWO
Número: 4677208          
Descrição: 1. ENGINE HARNESS 52182666
1) Change connector / pinout of MAP sensor for Engine LIJ WH (MY27 and beyond).
2) CREATE NEW ROUTING FOR ENGINE LIJ WH DUE TO NEW VARIABLE AC COMPRESSOR (MY27 only). Keep current routing of AC Compressor branch for MY26.
</t>
  </si>
  <si>
    <t xml:space="preserve"> CR-0181495-00</t>
  </si>
  <si>
    <t xml:space="preserve">Projeto: GEM – MVBs - MY2025
Família: DRIVER DOOR
Tipo: PCR
Número: 4688580                        
Descrição: 1. Affects the Front Door 52181691
Phase: MVBS
MY:25
FRONT DOOR 52181691
Replace female terminal Molex without CPA PN 31404-7108 to PN 31404-7118 with CPA.                  
</t>
  </si>
  <si>
    <t xml:space="preserve">
Considerar sem Impacto para corte e Lead Prep.( Análise realizada base delta cut)
Apenas troca de conectores não houve alteração técnica nos circuitos.tos.</t>
  </si>
  <si>
    <t xml:space="preserve">
Considerar sem impacto para corte e Lead Prep.
Scrap R$   394,36 </t>
  </si>
  <si>
    <t>CR-0181246-00</t>
  </si>
  <si>
    <t>Projeto: SPIN – Running change - MY2025
Família: IP WH
Tipo: EWO
Número: 4635309           
Descrição: 1. Prints Affected: 52167961 (IP)</t>
  </si>
  <si>
    <t>CR-0181698-00</t>
  </si>
  <si>
    <t>Projeto: VS30 – SORP – 2024_01
Família: BODY
Tipo: PFD
Número: PFD-VS30-BR907-AEHJ2024_01-2608
Assunto: 1. PFD-VS30-BR907-AEHJ2024_01-2608, 2. Due to the elimination of the OM642 and OM651 motors for the AEHJ2024_01, the clip and scratch clamp CL038_00182 (LL) is no longer required in the harness. - EC0128070</t>
  </si>
  <si>
    <t xml:space="preserve"> considerar sem impacto para corte e Lead Prep.
Retirada de clip e Abraçadeira
</t>
  </si>
  <si>
    <t xml:space="preserve">
Considerar sem impacto para corte e Lead Prep.
Scrap R$   2.303,15 considerando 1 dia Base MCR</t>
  </si>
  <si>
    <t>CR-0180803-00</t>
  </si>
  <si>
    <t xml:space="preserve">
Projeto: SPIN – Running change - MY2025
Família: IP WH
Tipo: EWO
Número: 4635309           
Descrição: 1. Prints Affected: 52167961 (IP)
</t>
  </si>
  <si>
    <t xml:space="preserve">
Considerar sem impacto para corte e Lead Prep.
Scrap R$ 966,90 considerando 1 dia Base MCR</t>
  </si>
  <si>
    <t xml:space="preserve">
Projeto: SPIN – Running change - MY2025
Família: IP WH
Tipo: TEWO
Número: 4690128           
Descrição: 1. Prints Affected: 52167961 (IP)
</t>
  </si>
  <si>
    <t>CR-0180705-01</t>
  </si>
  <si>
    <t>Boa tarde,
Considerar sem impacto para corte e Lead PrepBoa tarde,
Considerar sem impacto para corte e Lead Prep.
Scrap R$ 1301,274</t>
  </si>
  <si>
    <t xml:space="preserve"> CR-0178919-00</t>
  </si>
  <si>
    <t>Considerar sem impacto para corte e Lead Prep. ( Condicionada aprovação dos Investimentos CR-0166437-01 )
1 validação conforme Uscar21 para Terminal E06973900 com cabo CU-R3XLPE-A|0.50 e selo 320452766 ( Já solicitado na CR-0166437-01)</t>
  </si>
  <si>
    <t>CR-0178925-00</t>
  </si>
  <si>
    <t xml:space="preserve">Considerar para corte e Lead Prep. ( Análise realizada base Delta cut , implementação condicionada, aprovação dos testes conforme normas especificadas )
1 Aplicador modelo mecal MRSJ1 para 3202508Y9
1 Validações de terminal conforme norma USCAR21para Terminal 3202508Y9 com cabo FLRY-B-2.50 e selo 3204515C7
1 Validações de terminal conforme norma USCAR21para Terminal 3202508Z7 com cabo CU-R3XLPE-4.00 e selo 3204514F1
Amostras de validação   R$ R$     225,75 
16 horas técnicas </t>
  </si>
  <si>
    <t>CR-0179045-00</t>
  </si>
  <si>
    <t>Projeto: GEM – APPV - MY2026
Família: BODY 
Tipo: EWO
Número: ECR4677205
Descrição: ffects the Body's Family HB5
Phase: APPV
MY:26 and 27</t>
  </si>
  <si>
    <t>CR-0181960-00</t>
  </si>
  <si>
    <t>Projeto: GEM – APPV - MY2027
Família: TAIL LAMP
Tipo: EWO
Número: ECR4677212
Descrição: 1. GEM B NARROW NEW TAIL LAMP HARNESS 52193015
CARBON JBQC
#ECR4677212</t>
  </si>
  <si>
    <t xml:space="preserve">
Considerar para corte e Lead Prep. ( Análise realizada base Delta cut , implementação condicionada, aprovação dos testes conforme normas especificadas )
1 Validações de terminal conforme norma USCAR21para Terminal E03846100 com cabo CU-R2PVC-A|0.35 e selo 329983100
Amostras de validação   R$     125,75 
16 horas técnicas </t>
  </si>
  <si>
    <t xml:space="preserve">
Considerar sem impacto para corte e Lead Prep. 
Scrap R$ 342,28 Tubos </t>
  </si>
  <si>
    <t>CR-0174943-01</t>
  </si>
  <si>
    <t xml:space="preserve">Projeto: GEM – MVBs - MY2025
Família: BODY
Tipo: Cost Reduction
Número: TBD
Descrição: 1. GEM B NARROW BODY HARNESS 52181681 MY25 MBVS
</t>
  </si>
  <si>
    <t xml:space="preserve">Projeto: GEM – APPV - MY2026
Família: BODY 
Tipo: PCR
Número: 4677205          
Descrição: 1. Affects the Body's Family HB5
Phase: APPV
MY:26 and 27
</t>
  </si>
  <si>
    <t xml:space="preserve"> CR-0180221-00</t>
  </si>
  <si>
    <t>CR-0181445-00</t>
  </si>
  <si>
    <t xml:space="preserve">
Projeto: GEM – APPV - MY2027
Família: REAR BUMPER
Tipo: PCR
Número: 4691075                      
Descrição: 1. GEM B NARROW 52186441 REAR BUMPER APPV MY27
Affects the Rear Bumper Harness 52186441
Phase: APPV
MY:27 Carbon</t>
  </si>
  <si>
    <t xml:space="preserve">
Considerar sem impacto para corte e Lead Prep. ( Análise realizada base Delta cut)</t>
  </si>
  <si>
    <t xml:space="preserve">
Considerar sem impacto para corte e Lead Prep. ( Análise realizada base Delta cut)
Já temos aplicadores para terminal 320298219</t>
  </si>
  <si>
    <t>CR-0181385-00</t>
  </si>
  <si>
    <t xml:space="preserve">Projeto: GEM – APPV - MY2027
Família: BODY
Tipo: PCR
Número: 4677211                        
Descrição: 1. 1. Affects the Body's Family
Project: carbon
Phase: APPV
MY:26 and 27
Change terminal E16318300 to 320298219                 </t>
  </si>
  <si>
    <t>CR-0181320-00</t>
  </si>
  <si>
    <t xml:space="preserve">Projeto: GEM – APPV - MY2027
Família: BODY
Tipo: PCR
Número: 4677211                        
Descrição: 1. 1. Affects the Body's Family
ECR:4677211
Project: carbon
Phase: APPV
Relocate Headlamps connector branches LH / RH.                 
</t>
  </si>
  <si>
    <t xml:space="preserve">Projeto: GEM – APPV - MY2027
Família: BODY
Tipo: PCR
Número: 4677211          
Descrição: 1. 1. Affects the Body's Family 4NB
Phase: APPV
MY:26 and 27
Add Crush Shield on the BDU branch (circuit connected do IEC)
NOTE: DO NOT REMOVE CURRENT FINISHING OF THE BRANCH                 
</t>
  </si>
  <si>
    <t>CR-0181157-00</t>
  </si>
  <si>
    <t xml:space="preserve">
Considerar sem impacto para corte e Lead Prep. ( Análise realizada base Delta cut)</t>
  </si>
  <si>
    <t>CR-0181209-01</t>
  </si>
  <si>
    <t>GEM - SAO</t>
  </si>
  <si>
    <t>PENDENTE</t>
  </si>
  <si>
    <t>LATE</t>
  </si>
  <si>
    <t>CR-0180221-00</t>
  </si>
  <si>
    <t>CR-0179947-00</t>
  </si>
  <si>
    <t>CR-0179950-00</t>
  </si>
  <si>
    <t>CR-0180470-00</t>
  </si>
  <si>
    <t>CR-0180472-00</t>
  </si>
  <si>
    <t>CR-0180938-00</t>
  </si>
  <si>
    <t>CR-0180929-00</t>
  </si>
  <si>
    <t>CR-0180939-00</t>
  </si>
  <si>
    <t>CR-0179866-00</t>
  </si>
  <si>
    <t>CR-0181008-00</t>
  </si>
  <si>
    <t>CR-0180979-00</t>
  </si>
  <si>
    <t>CR-0180925-00</t>
  </si>
  <si>
    <t>CR-0181525-00</t>
  </si>
  <si>
    <t>CR-0181446-00</t>
  </si>
  <si>
    <t>CR-0181448-00</t>
  </si>
  <si>
    <t>CR-0183658-00</t>
  </si>
  <si>
    <t>ON TIME</t>
  </si>
  <si>
    <t>CR-0180893-00</t>
  </si>
  <si>
    <t>CR-0180882-00</t>
  </si>
  <si>
    <t>CR-0180903-00</t>
  </si>
  <si>
    <t>CR-0181301-00</t>
  </si>
  <si>
    <t>CR-0181304-00</t>
  </si>
  <si>
    <t>CR-0181382-00</t>
  </si>
  <si>
    <t>CR-0180881-00</t>
  </si>
  <si>
    <t>CR-0182071-00</t>
  </si>
  <si>
    <t>CR-0181159-00</t>
  </si>
  <si>
    <t>CR-0181623-01</t>
  </si>
  <si>
    <t>ECR4677212</t>
  </si>
  <si>
    <t>CR-0181647-01</t>
  </si>
  <si>
    <t>CR-0181958-00</t>
  </si>
  <si>
    <t>CR-0181647-00</t>
  </si>
  <si>
    <t>CR-0183607-00</t>
  </si>
  <si>
    <t>SPIN - SAO</t>
  </si>
  <si>
    <t>ALERT</t>
  </si>
  <si>
    <t>CR-0183633-00</t>
  </si>
  <si>
    <t>CR-0182918-00</t>
  </si>
  <si>
    <t>SCR#280873</t>
  </si>
  <si>
    <t>CR-0182777-00</t>
  </si>
  <si>
    <t>CR-0179328-00</t>
  </si>
  <si>
    <t>CR-0175702-01</t>
  </si>
  <si>
    <t>CR-0178967-00</t>
  </si>
  <si>
    <t>CR-0177765-01</t>
  </si>
  <si>
    <t>Customer Request</t>
  </si>
  <si>
    <t>R</t>
  </si>
  <si>
    <t>PROGRAMA</t>
  </si>
  <si>
    <t>ECR</t>
  </si>
  <si>
    <t>PLANTA</t>
  </si>
  <si>
    <t>CORTE &amp; LEAD PREP.</t>
  </si>
  <si>
    <t xml:space="preserve">
Favor considerar os mesmos investimentos reportados nas CR-0174909-00 e R-0174910-00  ( Análise realizada base Delta cut , implementação condicionada, aprovação dos testes conforme normas especificadas ) 
40 horas técnicas 
Amostras Validação R$ 578,398</t>
  </si>
  <si>
    <t xml:space="preserve">Projeto: GEM – APPV - MY2026
Família: REAR BUMPER 
Tipo: PCR
Número: 4677205          
Descrição: 1. Affects the Rear Bumper Harness 26293110 (52189102)
Phase: APPV
MY:26 and 27
</t>
  </si>
  <si>
    <t xml:space="preserve">Projeto: SPIN – Running change - MY2025
Família: BODY
Tipo: EWO
Número: 4632694           
Descrição: 1. ECR_4632694: MY25 G1NC – Body WH Changes Required - BODY MY25 / MY26
</t>
  </si>
  <si>
    <t xml:space="preserve">
Favor considerar sem Impacto para corte e Lead Prep.
Scrap R$       910,86 considerando 1 dia de lote base MCR</t>
  </si>
  <si>
    <t xml:space="preserve">
Favor considerar os mesmos investimentos e condicionais reportados nas CR-0181209-00 ( Análise realizada base Delta cut , implementação condicionada, aprovação dos testes conforme normas especificadas ) </t>
  </si>
  <si>
    <t xml:space="preserve">
Projeto: GEM – APPV - MY2027
Família: FRONT BUMPER
Tipo: PECR
Número: 4683765                       
Descrição: 1. Affects the Front Bumper Family
Phase: APPV
MY: 27 Carbon
</t>
  </si>
  <si>
    <t xml:space="preserve">
Favor Considerar para corte e Lead Prep. ( Análise realizada base Delta cut , implementação condicionada, aprovação dos testes conforme normas especificadas )
1 Aplicador Mecal modelo MRSP1 para terminal 3202539B5 ( não temos aplicador para esse terminal no projeto SPIN )
Delta cut não está conforme alteração descrita no email o terminal está alterando terminal DE 320262553 Para 3202539B5 
No Email está dizendo que Terminal está alterando DE 320262553 PARA 320257C71
Se formos considerar o terminal 320257C71 descrito no email favor considerar para corte e Lead Prep.
1 Aplicador Mecal modelo MRSP1 para terminal 320257C71 ( não temos aplicador para esse terminal no projeto SPIN )
1 validações conforme norma Uscar21
8 horas técnicas 
Amostras de validação   R$ 234,98 
</t>
  </si>
  <si>
    <t>Projeto: SPIN – Running change - MY2025
Família: LIFTGATE / LIFTGATE EXT.
Tipo: Issue
Número: Customer Request           
Descrição: 1. Replace connector and terminal to Defog for SPIN liftgate &amp; Liftgate Extn.
Connector 1 way
From: 321050783
To: 321676249
Terminal
From: 320262553
To: 320257C71</t>
  </si>
  <si>
    <t>Favor Considerar sem impacto para corte e Lead Prep.</t>
  </si>
  <si>
    <t xml:space="preserve">Projeto: GEM – APPV - MY2026
Família: BODY 
Tipo: PCR
Número: 4677205          
Descrição: 1. Affects the Body's Family HB5
Phase: APPV
</t>
  </si>
  <si>
    <t>Projeto: GEM – APPV - MY2026
Família: BODY 
Tipo: PCR
Número: 4677211          
Descrição: 1. 1. Affects the Body's Family Carbon
VAVE - Cost Reduction
ECR 4677211
Phase: APPV
MY:26 and 27</t>
  </si>
  <si>
    <t xml:space="preserve">
Considerar sem impacto para corte e lead Prep.</t>
  </si>
  <si>
    <t xml:space="preserve"> CR-0180893-00</t>
  </si>
  <si>
    <t>Projeto: GEM – APPV - MY2026
Família: BODY 
Tipo: PCR
Número: 4677211          
Descrição: 1. Affects the Body's CARBON
ECR 4677211
Phase: APPV
MY:26 and 27</t>
  </si>
  <si>
    <t xml:space="preserve">
Favor considerar sem impacto para corte lead Prep.</t>
  </si>
  <si>
    <t>Projeto: GEM – APPV - MY2026
Família: BODY 
Tipo: PCR
Número: 4677211          
Descrição: 1. Affects the Body's Family
Cost Reduction Proposal
PROJECT: CARBON
Phase: APPV
MY:26 and 27</t>
  </si>
  <si>
    <t xml:space="preserve">
Favor considerar sem impacto para corte e lead Prep.</t>
  </si>
  <si>
    <t>Projeto: GEM – APPV - MY2027
Família: REAR BUMPER
Tipo: PCR
Número: 4691075                       
Descrição: 1. GEM B NARROW 52186441 REAR BUMPER APPV MY27
Affects the Rear Bumper Harness 52186441
Phase: APPV
MY:27 Carbon</t>
  </si>
  <si>
    <t>Projeto: GEM – APPV - MY2026
Família: BODY
Tipo: PCR
Número: 4677211                       
Descrição: 1. Affects the Body's Family
Phase: APPV
Project: carbon</t>
  </si>
  <si>
    <t xml:space="preserve">
Favor considerar sem impacto para corte E Lead Prep.
</t>
  </si>
  <si>
    <t>Projeto: GEM – APPV - MY2027
Família: BODY
Tipo: PCR
Número: 4677211          
Descrição: 1. 1. Affects the Body's Family
Project: carbon
Phase: APPV
MY:26 and 27</t>
  </si>
  <si>
    <t xml:space="preserve"> CR-0174944-00</t>
  </si>
  <si>
    <t xml:space="preserve">Projeto: GEM – MVBs - MY2025
Família: FRONT BUMPER
Tipo: EWO
Número: 4585525
Descrição: 1. FRONT BUMPER 26294090 - MY25
</t>
  </si>
  <si>
    <t>CR-0174942-00</t>
  </si>
  <si>
    <t>Projeto: GEM – MVBs - MY2025
Família: FRONT BUMPER
Tipo: EWO
Número: 4585525
Descrição: 1. FRONT BUMPER 26293111 - MY25</t>
  </si>
  <si>
    <t xml:space="preserve">
•	03 validações conforme norma GMW17136. Motivo -  termo novo.</t>
  </si>
  <si>
    <t xml:space="preserve">
02 validações conforme norma GMW17136. Motivo -  termo novo.</t>
  </si>
  <si>
    <t>Projeto: GEM – APPV - MY2026
Família: FRONT BUMPER 
Tipo: PCR
Número: 4677205          
Descrição: 1. Affects the Front Bumper Harness
Phase: APPV
MY:26 and 27</t>
  </si>
  <si>
    <t xml:space="preserve">
Favor considerar os mesmos investimentos e condicionais reportados nas CR-0174944-00 e CR-0174942-00 ( Análise realizada base Delta cut , implementação condicionada, aprovação dos testes conforme normas especificadas ) 
</t>
  </si>
  <si>
    <t>Considerar sem impacto para corte e lead prep.</t>
  </si>
  <si>
    <t xml:space="preserve">Projeto: GEM – APPV - MY2026
Família: BODY 
Tipo: PCR
Número: 4677205
Descrição: 1. Affects the Body's Family HB5
Phase: APPV
MY:26 and 27
Rear Bumper WH (4NB) Relocate position of Inline Rear Bumpeer WH x Body WH
</t>
  </si>
  <si>
    <t xml:space="preserve"> CR-0181301-00</t>
  </si>
  <si>
    <t>considerar sem impacto para corte e Lead Prep.</t>
  </si>
  <si>
    <t>Projeto: GEM – APPV - MY2027
Família: BODY
Tipo: PCR
Número: 4677211          
Descrição: 1. 1. Affects the Body's Family
ECR:4677211
Project: carbon
Phase: APPV
MY:26 and 27</t>
  </si>
  <si>
    <t>Considerar sem impacto para corte lead Prep.</t>
  </si>
  <si>
    <t xml:space="preserve"> CR-0178967-00</t>
  </si>
  <si>
    <t xml:space="preserve">
Projeto: SPIN – Running change - MY2025
Família: BODY
Tipo: EWO
Número: 4677753
Descrição: 1. ECR#4677753 - DEL EXPORT MARKETS</t>
  </si>
  <si>
    <t xml:space="preserve">
Projeto: GEM – APPV - MY2026
Família: BODY 
Tipo: PCR
Número: 4677211          
Descrição: 1. Affects the Body's CARBON
ECR 4677211
Phase: APPV
MY:26 and 27</t>
  </si>
  <si>
    <t xml:space="preserve">
Favor considerar sem imapcto para corte e Lead prep.</t>
  </si>
  <si>
    <t>Favor considerar sem impacto para corte e lead prep.</t>
  </si>
  <si>
    <t>Projeto: GEM – APPV - MY2026
Família: BODY 
Tipo: PCR
Número: 4677205          
Descrição: 1. Affects the Body's Family HB5
Phase: APPV
MY:26 and 27</t>
  </si>
  <si>
    <t>Considerar sem imapcto para corte lead Prep.</t>
  </si>
  <si>
    <t>Projeto: GEM – APPV - MY2026
Família: BODY 
Tipo: PCR
Número: 4677205          
Descrição: 1. Affects the Body's Family 4NB
Phase: APPV
MY:26 and 27</t>
  </si>
  <si>
    <t xml:space="preserve">
Considerar sem imapcto para corte e lead Prep.</t>
  </si>
  <si>
    <t xml:space="preserve">Projeto: GEM – APPV - MY2026
Família: REAR BUMPER 
Tipo: PCR
Número: 4677205          
Descrição: 1. Affects the Rear Bumper Harness 26293109 (52189103)
Phase: APPV
MY:26 and 27
</t>
  </si>
  <si>
    <t>Favor considerar sem imapcto para corte lead Prep.</t>
  </si>
  <si>
    <t xml:space="preserve">
Favor considerar os mesmos investimentos e condicionais reportados nas CR-0174910-00 e CR-0174909-00 ( Análise realizada base Delta cut , implementação condicionada, aprovação dos testes conforme normas especificadas ) 
</t>
  </si>
  <si>
    <t>Projeto: GEM – APPV - MY2026
Família: REAR BUMPER 
Tipo: PCR
Número: 4677205          
Descrição: 1. Affects the Rear Bumper Harness 26293109 (52189103)
Phase: APPV
MY:26 and 27</t>
  </si>
  <si>
    <t xml:space="preserve">
Favor considerar sem imapcto para corte e lead prep</t>
  </si>
  <si>
    <t>Projeto: GEM – APPV - MY2027
Família: REAR LAMP
Tipo: EWO
Número: ECR4677212
Descrição: 1. GEM B NARROW REAR LAMP HARNESS 52187223
CARBON JBQC
#ECR4677212</t>
  </si>
  <si>
    <t xml:space="preserve">
Favor considerar sem imapcto para corte e lead Prep.</t>
  </si>
  <si>
    <t xml:space="preserve">
Projeto: SPIN – IVER - MY2026
Família: IP WH
Tipo: PECR
Número: 4704121
Descrição: 1. Prints Affected: 52167961 (IP)</t>
  </si>
  <si>
    <t xml:space="preserve">
Favor considerar sem impacto para Corte e Lead.( Condicionado a aprovação dos investimentos já solicitados na CR-0172102-00 e CR-0162419-01)</t>
  </si>
  <si>
    <t>Projeto: GEM – APPV - MY2026
Família: REAR BUMPER
Tipo: PCR
Número: 4677205                        
Descrição: 1. Affects the Rear Bumper Harness 26293110 (52189102)
Phase: APPV
MY:26 and 27</t>
  </si>
  <si>
    <t>Favor considerar sem impacto para corte e Lead Prep.
Já temos Validações e Aplicadores para o circuito novo.</t>
  </si>
  <si>
    <t xml:space="preserve"> CR-0183658-00</t>
  </si>
  <si>
    <t>Projeto: GEM – APPV - MY2026
Família: ENGINE
Tipo: PECR
Número: 4677208                       
Descrição: 1. WH (MY25) AFFECTED ENGINE: 52182381
Add wire 6030</t>
  </si>
  <si>
    <t xml:space="preserve">
Considerar sem impacto para corte e Lead prep..
Scrap R$ 1.635,21 </t>
  </si>
  <si>
    <t>GEM – MVBs - MY2025 
Família: REAR BUMPER
Tipo: PCR
Número: 4677249                       
Descrição: 1. GEM B NARROW 52189102 REAR BUMPER MBVS MY25
Affects the Rear Bumper Harness 52189102
Phase: MVBS
MY: 25</t>
  </si>
  <si>
    <t>CR-0110061-00</t>
  </si>
  <si>
    <t>Favor considerar os mesmos investimentos reportados nas CR-0174909-00 e R-0174910-00  ( Análise realizada base Delta cut , implementação condicionada, aprovação dos testes conforme normas especificadas ) 
40 horas técnicas 
Amostras Validação R$ 578,398</t>
  </si>
  <si>
    <t xml:space="preserve"> CR-0181446-00</t>
  </si>
  <si>
    <t xml:space="preserve">Projeto: GEM – APPV - MY2027
Família: REAR BUMPER
Tipo: PCR
Número: 4691075                       
Descrição: 1. GEM B NARROW 52186441 REAR BUMPER APPV MY27
</t>
  </si>
  <si>
    <t>CR-0173468-00</t>
  </si>
  <si>
    <t xml:space="preserve">
Favor considerar sem impacto para corte e Lead Prep.
26302799 Change cavity seal from PN 329983118 (TES000002 - Yellow) to 329983100 (TES000001 - Green) and Terminal from 3202584Y6 to 32025Y0X6. Temos aplicador e Validação para alteração ( RELATORIO DE VALIDAÇÃO 0197BR-USCAR21) Scrap R$       262,29 </t>
  </si>
  <si>
    <t xml:space="preserve">
Projeto: GEM – MVBs - MY2025
Família: LIFTGATE
Tipo: Cost Reduction
Número: TBD</t>
  </si>
  <si>
    <t>CR-0174772-00</t>
  </si>
  <si>
    <t xml:space="preserve">
Projeto: GEM – MVBs - MY2025
Família: IP WH
Tipo: Cost Reduction
Número: 
Descrição: 1. IP HARNESS 52181682
CTO - CHANGE TUBO THERMO FROM E16718900 TO 3299365JY</t>
  </si>
  <si>
    <t xml:space="preserve">
considerar para corte lead prep.
6 Validações de terminal conforme norma GMW17136 para Temo retrátil 3299365JY.
Amostras de validação   R$ 2.563,91 
49 horas técnicas </t>
  </si>
  <si>
    <t>Considerar sem impacto para Corte e Lead Prep. Condicionada aos investimentos reportados na CR-0166437-01 e testes e aprovação conforme Normas especificadas)</t>
  </si>
  <si>
    <t>Projeto: GEM – APPV - MY2027
Família: BODY
Tipo: PCR
Número: 4677211                        
Descrição: 1. 1. Affects the Body's Family
Project: carbon
Phase: APPV
MY:26 and 27</t>
  </si>
  <si>
    <t xml:space="preserve"> CR-0181382-00</t>
  </si>
  <si>
    <t>Considerar sem impacto para Corte e Lead Prep. Condicionada aos investimentos reportados na CR-0171817-02 e testes e aprovação conforme Normas especificadas)</t>
  </si>
  <si>
    <t>Projeto: GEM – APPV - MY2027
Família: LIFTGATE
Tipo: EWO
Número: ECR4677212                       
Descrição: 1. GEM B NARROW LIFTGATE HARNESS 52186438 CARBON</t>
  </si>
  <si>
    <t>Projeto: GEM – APPV - MY2027
Família: LIFTGATE EXT
Tipo: EWO
Número: ECR4677212                       
Descrição: 1. GEM B NARROW LIFTGATE EXT HARNESS 52186439
CARBON JBQC</t>
  </si>
  <si>
    <t xml:space="preserve">Considerar Para corte e lead Prep. (Condicionada aos investimentos reportados na CR-0172035-01 testes e aprovação conforme Normas especificadas)
1 Aplicador Mecal modelo MRSP1 para terminal E00006853 ( já Solicitado Na CR-0172035-01)
1 Aplicador Mecal modelo MRSP1 para terminal E16491700 ( já Solicitado Na CR-0172035-01)
1 Aplicador Mecal modelo MRSP1 para terminal 32025Y1CW ( já Solicitado Na CR-0172035-01)
1 Aplicador Mecal modelo MRSP1 para terminal E05507000 ( já Solicitado Na CR-0172035-01)
1 Aplicador Mecal modelo MRSP1 para terminal E11078000 ( New Terminal )
16 Horas técnicas
2 Validações conforme Norma USCAR 21 
Amostra Validação R$   495,07 </t>
  </si>
  <si>
    <t>Favor considerar mesmos investimentos já reportados na CR-0181647-00.</t>
  </si>
  <si>
    <t xml:space="preserve">
Projeto: GEM – APPV - MY2027 
Família: LIFTGATE EXT
Tipo: EWO
Número: ECR4677212                       
Descrição: 1. GEM B NARROW LIFTGATE EXT HARNESS 52186439
CARBON JBQC</t>
  </si>
  <si>
    <t>Projeto: SPIN – IVER - MY2026
Família: BODY
Tipo: PECR
Número: 4704121
Descrição: 1. ECR PART 4704121: MY26 G1NC LNCAP – Body WH WH Change Required</t>
  </si>
  <si>
    <t xml:space="preserve"> considerar para corte e lead Prep. (Condicionada aos testes e aprovação conforme Normas especificadas)
4 Validações conforme Norma USCAR 45 
4 Validações conforme Norma GMW17136
64 Horas técnicas
Amostra Validação R$   495,07
Scrap R$ 4.356,75 considerando 1 dia de estoque conforme MCR
</t>
  </si>
  <si>
    <t>Considerar sem impacto para corte e lead Prep.
8 horas Técnicas atualização C5 e ajudas visuais</t>
  </si>
  <si>
    <t xml:space="preserve"> CR-0178778-00</t>
  </si>
  <si>
    <t>Projeto: SPIN – Running change - MY2025
Família: IP WH
Tipo: EWO
Número: 4677753
Descrição: 1. ECR 4677753 - Export Markets Clean up - IP - SPIN MY25</t>
  </si>
  <si>
    <t>Considerar Para corte e lead Prep. ( condicionado a aprovação conforme Normas especificadas )
1 Aplicador Mecal modelo MRSP1 para terminal E27713500 ( em substituição ao Aplicador do Terminal E30485400 que está saindo )</t>
  </si>
  <si>
    <t>Projeto: SPIN – Running change - MY2025
Família: IP WH
Tipo: SCR
Número: 282624           
Descrição: 1. Drawing affected: IP 52167961</t>
  </si>
  <si>
    <t>Projeto: VS30 – SORP – 2024_01
Família: BODY
Tipo: WLL/TLL
Número: ISS-049526
Assunto: 1. WLL BODY REV 27
Implementação da PFD2566</t>
  </si>
  <si>
    <t>CR-0181218-00</t>
  </si>
  <si>
    <t xml:space="preserve">Favor considerar sem impacto para corte e Lead Prep.
Scrap R$        386,18 </t>
  </si>
  <si>
    <t>Projeto: VS30 – SORP – 2024_01
Família: DOOR
Tipo: Issue
Número: ISS-050129</t>
  </si>
  <si>
    <t>Considerar sem impacto para corte e Lead Prep. ( conforme informação de WLL será Stock Use )</t>
  </si>
  <si>
    <t xml:space="preserve"> CR-0182000-00</t>
  </si>
  <si>
    <t>Projeto: SPIN – Running change - MY2025
Família: ENGINE
Tipo: Cost Reduction
Número: CTO
Descrição: 1. ENGINE SPIN - MY25 - CTO PROPOSAL.</t>
  </si>
  <si>
    <t>CR-0182241-00</t>
  </si>
  <si>
    <t xml:space="preserve">
Favor considerar sem impacto para corte Lead Prep.</t>
  </si>
  <si>
    <t xml:space="preserve">Projeto: SPIN – Running change - MY2025
Família: BODY
Tipo: SCR
Número: 281397
Descrição: 1. SCR: 281397 - SPIN MY25 - BODY WRG
</t>
  </si>
  <si>
    <t xml:space="preserve">Favor Considerar Para corte e lead Prep. ( condicionado a aprovação conforme Normas especificadas )
2 Aplicadores Mecal modelo MRSP1 para terminal E42884100. ( em substituição ao Aplicador do Terminal E04410900 que está saindo é usado nas máquinas sigmas e nas máquinas Alpha 355 )
2 validações conforme Norma Uscar21 
20 horas técnicas validação e cadastro no CAO nova configuração de crimpagem
1 hora HI recolha dos circuitos com terminal E42884100 dos Racks 
Scrap R$ 2.329,14 considerando 1 dia base MCR
Amostras validação R$          111,84 </t>
  </si>
  <si>
    <t xml:space="preserve">
Favor Considerar Para corte e lead Prep. ( condicionado a aprovação conforme Normas especificadas )
3 Aplicadores Mecal modelo MRSP1 para terminal E42884100.( em substituição aos Aplicadores do Terminal E04410900 que está saindo e são utilizados nas máquinas Komax Alpha 355 )
1 Aplicador Mecal modelo MRSP1 para terminal E42884100. ( Adaptado para Aplicação na máquina Semi- automática SEAL CRIMP em substituição ao Aplicador do terminal E04410900 usado no Lead Prep.)
2 validações conforme Norma Uscar21
20 horas técnicas validação e cadastro no CAO nova configuração de crimpagem
1 hora HI recolha dos circuitos com terminal E42884100 dos Racks 
Scrap R$ 2.905,26 considerando 1 dia base MCR
Amostras validação R$  111,84 </t>
  </si>
  <si>
    <t xml:space="preserve"> CR-0182918-00</t>
  </si>
  <si>
    <t xml:space="preserve">
Projeto: GEM – MVBs - MY2025 
Família: IP WH
Tipo: EWO
Número: SCR#280873                       
Descrição: 1. GEM B NARROW IP HARNESS 52181682</t>
  </si>
  <si>
    <t xml:space="preserve">
Favor considerar para corte e Lead Prep. ( Análise realizada base Delta cut , implementação condicionada, aprovação dos testes conforme normas especificadas )
1 Validação de Splice conforme norma USCAR 45
1 validação de Termo conforme Norma GMW17136.
Amostras de validação   R$   295,51 </t>
  </si>
  <si>
    <t>CR-0183926-00</t>
  </si>
  <si>
    <t xml:space="preserve">Projeto: GEM – APPV - MY2027
Família: ENGINE
Tipo: EWO
Número: 4677208                       
Descrição: 1. ENGINE HARNESS 52182381
</t>
  </si>
  <si>
    <t>CR-0184362-00</t>
  </si>
  <si>
    <t>Projeto: GEM – APPV - MY2026
Família: FRONT BUMPER
Tipo: PECR
Número: 4677205
Descrição: 1. Project: GEM
MY:26 and 27
Phase: APPV
Family: Front Bumper Harness</t>
  </si>
  <si>
    <t>Change of dimensions;
Relocate branch of conector 13514590_B133RF_CORNER_X1 according to markup;
Change of clip from PN E07732100 to PN E20401300 / 84478204;
Change of clip from PN E14618600 to PN E20401300 / 84478204;
Change of clip from PN 329959GK0 to PN 329959GJ2 / 13596796 / 156-00860.
Favor considerer:
•	Scrap ( considerando apenas para os cabos acima de 20mm, abaixo disso será considerado stock use) – R$1336,34</t>
  </si>
  <si>
    <t>CR-0180767-01</t>
  </si>
  <si>
    <t xml:space="preserve">
Projeto: GEM – APPV - MY2027
Família: FRONT BUMPER 
Tipo: PECR
Número: 4683765          
Descrição: 1. CARBON MY27 APPV - Front Bumper Harness - ECR46863765</t>
  </si>
  <si>
    <t>Descrição: 1. CARBON MY27 APPV - Front Bumper Harness - ECR46863765
B.1) FRONT BUMPER WH - Change heat shrink tube over Splices SP1150 / SP2234 / SP5214 / SP6581 from E02000700 - HC-CDB-0003-TE (65mm, 135°C, 5 ID) to 3299362G2 - HC-BBB-PCA-BK (50mm, 110°, 6 ID).
Favor manter os mesmos investimentos já reportados nas CR’s : CR-0180767-00; CR-0174942-00. A que primeiro entrar cobre o investimento.</t>
  </si>
  <si>
    <t>CR-0181209-02</t>
  </si>
  <si>
    <t>Projeto: GEM – APPV - MY2027
Família: FRONT BUMPER
Tipo: PECR
Número: 4683765
Descrição: 1. Affects the Front Bumper Family
Phase: APPV
MY: 27 Carbon</t>
  </si>
  <si>
    <t>1) Add aero shutter connector branch &amp; circuits as described and update routing of main branch. See markups in VCD#1 and VCD#2
Note: Creation / proliferation of new Front Bumper WHs is required due to this modification
Favor considerar:
•	01 validação conforme nora USCAR 45 – Motivo - configuração nova.
•	01 validação conforme norma GMW 177136 -  Motivo – termo com part number novo.
•	Scrap : R$6488,81</t>
  </si>
  <si>
    <r>
      <t xml:space="preserve">1. CTO_TAPE_SPIN MY25.Change Proposal: Replace Tape from E15837200 to E15345300 applied to ALL FAMILIES WRH HRN (Issue).Obs:Tape proposal is Hand Tearable Yes (Não utiliza Dedal). Prints Affected: Engine LI3 - 52167983/Engine LHE - 52169571/Liftgate Extn - 52167967/Liftgate - 52167964/RR Door : 52169538 / 539/License Plate: 52169548/FRT Door - 52167941 / 991/Console: 52167974/Fuel Pùmp - 52169532/IP - 52167961/Bumper - 52167977/Body - 52167938.Tape Proposal already applied on GMI 700 (Benchmark) 
</t>
    </r>
    <r>
      <rPr>
        <b/>
        <sz val="11"/>
        <color theme="1"/>
        <rFont val="Calibri"/>
        <family val="2"/>
        <scheme val="minor"/>
      </rPr>
      <t>Sem necessidade de investimento para engenharia corte/ lead prep.</t>
    </r>
  </si>
  <si>
    <t>CR-0184283-00</t>
  </si>
  <si>
    <t>Projeto: GEM – APPV - MY2027
Família: LIFTGATE EXT 
Tipo: PECR
Número: 4677212          
Descrição: 1. CARBON MY27 APPV - LIFTGATE EXT HARNESS 52186439 - ECR4677212 - VCD(2) - Quotation</t>
  </si>
  <si>
    <t>CR-0181647-02</t>
  </si>
  <si>
    <r>
      <t xml:space="preserve">Lift Gate Extension WH - update routing due to new cross car light. Change connector of Motor Wiper Rear from: 13581043 to: 13522993. Change License Lamp Connectors from: 13586143 to: 13512365.
Note: Update Electrical Diagram required because rear cross car light connector changed from female connector to male connector.
CR revised because the supplier said he didn't have a terminal with PN E11078000 / 8230-5620, which had to be changed to PN E16491700 / 8230-5752.
</t>
    </r>
    <r>
      <rPr>
        <b/>
        <sz val="11"/>
        <color theme="1"/>
        <rFont val="Calibri"/>
        <family val="2"/>
        <scheme val="minor"/>
      </rPr>
      <t>CR reprovada pela engenharia corte/lead prep. Terminais fora do range de aplicação.</t>
    </r>
    <r>
      <rPr>
        <sz val="11"/>
        <color theme="1"/>
        <rFont val="Calibri"/>
        <family val="2"/>
        <scheme val="minor"/>
      </rPr>
      <t xml:space="preserve">
</t>
    </r>
  </si>
  <si>
    <t>11;40</t>
  </si>
  <si>
    <t>Projeto: U11 – Pilot 1 - MY2024.5
Família: Front End
Tipo: CR
Número: PM 07-24</t>
  </si>
  <si>
    <t>U11</t>
  </si>
  <si>
    <t xml:space="preserve">Número: PM 07-24
Descrição: 1. CR for a quote on modifications of the Pack Month 07-24, 2. Family: HKB
</t>
  </si>
  <si>
    <t>CR-0174770-00</t>
  </si>
  <si>
    <t xml:space="preserve">
Favor considerar para corte e lead Prep. (Condicionada aos testes e aprovação conforme Normas especificadas)
17 Validações conforme norma GMW 17136 com termo 3299362G2.
3 Validações conforme Norma Uscar45
160 horas técnicas 
Amostras Para validação R$ 3.621,06 
Scrap R$ 2.003,96 considerando 1 dia de lote Base MCR</t>
  </si>
  <si>
    <t>Projeto: GEM – MVBs - MY2025
Família: BODY
Tipo: Cost Reduction
Número: TBD
Descrição: 1. GEM B NARROW BODY HARNESS 52181680 MY25 MVBs
1. Change heatshrink tube from E16718500 to 3299362G2.</t>
  </si>
  <si>
    <t xml:space="preserve">
Favor considerar para corte e lead Prep. ( Condicionada os investimentos já reportados na CR-0174770-00, mais investimentos relacionados abaixo e aprovação testes conforme Normas especificadas )
6 Validações conforme norma GMW 17136 com termo 3299362G2.
1 Validações conforme Norma Uscar45
56 horas técnicas 
Amostras Para validação R$ 1.085,83
Scrap R$ 5.001,32 considerando 1 dia de lote Base MCR</t>
  </si>
  <si>
    <t xml:space="preserve">
Projeto: GEM – MVBs - MY2025
Família: BODY
Tipo: Cost Reduction
Número: 
Descrição: 1. GEM B NARROW BODY HARNESS 52181681 MY26 MVBS
Change all applications from E16718500 to 3299362G2
</t>
  </si>
  <si>
    <t>CR-0174773-00</t>
  </si>
  <si>
    <t xml:space="preserve">
Favor Considerar para corte e Lead Prep. ( Análise feita base WLL assinada )
Scrap R$ 8.328,02 Cabos Obsoletos</t>
  </si>
  <si>
    <t xml:space="preserve"> CR-0174416-01</t>
  </si>
  <si>
    <t>Projeto: GEM – MVBs - MY2024
Família: BODY
Tipo: WLL/TLL
Número: ISS-047462-ISS-047463
Descrição: 1. 1. Application of WLL and TLL carried out as requested by the process team.
Affected project - GEM - BODY 4NB - 52174376 - MY24 - MVBS.</t>
  </si>
  <si>
    <t xml:space="preserve">Projeto: GEM – MVBs - MY2025
Família: BODY
Tipo: WLL/TLL
Número: ISS-047462-ISS-047463
Descrição: 1. Application of WLL and TLL carried out as requested by the process team.
Affected project - GEM - BODY 4NB - 52181681 - MY25 - MVBS.
</t>
  </si>
  <si>
    <t xml:space="preserve"> CR-0174412-01</t>
  </si>
  <si>
    <t>Projeto: GEM – MVBs - MY2024
Família: BODY
Tipo: WLL/TLL
Número: 
Descrição: 1. WLL/TLL application as requested by the Process team.
Project Affected - GEM - BODY 5HB - 52174375 - MY24 - MVBS</t>
  </si>
  <si>
    <t>CR-0174552-01</t>
  </si>
  <si>
    <t>CR-0174609-01</t>
  </si>
  <si>
    <t>Projeto: GEM – MVBs - MY2025
Família: BODY
Tipo: WLL/TLL
Número: “ - ”
Descrição: 1. WLL/TLL application as requested by the Process team.
Project Affected - GEM - BODY 5HB - 52181680 - MY25 - MVBS</t>
  </si>
  <si>
    <t xml:space="preserve">
Favor Considerar sem impacto para corte e Lead Prep. ( Análise feita base WLL assinada )
Scrap já reportado na CR-0174416-01 ( circuitos comunizados )</t>
  </si>
  <si>
    <t xml:space="preserve">
Favor Considerar sem impacto para corte e Lead Prep. ( Análise feita base WLL assinada )
Scrap já reportado na CR-0174416-01
</t>
  </si>
  <si>
    <t>Projeto: GEM – APPV - MY2026
Família: BODY
Tipo: Cost Reduction
Número:                        
Descrição: 1. 1. Afeta família do Body</t>
  </si>
  <si>
    <t>CR-0178152-00</t>
  </si>
  <si>
    <t xml:space="preserve">
Favor considerar os mesmos investimentos e condicionais reportados nas CR-0181209-00 ( Análise realizada base Delta cut , implementação condicionada, aprovação dos testes conforme normas especificadas )</t>
  </si>
  <si>
    <r>
      <t xml:space="preserve">Considerar para Corte e Lead Prep.( implementação condicionado a aprovação das validações conforme Norma GMW 17136 e USCAR 45 e aprovação das CRS CR-0172352-00 e CR-0162419-01)
1 validação conforme norma USCAR21 para Terminal 32025Y20B com cabo FLRY-A-0.50 e selo 320455A8X. ( solicitado na CR-0172352-00 )
1 validação conforme norma USCAR21 para Terminal 32025Y0X6 com cabo CU-R3XLPE-DB-0.50 e selo 329983100.
1 validação conforme norma USCAR21 para Terminal E00120500 com cabo CU-R3XLPE-DB-0.50.
1 validação conforme norma USCAR45 Splice STD_X117SP1150_BUN624_1_X1 CSA Left 1.000 , CSA Right 1.250 CSA Total 2.25
</t>
    </r>
    <r>
      <rPr>
        <sz val="11"/>
        <color rgb="FFFF0000"/>
        <rFont val="Calibri"/>
        <family val="2"/>
        <scheme val="minor"/>
      </rPr>
      <t xml:space="preserve">1 validação conforme norma GMW17136 Splice STD_X117SP1150_BUN624_1_X1 CSA Left 1.000 , CSA Right 1.250 CSA Total 2.25 com termo E02000700
</t>
    </r>
    <r>
      <rPr>
        <sz val="11"/>
        <color theme="1"/>
        <rFont val="Calibri"/>
        <family val="2"/>
        <scheme val="minor"/>
      </rPr>
      <t xml:space="preserve">1 validação conforme norma USCAR45 Splice STD_X117SP1150_BUN624_1_X1 CSA Left 0.500 , CSA Right 1.250 CSA Total 1.75 ( Solicitado na CR-0162419-01 )
1 validação conforme norma GMW17136 Splice STD_X117SP1150_BUN624_1_X1 CSA Left 0.500 , CSA Right 1.250 CSA Total 1.75 com termo E02000700 ( Solicitado na CR-0162419-01 )
1 Aplicador Mecal modelo MRSP1 para terminal 32025Y20B ( Solicitado na CR-0172352-00 )
1 Calha de selo para selo 320455A8X ( Solicitado na CR-0172352-00 )
Scrap R$ 10.596,92  
Amostras de validação R$ 1.807,00 
40 horas técnicas 
Necessidade de 250 peças do termo retrátil E02000700 para confecção das amostras para validação.
Lead time para Validações e implementação a partir da liberação da verba.
</t>
    </r>
  </si>
  <si>
    <t>CR-0179290-01</t>
  </si>
  <si>
    <t>CR-0180925-01</t>
  </si>
  <si>
    <t>Projeto: GEM – APPV - MY2026
Família: BODY 
Tipo: PCR
Número: 4677205          
Descrição: 1. Affects the Body's Family HB5</t>
  </si>
  <si>
    <t xml:space="preserve">
Sem necessidade de investimento para engenharia corte/lead prep.</t>
  </si>
  <si>
    <t>CR-0179696-02</t>
  </si>
  <si>
    <t>Programa</t>
  </si>
  <si>
    <t>Status Planta</t>
  </si>
  <si>
    <t>Status Processos</t>
  </si>
  <si>
    <t>Status Meios Montagem</t>
  </si>
  <si>
    <t>Status Teste Elétrico</t>
  </si>
  <si>
    <t>Status Corte &amp; Lead Prep</t>
  </si>
  <si>
    <t>Dias com Eng. Cotações</t>
  </si>
  <si>
    <t>Pendente</t>
  </si>
  <si>
    <t>CR-0176805-01</t>
  </si>
  <si>
    <t>CR-0176804-01</t>
  </si>
  <si>
    <t>CR-0181958-01</t>
  </si>
  <si>
    <t>CR-0185375-00</t>
  </si>
  <si>
    <t>CR-0181159-01</t>
  </si>
  <si>
    <t>CR-0181157-01</t>
  </si>
  <si>
    <t>prioricade</t>
  </si>
  <si>
    <t>CR-0175547-00</t>
  </si>
  <si>
    <t>CR-0171537-00</t>
  </si>
  <si>
    <t>CR-0171546-00</t>
  </si>
  <si>
    <t>CR-0171549-00</t>
  </si>
  <si>
    <t>CR-0171551-00</t>
  </si>
  <si>
    <t>CR-0174997-01</t>
  </si>
  <si>
    <t>CR-0175738-00</t>
  </si>
  <si>
    <t>CR-0176580-00</t>
  </si>
  <si>
    <t>CR-0176598-00</t>
  </si>
  <si>
    <t>CR-0176666-00</t>
  </si>
  <si>
    <t>CR-0176667-00</t>
  </si>
  <si>
    <t>CR-0178370-00</t>
  </si>
  <si>
    <t>CR-0171554-01</t>
  </si>
  <si>
    <t>CR-0178172-00</t>
  </si>
  <si>
    <t>CR-0178171-00</t>
  </si>
  <si>
    <t>CR-0178117-00</t>
  </si>
  <si>
    <t>CR-0180007-00</t>
  </si>
  <si>
    <t>CR-0180150-00</t>
  </si>
  <si>
    <t>CR-0180140-00</t>
  </si>
  <si>
    <t>CR-0180159-00</t>
  </si>
  <si>
    <t>CR-0180347-00</t>
  </si>
  <si>
    <t>CR-0180330-00</t>
  </si>
  <si>
    <t>CR-0180343-00</t>
  </si>
  <si>
    <t>CR-0180309-00</t>
  </si>
  <si>
    <t>CR-0180139-00</t>
  </si>
  <si>
    <t>CR-0179502-00</t>
  </si>
  <si>
    <t>CR-0180141-00</t>
  </si>
  <si>
    <t>CR-0180142-00</t>
  </si>
  <si>
    <t>CR-0180143-00</t>
  </si>
  <si>
    <t>CR-0180354-00</t>
  </si>
  <si>
    <t>CR-0183330-00</t>
  </si>
  <si>
    <t>CR-0183331-00</t>
  </si>
  <si>
    <t>CR-0121065-01</t>
  </si>
  <si>
    <t>CR-0184650-00</t>
  </si>
  <si>
    <t>CR-0184651-00</t>
  </si>
  <si>
    <t>Projeto: GEM – APPV - MY2026
Família: BODY 
Tipo: PCR
Número: 4677205
Descrição: 1. 1. Affects the Body's Family 4NB
Phase: APPV
MY:26 and 27
Add Crush Shield on the BDU branch (circuit connected do IEC)
NOTE: DO NOT REMOVE CURRENT FINISHING OF THE BRANCH</t>
  </si>
  <si>
    <t>Boa tarde a todos.
Favor avaliar impacto para a alteração proposta na CR-0185375-00.
Projeto: GEM – MVBs - MY2025
Família: IP
Tipo: PECR
Número: 4715171</t>
  </si>
  <si>
    <t>Favor avaliar impacto para a alteração proposta na CR-0179290-01.
Projeto: GEM – APPV - MY2027
Família: Engine
Tipo: EWO
Número: 4677208</t>
  </si>
  <si>
    <t xml:space="preserve">
Favor considerar Sem Impacto para corte e Lead Prep. ( Análise Realizada base delta cut ).</t>
  </si>
  <si>
    <t>Projeto: GEM – APPV - MY2027
Família: Body
Tipo: PCR
Número: 4677211</t>
  </si>
  <si>
    <t xml:space="preserve">
Considerar sem impacto para corte e Lead Prep.
Scrap R$     1.824,16 </t>
  </si>
  <si>
    <t>Projeto: GEM – APPV - MY2026
Família: ENGINE
Tipo: Cost Reduction
Número: TBD
Descrição: 11. ENGINE HARNESS 52182664
COST_REDUCTION_BRACKET_ENGINE_HARNESS_BCAR</t>
  </si>
  <si>
    <t xml:space="preserve">considerar sem impacto para corte e Lead Prep.
Scrap R$  1.388,35 </t>
  </si>
  <si>
    <t xml:space="preserve">Favor considerar sem impacto para corte e Lead Prep.
Scrap R$ 2.408,05 </t>
  </si>
  <si>
    <t xml:space="preserve">Projeto: GEM – APPV - MY2026
Família: ENGINE
Tipo: Cost Reduction
Número: TBD
Descrição: 1. ENGINE HARNESS 52182314
</t>
  </si>
  <si>
    <t xml:space="preserve">
Favor considerar sem impacto para corte e Lead.</t>
  </si>
  <si>
    <t>Projeto: GEM – PPV - MY2024
Família: IP WH
Tipo: Cost Reduction
Número:                        
Descrição: 1. GEM B NARROW IP 26415443</t>
  </si>
  <si>
    <t>07/06/02024</t>
  </si>
  <si>
    <t>Projeto: GEM – MVBs - MY2025
Família: BODY
Tipo: Cost Reduction     
Número: TBD</t>
  </si>
  <si>
    <t xml:space="preserve">
Considerar sem impacto para corte e Lead Prep.( análise realizada base delta cut )</t>
  </si>
  <si>
    <t>Projeto: GEM – MVBs - MY2025
Família: ENGINE  
Tipo: Cost Reduction
Número: N/D</t>
  </si>
  <si>
    <t>Projeto: GEM – APPV - MY2026
Família: ENGINE 
Tipo: Cost Reduction
Número: WS23_NAV_35</t>
  </si>
  <si>
    <t>Projeto: GEM – APPV - MY2026
Família: BODY 
Tipo: Cost Reduction
Número: WS23_NAV_27</t>
  </si>
  <si>
    <t>Considerar sem impacto para corte e Lead Prep.( análise realizada base delta cut )</t>
  </si>
  <si>
    <t xml:space="preserve"> CR-0178901-00</t>
  </si>
  <si>
    <t>Projeto: GEM – MVBs - MY2025
Família: ENGINE  
Tipo: Cost Reduction
Número: N/D
Descrição: 1. ENGINE HARNESS 52182314</t>
  </si>
  <si>
    <t>Projeto: GEM – MVBs - MY2025
Família: BODY
Tipo: Cost Reduction
Número: TBD</t>
  </si>
  <si>
    <t>Considerar sem impacto para corte e Lead Prep.
Scrap R$196,16</t>
  </si>
  <si>
    <t>Projeto: GEM – Running change MY2025
Família: FUEL INJECTOR  
Tipo: Cost Reduction
Número: WS23_NAV_3</t>
  </si>
  <si>
    <t xml:space="preserve">
Projeto: GEM – APPV - MY2026
Família: REAR BUMPER 
Tipo: PECR
Número: 4611651          </t>
  </si>
  <si>
    <t>06;12</t>
  </si>
  <si>
    <r>
      <t xml:space="preserve">Descrição: 1. GEM – MY26 APPV – REAR BUMPER HARNESS 26293110 NB4 – ECR4611651 – Quotation
1)Create new PNs for Rear Bumper WHs - 4NB / 5HB in order to meet PCCR15680 request.
- ADD PN 52189539 USING AS REFERENCE 26321275
NOTE: NEW PNS ARE SIMILAR TO THEIR REFERENCES, EXCEPT BY ADDITION OF RPO UD7 (REAR PARK ASSIST)
</t>
    </r>
    <r>
      <rPr>
        <b/>
        <sz val="11"/>
        <color theme="1"/>
        <rFont val="Calibri"/>
        <family val="2"/>
        <scheme val="minor"/>
      </rPr>
      <t>Sem necessidade deinvestimento para engenharia corte/lead prep.</t>
    </r>
  </si>
  <si>
    <r>
      <t xml:space="preserve">Descrição: 1. GEM – MY26 APPV – REAR BUMPER HARNESS 26293109 HB5 – ECR4611651 – Quotation
1)Create new PNs for Rear Bumper WHs - 4NB / 5HB in order to meet PCCR15680 request.
- ADD PN 52189538 USING AS REFERENCE 26342630
NOTE: NEW PNS ARE SIMILAR TO THEIR REFERENCES, EXCEPT BY ADDITION OF RPO UD7 (REAR PARK ASSIST)
</t>
    </r>
    <r>
      <rPr>
        <b/>
        <sz val="11"/>
        <color theme="1"/>
        <rFont val="Calibri"/>
        <family val="2"/>
        <scheme val="minor"/>
      </rPr>
      <t>Sem necessidade deinvestimento para engenharia corte/lead prep.</t>
    </r>
  </si>
  <si>
    <t>Projeto: GEM – APPV - MY2027
Família: REAR LAMP CARBON 52187223
Tipo: EWO
Número: ECR4677212</t>
  </si>
  <si>
    <r>
      <t xml:space="preserve">Descrição: 1. GEM B NARROW REAR LAMP HARNESS 52187223 CARBON JBQC #ECR4677212 1.1) Rear Lamp WH: 1.2) Reduce main branch 1.3) Remove connection with CHSML 1.4) Add new inline connection
</t>
    </r>
    <r>
      <rPr>
        <b/>
        <sz val="11"/>
        <color theme="1"/>
        <rFont val="Calibri"/>
        <family val="2"/>
        <scheme val="minor"/>
      </rPr>
      <t>Scrap – R$530,00</t>
    </r>
  </si>
  <si>
    <r>
      <t xml:space="preserve">Descrição: 1. 1. Affects the Body's Family 4NB Phase: APPV MY:26 and 27 Add Crush Shield on the BDU branch (circuit connected do IEC) NOTE: DO NOT REMOVE CURRENT FINISHING OF THE BRANCH
</t>
    </r>
    <r>
      <rPr>
        <b/>
        <sz val="11"/>
        <color theme="1"/>
        <rFont val="Calibri"/>
        <family val="2"/>
        <scheme val="minor"/>
      </rPr>
      <t>Sem necessidade de investimento para engenharia cortre/lead prep.</t>
    </r>
  </si>
  <si>
    <t>Projeto: GEM – MVBs - MY2025
Família: IP WH
Tipo: Cost Reduction
Número: 
Descrição: 1. IP HARNESS 52181682</t>
  </si>
  <si>
    <t>_IP_ Change terminal from E03844600 to E32673300
•	Transformação de duas ferramentas Mecal de E03844600 para E32673300. Valor – R$4000,00;
•	Scrap – R$865,00</t>
  </si>
  <si>
    <t>Projeto: GEM – APPV - MY2026
Família: ENGINE
Tipo: Cost Reduction
Número: TBD
Descrição: 1. ENGINE HARNESS 52182381</t>
  </si>
  <si>
    <t>COST_REDUCTION_BRACKET_ENGINE_HARNESS_BCAR
•	Scrap – R$918,00</t>
  </si>
  <si>
    <t>Projeto: GEM – APPV - MY2026
Família: ENGINE
Tipo: Cost Reduction
Número: TBD
Descrição: 1. ENGINE HARNESS 52182666</t>
  </si>
  <si>
    <r>
      <t xml:space="preserve">COST_REDUCTION_BRACKET_ENGINE_HARNESS_BCAR
</t>
    </r>
    <r>
      <rPr>
        <b/>
        <sz val="11"/>
        <color theme="1"/>
        <rFont val="Calibri"/>
        <family val="2"/>
        <scheme val="minor"/>
      </rPr>
      <t>•	Scrap – R$631,26</t>
    </r>
  </si>
  <si>
    <t>Projeto: GEM – MVBs - MY2025
Família: BODY
Tipo: Cost Reduction
Número: TBD
Descrição: 1. GEM B NARROW BODY HARNESS 52181680 MY25 MBVS</t>
  </si>
  <si>
    <t>13;00</t>
  </si>
  <si>
    <t>Remove fixed tube E21429600
Remove tape E02862500
Add Spot tape E00291600
Sem necessidade de investimento para engenharia corte/lead prep.</t>
  </si>
  <si>
    <t xml:space="preserve">Projeto: GEM – MVBs - MY2024
Família: IP WH  
Tipo: WLL/TLL
Número: 
</t>
  </si>
  <si>
    <t xml:space="preserve">Descrição: 1. Application of WLL as requested by the Process team. Affected.
Project – GEM – IP – 52174448 – MY24 – MVBS.
</t>
  </si>
  <si>
    <t>Projeto: GEM – APPV - MY2026
Família: ENGINE  
Tipo: Cost Reduction
Número: TBD
Descrição: 1. ENGINE HARNESS 52185602
COST_REDUCTION_BRACKET_ENGINE_HARNESS_BCAR</t>
  </si>
  <si>
    <t>COST_REDUCTION_BRACKET_ENGINE_HARNESS_BCAR
•	Scrap – R$ 2050,43</t>
  </si>
  <si>
    <t xml:space="preserve">Favor considerar sem impacto para corte e Lead prep..
Scrap R$ 263,83 </t>
  </si>
  <si>
    <t>Projeto: GEM – MVBs - MY2024
Família: REAR BUMPER  
Tipo: WLL/TLL
Número: ISS-048304</t>
  </si>
  <si>
    <t>Projeto: GEM – MVBs - MY2025
Família: IP WH  
Tipo: WLL/TLL
Número: ISS-048132</t>
  </si>
  <si>
    <t>Descrição: 1. WLL application as requested by the process team.
Affected project – GEM – IP – 52181682 – MY25 – MVBS.
Sem necessidade de investimento para engenharia corte/lead prep.</t>
  </si>
  <si>
    <t>Projeto: GEM – APPV - MY2026
Família: REAR BUMPER 
Tipo: Cost Reduction
Número: TBD
Descrição: 1. GEM B NARROW REAR BUMPER HARNESS 26293109 MY26 APPV
GEM to CTO Proposal
Replace Term:
From: 3202584Y6 (0.35) To: E03846100 (0.35)
Replace Conn:
From: E08004000 To: E16453700</t>
  </si>
  <si>
    <t>Projeto: GEM – MVBs - MY2025
Família: LIFTGATE 
Tipo: Cost Reduction
Número: TBD
Descrição: 1. GEM B NARROW HARNESS LIFTGATE 52181715
CTO PROPOSAL
CHANGE CONNECTOR FROM E08004000 TO E16453700
CHANGE TERMINAL FROM 3202584Y6 TO E03355600</t>
  </si>
  <si>
    <t>COST_REDUCTION_BRACKET_ENGINE_HARNESS_BCAR
•	Scrap – R$ 1883,36</t>
  </si>
  <si>
    <t>•	Scrap – R$ 949,17</t>
  </si>
  <si>
    <t>•	Scrap – R$ 1287,77</t>
  </si>
  <si>
    <t>03/05/2024</t>
  </si>
  <si>
    <t>17:19</t>
  </si>
  <si>
    <t>26/04/2024</t>
  </si>
  <si>
    <t>16:05</t>
  </si>
  <si>
    <t>17:13</t>
  </si>
  <si>
    <t>16:47</t>
  </si>
  <si>
    <t>17:15</t>
  </si>
  <si>
    <t>06/05/2024</t>
  </si>
  <si>
    <t>08:56</t>
  </si>
  <si>
    <t>08:59</t>
  </si>
  <si>
    <t>16:32</t>
  </si>
  <si>
    <t>16:56</t>
  </si>
  <si>
    <t>28/06/2024</t>
  </si>
  <si>
    <t>09:44</t>
  </si>
  <si>
    <t>09:57</t>
  </si>
  <si>
    <t>Projeto: GEM – MVBs - MY2025
Família: REAR DOOR 
Tipo: Cost Reduction
Número: TBD          
Descrição: 1. GEM B NARROW 52181703 REAR DOR HARNESS MY25 MBVS
VAVE Proposal - GEM - CHANGE CLIP - BODY WH / IP WH / DOORS WH
change from CLIP PN E04117400 ( 126-00125 - Hellermann Tyton) to CLIP PN 3299590J9 (126-00001 - Hellermann Tyton).</t>
  </si>
  <si>
    <t>Change from CLIP PN E04117400 ( 126-00125 - Hellermann Tyton) to CLIP PN 3299590J9 (126-00001 - Hellermann Tyton).
Sem necessidade de investimento para engenharia corte/lead prep.</t>
  </si>
  <si>
    <t>Projeto: GEM – APPV - MY2026
Família: BODY 
Tipo: Cost Reduction
Número: TBD          
Descrição: 1. GEM B NARROW BODY HARNESS 52182307 MY25 MBVS
VAVE Proposal - GEM - CHANGE CLIP - BODY WH / IP WH / DOORS WH
change from CLIP PN E04117400 ( 126-00125 - Hellermann Tyton) to CLIP PN 3299590J9 (126-00001 - Hellermann Tyton).</t>
  </si>
  <si>
    <t>Projeto: GEM – APPV - MY2026
Família: BODY 
Tipo: Cost Reduction
Número: TBD
Descrição: 1. GEM B NARROW 52182306 BODY HARNESS APPV MY26
change of strap from PN E05384400 (111-00563 - Hellermann Tyton) to PN E05939500(111-03970 - Hellermann Tyton)</t>
  </si>
  <si>
    <t xml:space="preserve">Projeto: GEM – APPV - MY2026
Família: BODY
Tipo: Cost Reduction
Número: TBD
Descrição: 1. GEM B NARROW 52182306 BODY HARNESS APPV MY26
change of strap from PN E05384400 (111-00563 - Hellermann Tyton) to PN E05939500(111-03970 - Hellermann Tyton)       </t>
  </si>
  <si>
    <t xml:space="preserve">
Projeto: GEM – MVBs - MY2025
Família: REAR DOOR 
Tipo: Cost Reduction
Número: TBD          
Descrição: 1. GEM B NARROW 52181704 REAR DOR HARNESS MY25 MBVS
VAVE Proposal - GEM - CHANGE CLIP - BODY WH / IP WH / DOORS WH
change from CLIP PN E04117400 ( 126-00125 - Hellermann Tyton) to CLIP PN 3299590J9 (126-00001 - Hellermann Tyton).</t>
  </si>
  <si>
    <t>Projeto: GEM – MVBs - MY2025
Família: REAR DOOR 
Tipo: Cost Reduction
Número: TBD          
Descrição: 1. GEM B NARROW 52181712 REAR DOR HARNESS MY25 MBVS
VAVE Proposal - GEM - CHANGE CLIP - BODY WH / IP WH / DOORS WH
change from CLIP PN E04117400 ( 126-00125 - Hellermann Tyton) to CLIP PN 3299590J9 (126-00001 - Hellermann Tyton).</t>
  </si>
  <si>
    <t>Projeto: GEM – MVBs - MY2025
Família: REAR DOOR 
Tipo: Cost Reduction
Número: TBD          
Descrição: 1. GEM B NARROW 52181713 REAR DOR HARNESS MY25 MBVS
VAVE Proposal - GEM - CHANGE CLIP - BODY WH / IP WH / DOORS WH
change from CLIP PN E04117400 ( 126-00125 - Hellermann Tyton) to CLIP PN 3299590J9 (126-00001 - Hellermann Tyton).</t>
  </si>
  <si>
    <t xml:space="preserve">Projeto: GEM – MVBs - MY2025
Família: FRONT DOOR
Tipo: Cost Reduction
Número: TBD
Descrição: 1. GEM B NARROW 52181691 FRONT DOOR HARNESS MVBs MY25
change of strap from PN E05384400 (111-00563 - Hellermann Tyton) to PN E05939500(111-03970 - Hellermann Tyton)       </t>
  </si>
  <si>
    <t xml:space="preserve">Projeto: GEM – APPV - MY2026
Família: IP WH
Tipo: Cost Reduction
Número: TBD
Descrição: 1. GEM B NARROW 52182308 IP HARNESS APPV MY26
change from CLIP PN E04117400 ( 126-00125 - Hellermann Tyton) to CLIP PN 3299590J9 (126-00001 - Hellermann Tyton).       </t>
  </si>
  <si>
    <t>Projeto: GEM – APPV - MY2026
Família: BODY 
Tipo: Cost Reduction
Número: WS23_NAV_12          
Descrição: 1. GEM - MY26 APPV - BODY HARNESS 52182307 - COST REDUCTION STUDY
Idea number: WS23_NAV_12
Proposal Description: REMOVE SPOT TAPE PN 127129026 FROM N34525.
NOTE: this is a "cost only" CR.</t>
  </si>
  <si>
    <t>Projeto: GEM – APPV - MY2026
Família: BODY 
Tipo: Cost Reduction
Número: WS23_NAV_12          
Descrição: 1. GEM - MY26 APPV - BODY HARNESS 52182306 - COST REDUCTION STUDY
Idea number: WS23_NAV_12
Proposal Description: REMOVE SPOT TAPE PN 127129026 FROM N26091.
NOTE: this is a "cost only" CR.</t>
  </si>
  <si>
    <t xml:space="preserve">Change of strap from PN E05384400 (111-00563 - Hellermann Tyton) to PN E05939500(111-03970 - Hellermann Tyton) </t>
  </si>
  <si>
    <t>Change from CLIP PN E04117400 ( 126-00125 - Hellermann Tyton) to CLIP PN 3299590J9 (126-00001 - Hellermann Tyton).</t>
  </si>
  <si>
    <t>Change of strap from PN E05384400 (111-00563 - Hellermann Tyton) to PN E05939500(111-03970 - Hellermann Tyton)
Sem necessidade de investimento para engenharia corte/lead prep.</t>
  </si>
  <si>
    <t>Change from CLIP PN E04117400 ( 126-00125 - Hellermann Tyton) to CLIP PN 3299590J9 (126-00001 - Hellermann Tyton).
Sem necessidade de investimento para engenharia corte/lead prep.</t>
  </si>
  <si>
    <t>Change of strap from PN E05384400 (111-00563 - Hellermann Tyton) to PN E05939500(111-03970 - Hellermann Tyton)       
Sem necessidade de investimento para engenharia corte/lead prep.</t>
  </si>
  <si>
    <t>Change from CLIP PN E04117400 ( 126-00125 - Hellermann Tyton) to CLIP PN 3299590J9 (126-00001 - Hellermann Tyton).       
Sem necessidade de investimento para engenharia corte/lead prep.</t>
  </si>
  <si>
    <t>Proposal Description: REMOVE SPOT TAPE PN 127129026 FROM N26091.
NOTE: this is a "cost only" CR.
Sem necessidade de investimento para engenharia corte/lead prep.</t>
  </si>
  <si>
    <t>Projeto: GEM – MVBs - MY2024
Família: REAR BUMPER  
Tipo: WLL/TLL
Número: ISS-048305</t>
  </si>
  <si>
    <t>Favor Considerar Sem impacto para corte e lead Prep.( Stoke use)</t>
  </si>
  <si>
    <t>Data Submissão SEM</t>
  </si>
  <si>
    <t>Status Cotações</t>
  </si>
  <si>
    <t>Status Produto</t>
  </si>
  <si>
    <t>Status Qualidade</t>
  </si>
  <si>
    <t>CR-0179938-00</t>
  </si>
  <si>
    <t>CR-0179937-00</t>
  </si>
  <si>
    <t>CR-0181417-00</t>
  </si>
  <si>
    <t>CR-0181892-00</t>
  </si>
  <si>
    <t>CR-0181878-00</t>
  </si>
  <si>
    <t>CR-0181881-00</t>
  </si>
  <si>
    <t>CR-0182174-00</t>
  </si>
  <si>
    <t>CR-0182534-00</t>
  </si>
  <si>
    <t>CR-0182779-00</t>
  </si>
  <si>
    <t>CR-0183187-00</t>
  </si>
  <si>
    <t>CR-0185010-00</t>
  </si>
  <si>
    <t>CR-0185223-00</t>
  </si>
  <si>
    <t>CR-0185238-00</t>
  </si>
  <si>
    <t>CR-0185239-00</t>
  </si>
  <si>
    <t>CR-0185335-00</t>
  </si>
  <si>
    <t>CR-0185339-00</t>
  </si>
  <si>
    <t>CR-0185493-00</t>
  </si>
  <si>
    <t>CR-0189848-00</t>
  </si>
  <si>
    <t>2024_1</t>
  </si>
  <si>
    <t xml:space="preserve">Projeto: SPIN – Running change - MY2025
Família: ENGINE LHE
Tipo: Cost Reduction
Número: Splice Relocation           </t>
  </si>
  <si>
    <t xml:space="preserve">
Favor considerar sem impacto para corte e Lead Prep.
Scrap R$ 784,69 </t>
  </si>
  <si>
    <t xml:space="preserve">Favor considerar sem impacto para corte e Lead Prep.
Scrap R$         1.191,97 </t>
  </si>
  <si>
    <t xml:space="preserve">Projeto: SPIN – Running change - MY2025
Família: ENGINE LI3
Tipo: Cost Reduction
Número: Splice Relocation           </t>
  </si>
  <si>
    <t xml:space="preserve">
Considerar sem Impacto para corte e Lead Prep.
Scrap R$ 194,75</t>
  </si>
  <si>
    <t xml:space="preserve">Projeto: SPIN – SORP - MY2025
Família: FRONT DOOR
Tipo: WLL/TLL
Número: ISS-049401           </t>
  </si>
  <si>
    <t xml:space="preserve"> CR-0180676-00</t>
  </si>
  <si>
    <t>Projeto: SPIN – Running change - MY2025
Família: BODY
Tipo: Cost Reduction
Número: DFM-2024-0013264-SPIN-1</t>
  </si>
  <si>
    <t xml:space="preserve">
Considerar sem impacto para corte e Lead Prep.
1 Horas HI
Scrap R$ 249,84
</t>
  </si>
  <si>
    <t xml:space="preserve">
Considerar sem impacto para corte e Lead Prep.
3 Horas HI
Scrap R$ 829,15</t>
  </si>
  <si>
    <t xml:space="preserve">Projeto: SPIN – Running change - MY2025
Família: BODY
Tipo: Cost Reduction
Número: ISS-047645           
Descrição: 1. CTO PROPOSAL - SPIN MY25 - BODY
</t>
  </si>
  <si>
    <t xml:space="preserve">
Boa noite,
Considerar sem impacto para corte e lead Prep.
Scrap R$   337,61 
8 horas técnicas cadastro Twisters + configurações nas máquinas e cadastros dos Circuitos no CAO.</t>
  </si>
  <si>
    <t>Projeto: VS30 – SORP – 2024_01
Família: AUTARKE
Tipo: ISSUE
Número: ISS-051393</t>
  </si>
  <si>
    <t>Projeto: SPIN – SORP - MY2025
Família: OBJECT ALARM
Tipo: WLL/TLL
Número: ISS-049843           
Descrição: 1. TLL application as request by the Process team.</t>
  </si>
  <si>
    <t>Felipe Alves</t>
  </si>
  <si>
    <t>TLL reportado como stoke use, portanto sem ação de lead Prep.</t>
  </si>
  <si>
    <t xml:space="preserve">Projeto: SPIN – Running change - MY2025
Família: ENGINE &amp; BODY
Tipo: Cost Reduction
Número: ISS-049988           </t>
  </si>
  <si>
    <t xml:space="preserve">
Alteração de clip cinta na montagem, sem impacto para lead prep..</t>
  </si>
  <si>
    <t>15;30</t>
  </si>
  <si>
    <t xml:space="preserve">Projeto: SPIN – Running change - MY2025
Família: BODY
Tipo: Cost Reduction
Número: 
Descrição: 1. 1. CTO PROPOSAL - SPIN MY25 - BODY
</t>
  </si>
  <si>
    <t xml:space="preserve">
Alteração de conector clip, sem impacto para lead prep</t>
  </si>
  <si>
    <t xml:space="preserve">
Favor considerar para Corte e lead Prep. ( Análise realizada base Delta cut , implementação condicionada a aprovação dos testes conforme normas especificadas. )
3 Aplicadores Mecal modelo MRSP1 para terminal E03355500 ( Temos 1 Aplicador no projeto GEM e é usado em apenas uma máquina com alteração passa a ser usado em 4 máquinas inclusive em máquinas sigmas.) 
1 Aplicadores Mecal modelo MRSP1 para terminal E03355600 ( Temos 1 Aplicador no projeto GEM e é usado em apenas uma máquina com alteração passa a ser usado em 2 máquinas. ) 
1 Validação conforme norma USCAR 21 para terminal E03355500 com Cabo 0.50 isolação 65766 e Selo 329983100
Amostras de validação R$68,11 
8 horas técnicas.
Scrap considerando 1 dia de Lote Base MCR R$   5.413,65 ( Caso for considerado stock use desconsiderar o valor de Scrap )</t>
  </si>
  <si>
    <t>Projeto: GEM – MVBs - MY2025
Família: ENGINE 
Tipo: Cost Reduction
Número: TBD</t>
  </si>
  <si>
    <t>CR-0190308-00</t>
  </si>
  <si>
    <t>CR-0190391-00</t>
  </si>
  <si>
    <t>CR-0190663-00</t>
  </si>
  <si>
    <t>CR-0190764-00</t>
  </si>
  <si>
    <t>CR-0190816-00</t>
  </si>
  <si>
    <t>CR-0166885-01</t>
  </si>
  <si>
    <t>Projeto: GEM – MVBs - MY2025
Família: BODY 
Tipo: Cost Reduction
Número: TBD</t>
  </si>
  <si>
    <t>Projeto: SPIN – Running change - MY2025
Família: BODY
Tipo: DFM
Número: DFM-2024-0013249-SPIN-1
Descrição: 11. BODY SPIN - MY25 - CTO PROPOSAL
Change Proposal:
ISS-050666 - Comunizar o terminal conforme projeto GEM:
DE: E03437600 PARA 3202536X7</t>
  </si>
  <si>
    <t>Change Proposal:
ISS-050666 - Comunizar o terminal conforme projeto GEM:
DE: E03437600 PARA 3202536X7
Considerar Sem impacto para corte e lead Prep.</t>
  </si>
  <si>
    <t>Projeto: SPIN – Running change - MY2025
Família: FRONT SEAT
Tipo: Cost Reduction
Número: CTO
Descrição: 1. FRONT SEAT SPIN - MY25 - CTO PROPOSAL.
Change Proposal: From MCon 1.2 TE to Molex 1.2 Connectors
Print Affected:
52193198 - FRONT SEAT DRIVER
52193199 - FRONT SEAT CO DRIVER</t>
  </si>
  <si>
    <t>Projeto: SPIN – Running change - MY2025
Família: BODY
Tipo: Cost Reduction
Número: CTO
Descrição: 1. BODY SPIN - MY25 - CTO PROPOSAL.
Change Proposal: From MCon 1.2 TE to Molex 1.2 Connectors
Print Affected:
52167938 - BODY</t>
  </si>
  <si>
    <t>Change Proposal: From MCon 1.2 TE to Molex 1.2 Connectors
Print Affected:
52193198 - FRONT SEAT DRIVER
52193199 - FRONT SEAT CO DRIVER
Change Proposal: From MCon 1.2 TE to Molex 1.2 Connectors
Considerar Sem impacto para corte e lead Prep.</t>
  </si>
  <si>
    <t>Change Proposal: From MCon 1.2 TE to Molex 1.2 Connectors
Print Affected:
52167938 - BODY
Considerar Sem impacto para corte e lead Prep.</t>
  </si>
  <si>
    <t>Projeto: SPIN – Running change - MY2025
Família: CONSOLE
Tipo: Cost Reduction
Número: CTO
Descrição: 1. CONSOLE SPIN - MY25 - CTO PROPOSAL.
Change Proposal: From MCon 1.2 TE to Molex 1.2 Connectors
Print Affected:
52167974 - CONSOLE
Proposal Sent by Molex.
Obs: Same content under quote through CR-0182534-00 on IP WH</t>
  </si>
  <si>
    <t>Change Proposal: From MCon 1.2 TE to Molex 1.2 Connectors
Print Affected:
52167974 - CONSOLE
Proposal Sent by Molex.
Obs: Same content under quote through CR-0182534-00 on IP WH
Considerar Sem impacto para corte e lead Prep.</t>
  </si>
  <si>
    <t>Projeto: SPIN – Running change - MY2025
Família: CONSOLE
Tipo: Cost Reduction
Número: CTO
Descrição: 1. CONSOLE SPIN - MY25 - CTO PROPOSAL.
Change Proposal: From MCon 1.2 TE to Molex 1.2 Connectors
Print Affected:
52167974 - CONSOLE</t>
  </si>
  <si>
    <t xml:space="preserve">
Change Proposal: From MCon 1.2 TE to Molex 1.2 Connectors
Print Affected:
52167974 - CONSOLE
Considerar Sem impacto para corte e lead Prep.</t>
  </si>
  <si>
    <t>Projeto: SPIN – Running change - MY2025
Família: IP WH
Tipo: Cost Reduction
Número: CTO
Descrição: 1. IP SPIN - MY25 - CTO PROPOSAL.
Change Proposal: From MCon 1.2 TE to Molex 1.2 Connectors
Print Affected:
52167961 - IP
Proposal Sent by Molex.</t>
  </si>
  <si>
    <t>Projeto: SPIN – Running change - MY2025
Família: IP
Tipo: SCR
Número: 278914
Descrição: 1. DRAWING AFFECTED: 52167961 SCR 278914 - LITTELFUSE: REASON: Mini made in Suzhou to replace Mini made in Mexico Issue Ref.: ISS-051622</t>
  </si>
  <si>
    <t>Descrição: 1. DRAWING AFFECTED: 52167961 SCR 278914 - LITTELFUSE: REASON: Mini made in Suzhou to replace Mini made in Mexico Issue Ref.: ISS-051622
Considerar Sem impacto para corte e lead Prep.</t>
  </si>
  <si>
    <t>Projeto: SPIN – Running change - MY2025
Família: ENGINE
Tipo: Cost Reduction
Número: CTO_MCON
Descrição: 1. ENGINE SPIN - Mcon Connector Replacement.
Change Proposal:
Replace Connector:
From: E08004000
To: E17851900
Replace Terminal:
From: 32025Y0X6 (0.50)
To: E03355600 (0.50)
Replace Cover Conn
From: E09290300
To: E31883600
Prints affected:
52167983 - Engine LI3
52169571 - Engine LHE</t>
  </si>
  <si>
    <t>Change Proposal:
Replace Connector:
From: E08004000
To: E17851900
Replace Terminal:
From: 32025Y0X6 (0.50)
To: E03355600 (0.50)
Replace Cover Conn
From: E09290300
To: E31883600
Prints affected:
52167983 - Engine LI3
52169571 - Engine LHE
Considerar sem impacto para corte e lead Prep.
Scrap: R$ 409,46</t>
  </si>
  <si>
    <t>Projeto: SPIN – SOP - MY2025
Família: Engine
Tipo: Cost Reduction
Número: CTO
Descrição: 1. 1.) Remove PVC spiral tape in branches with up to three circuits. CR 166885-00 replace by CR 166885-01 due to BOM adjustment. SPIN Y25 PRINT AFFECTED 52167983 (LI3) 52169571 (LHE)</t>
  </si>
  <si>
    <t>Descrição: 1. 1.) Remove PVC spiral tape in branches with up to three circuits. CR 166885-00 replace by CR 166885-01 due to BOM adjustment. SPIN Y25 PRINT AFFECTED 52167983 (LI3) 52169571 (LHE)
Considerar sem impacto para corte e lead Prep.</t>
  </si>
  <si>
    <t>Projeto: SPIN – SOP - MY2025
Família: BODY
Tipo: TEWO
Número: 4722314
Descrição: 1. TWO 4722314: SPIN MY25 – BODY WH Cost Reduction PROPOSED CHANGE BODY_Replace Sleeve tape From: Federal Mogul to Delfingen_ FROM E37591900 TO E17577900 FROM E37592000 TO E43200700 FROM 329936549 TO E07549700 Print affected: 52167938 BODY For DRBFM (DFMEA) see VCD on attachment. (it Kept Severity10 acc to last revision from finishing/Covering) see CR-0162163-00 used to quote initial idea.</t>
  </si>
  <si>
    <t>Descrição: 1. TWO 4722314: SPIN MY25 – BODY WH Cost Reduction PROPOSED CHANGE BODY_Replace Sleeve tape From: Federal Mogul to Delfingen_ FROM E37591900 TO E17577900 FROM E37592000 TO E43200700 FROM 329936549 TO E07549700 Print affected: 52167938 BODY For DRBFM (DFMEA) see VCD on attachment. (it Kept Severity10 acc to last revision from finishing/Covering) see CR-0162163-00 used to quote initial idea.
Considerar sem impacto para corte e lead Prep.</t>
  </si>
  <si>
    <t>Projeto: SPIN – SOP - MY2025
Família: ENGINE
Tipo: TEWO
Número: TWO 4721717
Descrição: 1. ISS-051727 - ENGINE LI3 WRG HRN - SPIN MY25 - ENGINE LI3 WRG HRN TWO 4721717 : SPIN MY25 – Engine WH Cost Reduction PROPOSED CHANGE Engine WH LI3_Replace Sleeve tape From: Federal Mogul to Delfingen_From: E37311300 To: E43200600 Print affected: 52167983 Engine LI3 For DRBFM (DFMEA) see VCD on attachment. (it Kept Severity10 acc to last revision from finishing/Covering) see CR-0162239-00 used to quote initial idea.</t>
  </si>
  <si>
    <t>Descrição: 1. ISS-051727 - ENGINE LI3 WRG HRN - SPIN MY25 - ENGINE LI3 WRG HRN TWO 4721717 : SPIN MY25 – Engine WH Cost Reduction PROPOSED CHANGE Engine WH LI3_Replace Sleeve tape From: Federal Mogul to Delfingen_From: E37311300 To: E43200600 Print affected: 52167983 Engine LI3 For DRBFM (DFMEA) see VCD on attachment. (it Kept Severity10 acc to last revision from finishing/Covering) see CR-0162239-00 used to quote initial idea.
Considerar sem impacto para corte e lead Prep.</t>
  </si>
  <si>
    <t>Projeto: SPIN – SORP - MY2025
Família: ENGINE
Tipo: Cost Reduction
Número: CTO
Descrição: 1. ISS-051229 - CTO_ENGINE_SPIN - CTO SPIN MY25 - Engine LI3 &amp; LHE
Change Proposal:
Remove tape end of the tube from A112T88 Branch for AT Engine</t>
  </si>
  <si>
    <t>Change Proposal:
Remove tape end of the tube from A112T88 Branch for AT Engine
Considerar sem impacto para corte e lead Prep.</t>
  </si>
  <si>
    <t>Change Proposal: From MCon 1.2 TE to Molex 1.2 Connectors
Print Affected:
52167961 - IP
Proposal Sent by Molex.
Considerar Sem impacto para corte e lead Prep.
Scrap: R$ 2101,24</t>
  </si>
  <si>
    <t>Favor considerar para Corte e lead Prep. ( Análise realizada base Delta cut , implementação condicionada a aprovação dos testes conforme normas especificadas. )
3 Aplicadores Mecal modelo MRSP1 para terminal E03846100 ( Temos 1 Aplicador no projeto GEM e é usado em apenas 2 máquinas com alteração passa a ser usado em 4 máquinas inclusive em máquinas sigmas.) 
1 Aplicadores Mecal modelo MRSP1 para terminal E03355600 ( Temos 1 Aplicador no projeto GEM e é usado em apenas 2 máquinas com alteração passa a ser usado em 3 máquinas. ) 
1 Validação conforme norma USCAR 21 para terminal E03355600 com Cabo 0.50 isolação 65763 e Selo E02200900
Amostras de validação 72,1625 
8 horas técnicas.
Scrap considerando 1 dia de Lote Base MCR R$   R 9.883,61  ( Caso for considerado stock use desconsiderar o valor de Scrap )</t>
  </si>
  <si>
    <t>Favor considerar para Corte e lead Prep. ( Análise realizada base Delta cut , implementação condicionada a aprovação dos testes conforme normas especificadas. )	
1 Validação conforme norma USCAR 38 para terminal E36802300 CSA Total 9.250
1 Validação conforme norma USCAR 38 para terminal E36802300 CSA Total 9.750
1 Validação conforme norma USCAR 38 para terminal E36802300 CSA Total 8.750
1 Validação conforme norma USCAR 38 para terminal E36802300 CSA Total 7.750
1 Validação conforme norma USCAR45 CSA Left 1.100 , CSA Right 1.250 e CSA Total 2.350  ( Splice in line )
1 Validação conforme norma GMW17136 CSA Left 1.100 , CSA Right 1.250 e CSA Total 2.350 com termo retrátil E16718500  ( Splice in line )
48 horas técnicas.
Scrap considerando 1 dia de Lote Base MCR R$ 5.291,72 ( Caso for considerado stock use desconsiderar o valor de Scrap )</t>
  </si>
  <si>
    <t xml:space="preserve">Projeto: SPIN – Running change - MY2025
Família: BODY / LIFTGATE
Tipo: Cost Reduction
Número: 
Descrição: 1. CTO PROPOSAL - SPIN MY25 - BODY / LIFTGATE
Change Proposal:
- Create a new splice on Liftgate Harness and reduce 2 cables from inline BODY x LIFTGATE.
- This change will solve the ISS-047139
</t>
  </si>
  <si>
    <t>Projeto: SPIN – Running change - MY2025
Família: BODY / RR DOOR / LICENSE / IP &amp; CONSOLE
Tipo: Cost Reduction
Número: CTO
Descrição: 1. BODY / RR DOOR / LICENSE / IP &amp; CONSOLE - SPIN MY25 - CTO PROPOSAL
Change Proposal: Replace tape from: E15837200 to: 12712909Y on clipe tape on.
Prints affected
52167938 --&gt; Body
52167961 --&gt; IP
52167974 --&gt; Console
52169538 / 539 --&gt; RR DOOR
52169548 --&gt; License</t>
  </si>
  <si>
    <t>CR-0182319-00</t>
  </si>
  <si>
    <t>Projeto: SPIN – Running change - MY2025
Família: BODY
Tipo: DFM
Número: DFM-2024-0013286-SPIN-1
Descrição: 1. ISS-051296 - DFM-2024-0013286-SPIN-1 - BODY SPIN Change Proposal: - Change Covering of Route RN1000 to RN3000</t>
  </si>
  <si>
    <t>Change Proposal: Replace tape from: E15837200 to: 12712909Y on clipe tape on.
Considerar sem impacto para corte e lead Prep.</t>
  </si>
  <si>
    <t>1. ISS-051296 - DFM-2024-0013286-SPIN-1 - BODY SPIN Change Proposal: - Change Covering of Route RN1000 to RN3000
Considerar sem impacto para corte e lead Prep.</t>
  </si>
  <si>
    <t>Projeto: SPIN – SORP - MY2025
Família: IP
Tipo: WLL/TLL
Número: ISS-051062
Descrição: 1. WLL Application as requested by the Process Team. Project Affected - SPIN - IP - 52167961 - MY25 – SORP</t>
  </si>
  <si>
    <t>Alteração de WLL, porém na condição de Stoke use
Considerar sem impacto para corte e lead Prep.</t>
  </si>
  <si>
    <t>CR-0184283-01</t>
  </si>
  <si>
    <t>CR-0184283-01 Criada para atualização dos tempos das Dummies.
Atualizados os arquivos de Labor.</t>
  </si>
  <si>
    <t>Criada para atualização dos tempos das Dummies.
Considerar sem impacto para corte e lead Prep.</t>
  </si>
  <si>
    <t>CR-0189941-00</t>
  </si>
  <si>
    <t>Projeto: VS30 – SORP – 2024_01
Família: Bodies
Tipo: Cost Reduction
Número: …
Assunto: 1. VS30- CTO proposal.
2. Change of supplier from: Schlemmer to: Delfingen and reduction in internal diameter.
3. From/To attached to the CR.
4. Affected all Bodies</t>
  </si>
  <si>
    <t>CR-0191016-00</t>
  </si>
  <si>
    <t xml:space="preserve">
Descrição:
GEM–MY26 APPV-LIFTGATE 52181715–ECR4703813 VCD(17)E.1)Lift Gate-connector optimization E.1)Lift Gate WH-replace rear wiper connector from13581043(without CPA) to 13522993(with CPA).Modification valid only for 5HB.For Carbon,same modification is being done by ECR4677112. NOTE:GEM MY26 implementation target:PPV GEM MY27 implementation target:APPV(however,for prototypes,it will be discussed on a case-by-case basis whether there are still harnesses to be delivered)Carbon implementation target:PTB-M
Observação:
GEM–MY26 APPV-LIFTGATE 52181715–ECR4703813 VCD(14)* E.1)Lift Gate-connector optimization E.1)Lift Gate WH-replace rear wiper connector from13581043(without CPA) to 13522993(with CPA).Modification valid only for 5HB.For Carbon,same modification is being done by ECR4677112. NOTE:GEM MY26 implementation target:PPV** GEM MY27 implementation target: APPV(however,for prototypes,it will be discussed on a case-by-case basis whether there are still harnesses to be delivered)Carbon implementation target:PTB-M</t>
  </si>
  <si>
    <t>Considerar sem impacto para corte e lead Prep.</t>
  </si>
  <si>
    <t>Projeto: VS30 – SORP – 2024_01
Família: BODY
Tipo: ISSUE
Número: ISS-051615
Assunto: 1. WIRING HARNESS BODY,
2. Optimization Points,
3. 5404_1 wire color change - from BK/BU to BK/GN (LU),
4. 1344, 1345 1354, 1373, 1374 wire color changes - from BN and from BN/OG to BN/GN (HLS),
5. Change of all BN wires on the Ref W52/7*1-K to BN with second color.,
6. Shifting the 5603 wire from W105/1*1-K to W105/2*1-K,
7. Affected BOM, CUTSHEET and LABOR ,
8. Affected drawings: A9070012099, A9070015299, A9070015399, A9070011999, A9070014999, A9070016399, A9070016499, A9070014899, A9070015999, A9070016099, A9070014699</t>
  </si>
  <si>
    <t>3. 5404_1 wire color change - from BK/BU to BK/GN (LU),
4. 1344, 1345 1354, 1373, 1374 wire color changes - from BN and from BN/OG to BN/GN (HLS),
Considerar sem impacto para corte e lead Prep.
Porém, temos scrap caso não seja stock use.
Scrap: 16067,08</t>
  </si>
  <si>
    <t>Projeto: VS30 – SORP – 2024_01
Família: Bodies
Tipo: ISSUE
Número: N/A
Assunto: 1. 1. WIRING HARNESS BODY,
2. PROCESS IMPROVEMENT,
3. Change from: E22141400 to: E22141300,
4. Affected modules: A 907 540 01 16,
5. DOESNT AFFECT LABOR AND CUT, JUST BOM</t>
  </si>
  <si>
    <t>Precisamos de amostras do material para seguir com a análise e aprovação.</t>
  </si>
  <si>
    <t>Projeto: GEM – MVBs - MY2025
Família: IP WH
Tipo: EWO
Número: CTO STUDY
Descrição: 1. GEM B NARROW IP HARNESS 52181682
CTO study CR to change the Heatshrink's E16725300 to E16718500 for the two marked splices</t>
  </si>
  <si>
    <t>Análise realizada com base Delta cut , implementação condicionada a aprovação dos testes conforme normas especificadas.
Considerar para Corte e lead Prep:
Necessário 7 validações de splice.
(1) section of 0.35 | (1) section of 0.75 | (1) section of 0.35 | (1) section of 0.50 &gt;&gt; STD_X117SP2250_BUN1325_1_X1.02
(1) section of 0.35 | (1) section of 0.75 | (2) section of 0.35 | (1) section of 0.50 &gt;&gt; STD_X117SP2250_BUN1325_1_X1
(1) section of 0.35 | (1) section of 0.75 | (3) section of 0.35 | (1) section of 0.50 &gt;&gt; STD_X117SP2250_BUN1325_1_X1.04
(1) section of 0.35 | (1) section of 0.75 | (4) section of 0.35 | (1) section of 0.50 &gt;&gt; STD_X117SP2250_BUN1325_1_X1.01
(1) section of 0.35 | (1) section of 0.75 | (5) section of 0.35 | (1) section of 0.50 &gt;&gt; STD_X117SP2250_BUN1325_1_X1.03
(1) section of 0.35 | (1) section of 1.00 | (3) section of 0.35 | (1) section of 0.50 &gt;&gt; STD_X117SP2150_BUN201_1_X1.00
(2) section of 0.35 | (1) section of 1.00 | (3) section of 0.35 | (1) section of 0.50 &gt;&gt; STD_X117SP2150_BUN201_1_X1
32 horas técnicas.
Scrap: R$ 99,41 (Caso for considerado stock use desconsiderar o valor de Scrap)</t>
  </si>
  <si>
    <t>CR-0181647-03</t>
  </si>
  <si>
    <t>Projeto: GEM – APPV - MY2027
Família: LIFTGATE EXT
Tipo: PECR
Número: 4677212
Descrição: 1. CARBON MY27 APPV - LIFTGATE EXT HARNESS 52186439 - ECR4677212 - VCD(2) - Quotation Lift Gate Extension WH - update routing due to new cross car light. Change connector of Motor Wiper Rear from: 13581043 to: 13522993. Change License Lamp Connectors from: 13586143 to: 13512365. Note: Update Electrical Diagram required because rear cross car light connector changed from female connector to male connector. CR revised because the supplier said he didn't have a terminal with PN E11078000 / 8230-5620, which had to be changed to PN E16491700 / 8230-5752.</t>
  </si>
  <si>
    <t>CR aprovada, condicionada a implementação da  CR-0181647-00 já respondida anteriormente.
Ponto importante: o Delta Cut está com o From-&gt;To invertido para o terminal 320298243/320298250. 
Desse modo, considerei na análise o de-para em anexo feito pelo @Rosa, Saulo Roberto de Produto.
Terminal 320298243 (7116-4110-02) não compatível a range de aplicação ( cabo de 1,00) , necessário trocar para o PN 320298250 (7116-4111-02).</t>
  </si>
  <si>
    <t>CR-0191614-00</t>
  </si>
  <si>
    <t>Projeto: VS30 – SORP – 2023_02
Família: IP
Tipo: Containment Plan
Número: 1. Customer request for dimensional adjustment,
2. DRAWING: IP A9070011599,
3. Problems with the connection to the Head-Unit. Take-outs are short and in the assembly line it leads to difficult assembly and broken connectors. ,
4. Contention plan: Increase 30 mm to branches A26/17`s.</t>
  </si>
  <si>
    <t>Considerar sem impacto para corte e lead Prep.
Scrap: R$ 300,22</t>
  </si>
  <si>
    <t xml:space="preserve">1. 1. CARBON –MY27 APPV-LIFTGATE HARNESS 52186438 – ECR4703813 VCD(18) 1)Electrical Diagram Updates - missing ckt 6795 for Carbon - Lift Gate WH / Lift Gate Extension WH 2) Lift Gate WH / Lift Gate Extension WH - add circuit 6795 as per described for Carbon only. NOTE: GEM MY26 implementation target : PPV GEM MY27 implementation target: APPV (however, for prototypes, it will be discussed on a case-by-case basis whether there are still harnesses to be delivered) Carbon implementation target:PTB-M </t>
  </si>
  <si>
    <t>CR-0190853-00</t>
  </si>
  <si>
    <t>Missing ckt 6795 for Carbon - Lift Gate WH / Lift Gate Extension WH 2) Lift Gate WH / Lift Gate Extension WH - add circuit 6795 as per described for Carbon only. NOTE: GEM MY26
Análise feita base no delta cut.
Volume considerado do CARBON de 25 peças dia;
•	Favor considerar a comprar de 02 miniaplicador MRSJ1 para atendimento de volume.
•	E00066800 – quantidade 1;
•	E08963400 – quantidade 1;</t>
  </si>
  <si>
    <t>CR-0191457-00</t>
  </si>
  <si>
    <t>Projeto: VS30 – SORP – 2024_01
Família: BODY
Tipo: PFD
Número: PFD-VS30-BR907-AEHJ2024_01-2629
Assunto: 1. PFD-VS30-BR907-AEHJ2024_01-2629,
2. Removal of clip CL008_12054 and CL005_13654 in the HLS roof (loading area at sliding door),
3. Until PFD-VS30-BR907-AEHJ2024_01-2613 is released and used, the clip CL008_12054 and CL005_13654 must be removed and cancelled from the cable harness.,
4. Immediate implementation for MY2024_01,
5. Affected drawings: A9070011999, A9070012099, A9070014699, A9070014899, A9070014999, A9070015299, A9070015399 ,
6. Affected BOM and LABOR</t>
  </si>
  <si>
    <t>2. Remoção dos clipes CL008_12054 e CL005_13654 no teto HLS 
Considerar sem impacto para corte e lead Prep.</t>
  </si>
  <si>
    <t>CR-0190864-00</t>
  </si>
  <si>
    <t xml:space="preserve">1. 1. CARBON–MY27APPV-LIFTGATE EXT. HARNESS 52186439  ECR4703813 VCD(18)1)Electrical Diagram Updates-missing ckt 6795 for Carbon-Lift Gate WH / Lift Gate Extension WH 2) Lift Gate WH / Lift Gate Extension WH-add circuit 6795 as per described for Carbon only. NOTE: GEM MY26 implementation target : PPV GEM MY27 implementation target: APPV (however, for prototypes, it will be discussed on a case-by-case basis whether there are still harnesses to be delivered) Carbon implementation target:PTB-M </t>
  </si>
  <si>
    <t>CR-0191021-00</t>
  </si>
  <si>
    <t xml:space="preserve">1.CARBON–MY27 APPV–LIFTGATE EXT.HARNESS 52186439–ECR4703813 VCD(19) G.1)3D Math Issue(wrong supplier PN assigned for TE rear view camera connector)/Manufacturing request to increase rear view camera branch and license lamps branches in order to avoid ergonomic issues. G.1.2) Lift Gate Extension WH (Carbon only) - Replace rear view camera connector from TE PN: 1-2291859-2 (Cconnector) + 2203275-2 (Terminal 90°) to TE PN: 1-2304242-2 (180°) 
Restante da descrição no arquivo de notas anexo. </t>
  </si>
  <si>
    <t>Considerar sem impacto para corte e lead Prep.
Scrap: R$ 445,48</t>
  </si>
  <si>
    <t>CR-0191706-00</t>
  </si>
  <si>
    <t>Projeto: GEM – APPV - MY2026
Família: BODY
Tipo: PECR
Número: 4703813
Descrição: 1. 1. GEM 2. MY26 APPV 3. P-CR 4703813 4. BODY HB5 5. VCD 6 6. CTO 7. Remove blue PVC tape not used by GA Team</t>
  </si>
  <si>
    <t xml:space="preserve">Remove blue PVC tape not used by GA Team
Considerar sem impacto para corte e lead Prep.
</t>
  </si>
  <si>
    <t xml:space="preserve">Projeto: GEM – APPV - MY2026
Família: BODY
Tipo: PECR
Número: 4703813
Descrição: 1. 1. CARBON
2. MY26 APPV
3. P-CR 4703813
4. BODY
5. VCD 6
6. CTO
7. Remove blue PVC tape not used by GA Team </t>
  </si>
  <si>
    <t>CR-0191770-00</t>
  </si>
  <si>
    <t>Remove blue PVC tape not used by GA Team
Considerar sem impacto para corte e lead Prep.</t>
  </si>
  <si>
    <t>CR-0191427-00</t>
  </si>
  <si>
    <t>CR-0177287-01</t>
  </si>
  <si>
    <t>CR-0191732-00</t>
  </si>
  <si>
    <t>CR-0191752-00</t>
  </si>
  <si>
    <t>CR-0191384-00</t>
  </si>
  <si>
    <t>CR-0192024-00</t>
  </si>
  <si>
    <t>CR-0191992-00</t>
  </si>
  <si>
    <t>CR-0192074-00</t>
  </si>
  <si>
    <t>CR-0192133-00</t>
  </si>
  <si>
    <t>CR-0192157-00</t>
  </si>
  <si>
    <t>CR-0192171-00</t>
  </si>
  <si>
    <t>CR-0192178-00</t>
  </si>
  <si>
    <t>CR-0192200-00</t>
  </si>
  <si>
    <t>CR-0192223-00</t>
  </si>
  <si>
    <t>CR-0192205-00</t>
  </si>
  <si>
    <t>CR-0192229-00</t>
  </si>
  <si>
    <t>CR-0192456-00</t>
  </si>
  <si>
    <t>CR-0192537-00</t>
  </si>
  <si>
    <t>CR-0192612-00</t>
  </si>
  <si>
    <t>CR-0178117-01</t>
  </si>
  <si>
    <t xml:space="preserve"> 1. ISS-051985 - NOVA PROPOSTA DE CARROCERIA INLINE E PORTA LIFTGATE - NOVA PROPOSTA DE CARROÇARIA INLINE E PORTA LIFTGATE Substitua Inline da porta elevatória e carroceria pelo novo conector híbrido (TE) Mova 3 conector para 1 conector Impressões afetadas: 52167964 - Liftgate 52167938 - Carroceria Acc para análise , existem 3 validações a serem reportadas, veja os terminais abaixo adicionados como novo item no programa. Outros terminais já possuem validações no SPIN e GEM. PN Lear E01894100 --&gt; Porta elevatória PN Lear 32025Y1N8 --&gt; Corpo PN Lear 320261399 --&gt; Corpo</t>
  </si>
  <si>
    <t xml:space="preserve"> 1. FAMÍLIA AFETADA: ALARME DE OBJETO RR NOVA PROPOSTA-&gt; 1 - TROCAR O DIÂMETRO DO TUBO ONDULADO POR DIFICULDADE DE MONTAGEM DO CHICOTE ELÉTRICO. 2 - NÚMEROS DE PEÇAS DO TUBO ONDULADO COMUNIZAR</t>
  </si>
  <si>
    <t xml:space="preserve"> 1. BODY SPIN - MY25 - DFM-2024-0013313-SPIN-1 Proposta de Alteração: ISS-051347 - Troca do selo do conector M17FRONT_X1 DE 3299575A8 PARA E05172800 Imprimir Afetado: 52167938 - BODY</t>
  </si>
  <si>
    <t>1. 1. GEM 2. MY26 APPV 3. P-CR 4703813 4. IP 5. VCD 16/9/8/7 6. CTO 7. SUBSTITUA O CONECTOR DO INTERRUPTOR DO BANCO ATUAL DE: 26319037 PARA: 2585324-1 (TE PN) . 8. SUBSTITUA O CONECTOR DO MÓDULO DIREÇÃO HIDRÁULICA A75_X1 DE: 13512002 PARA: 2485326-1 (TE PN). 9. SUBSTITUA O CONECTOR DO MÓDULO DIREÇÃO HIDRÁULICA A75_X2 DE: 13508196 PARA: 2585325-2 (CÓDIGO B) (TE PN) 10. SUBSTITUA O CONECTOR DO MÓDULO DIREÇÃO HIDRÁULICA A75_X1 DE: 13512002 PARA: 2485326-1 (TE PN) 11. SUBSTITUA O MÓDULO P DIREÇÃO HIDRÁULICA CONECTOR A75_X2 DE: 13508196 PARA: 2585325-2 (CÓDIGO B) (TE PN) 12. VAVE - Remover 4 fitas de PVC azuis não utilizadas pela equipe GA</t>
  </si>
  <si>
    <t>1. DESENHO AFETADO: 52167938 PROPOSTA DE CTO DO CORPO: Proposta de redução do medidor de circuito - Necessita aprovação do cliente. Nível de confiança: Baixo Problema de referência: ISS-051851</t>
  </si>
  <si>
    <t>1. 1. CARBONO 2. MY26 APPV 3. P-CR 4703813 4. CORPO 5. VCD 4/5 6. Corpo WH - Somente carbono - atualize os piscas traseiros conforme descrito: C.3.1) Sinal de direção traseiro LH C.3.1 .1) Remova o circuito “1314” da emenda “SP1314_BUN613_1”. C.3.1.2) Renomeie o circuito de “1314” para “1334” C.3.1.3) Conecte este novo circuito “1334” na cavidade BCM X8-5 C.3.2) Sinalizador de direção traseiro RH C.3.2.1) Remova o circuito “1315” da emenda “SP1315_BUN497_1”. C.3.2.2) Renomeie este circuito de “1315” (GN/VT) para “1335” (BU/VT) C.3.2.3) Conecte este novo circuito “1335” na cavidade BCM X8-12</t>
  </si>
  <si>
    <t>1. A.1) IP WH / Extensão IP WH - Remover circuito 3152P</t>
  </si>
  <si>
    <t>1. 1. GEM 2. MY26 APPV 3. P-CR 4703813 4. BODY HB5 5. VCD 3/4 6. Adicione o circuito 5382 para veículos com LIJ conforme descrito 7. Troque o conector / pinagem do sensor TIAP para Body WH L4F / L4G/LFD (MY27 e além) conforme descrito:</t>
  </si>
  <si>
    <t>1. DESENHOS AFETADOS: PORTA TRASEIRA ESQUERDA - 52169538 PORTA TRASEIRA DIREITA -52169539 ECR 4726205: SPIN MY25 – Portas traseiras WH _ Melhorar a proteção do chicote Motivo: Melhorar a montagem na fabricação.</t>
  </si>
  <si>
    <t>1. O cliente solicitou um desvio para realocar 4 CLIPS no chicote IP: CL003_16054, CL004_16054, CL005_16054 e CL006_16054, 2. Os clipes mencionados acima serão realocados 20 mm para a direita (verifique a marcação no desenho anexo), 3. O cliente informou que esta alteração é temporário e que um PFD será liberado corrigindo os comprimentos dos fios e então os clipes serão realocados de volta ao seu estado original, 4. Até a liberação do PFD, este desvio estará ativo - Incluindo MY2024_01</t>
  </si>
  <si>
    <t>1. 1. GEM 2. MY26 APPV 3. P-CR 4703813 4. BODY NB4 5. VCD 3/4 6. Adicione o circuito 5382 para veículos com LIJ conforme descrito 7. Altere o conector / pinagem do sensor TIAP para Body WH L4F / L4G/LFD (MY27 e além) conforme descrito:</t>
  </si>
  <si>
    <t>1. "Esta alteração já foi citada em CR-0177667-00" DESENHOS AFETADOS: CONSOLE - 52167974 DOIS 4728415: MY25 G1NC – Console WH _ Problema ergonômico do fornecedor Motivo: Este DOIS está sendo emitido para fazer alterações necessárias para evitar problemas ergonômicos do fornecedor no console WH. Edição de referência: ISS-052237</t>
  </si>
  <si>
    <t>1. PFD-VS30-BR907-AEHJ2024_01-2630, 2. Ajustando a direção do clipe para CL006_00182 (VORNE A9070016099), 3. A direção de montagem errada foi especificada no desenho A9070016099 (CL006_00182). A direção do clipe deve ser alterada de 12/6 para 9/6.</t>
  </si>
  <si>
    <t>1. 1. GEM 2. MY26 APPV 3. P-CR 4703813 4. BODY NB4 5. VCD 6 6. CTO 7. Remova a fita de PVC azul não usada pela equipe GA</t>
  </si>
  <si>
    <t>1. 1. GEM 2. MY26 APPV 3. P-CR 4703813 4. IP 5. VCD 1/10/11/12/13/14/15 7. Adicione fita TEAR AZUL (2 voltas - máx.) ao console central ramal para evitar danos ao chicote elétrico durante o processo de montagem. Substitua a fita de corrente usada para fixar o resistor conectado à ramificação IP WH de: Fita de PVC para: Fita acrílica Remova a fita das ramificações A572_X4 e A155_X4. Altere a lógica dos circuitos para SWC (Controle do Volante) conforme descrito. MY27 - NOVA LÓGICA PARA CIRCUITOS DC-DC REMOVA O CIRCUITO 4055 DA CAVIDADE 15 DO CONECTOR DO CONVERSOR DC DC PARA A CAVIDADE 16 DO MESMO CONECTOR. REMODE O CIRCUITO 4054 DA CAVIDADE 14 DO CONECTOR DO CONVERSOR DC DC PARA A CAVIDADE 13 DO MESMO CONECTOR. ADICIONE NOVO CIRCUITO 4055 DA CAVIDADE 15 DO CONECTOR DO CONVERSOR DC DC À CAVIDADE 18 DO MESMO CONECTOR. ADICIONE NOVO CIRCUITO 4054 DA CAVIDADE 14 DO CONECTOR DO CONVERSOR DC DC À CAVIDADE 17 DO MESMO CONECTOR. SUBSTITUIR TERMINAL Remova o circuito 3152</t>
  </si>
  <si>
    <t>1. GEM - MY26 APPV - BUMPER TRASEIRO - CTO INTERNO • BUMPER TRASEIRO 26293109: MUDAR O CABO COAXIAL PN E43489600 PARA PN E46476400; •AMORTECEDOR TRASEIRO 26293110: TROQUE O CABO COAXIAL PN E43489700 PARA PN E46476500. NOTA: MARCAÇÃO SOMENTE PARA AJUSTE DE WLL, NENHUM CONECTOR SERÁ MUDADO, PORTANTO NÃO É NECESSÁRIO INVESTIMENTO</t>
  </si>
  <si>
    <t>1. TÁXI AFETADO PELO CHICOTE DE MOTOR PN: 52182314, 52185602, 52182664,52182665, 52182666. Descrição da Proposta: Substituir fita de PN 1271282B1 (ALUMÍNIO) por E00026645 (COROPLAST).</t>
  </si>
  <si>
    <t>• Calhas de selo: quantidade 1
• Validações conforme Norma Uscar21: quantidade 1.
       -&gt; 65763-2.0-3202511N0-E05172800, Circuitos(450AB,92,95), Obs. Temos  validação com o selo 3299575A8
• Scrap: R$ 3672,42</t>
  </si>
  <si>
    <t>CR-0192953-00</t>
  </si>
  <si>
    <t xml:space="preserve">
Projeto: U11 – Pilot 1 - PM 07-24
Família: Main
Tipo: CR
Número: TBD</t>
  </si>
  <si>
    <t>BMW</t>
  </si>
  <si>
    <t>Descrição: 1. CR to evaluate changing the tape from 19mm to 9mm on all spiral branches and tape-on clips, 2. Family: Main Harness
Sem necessidade de investimento para engenharia corte/lead prep</t>
  </si>
  <si>
    <t>1. DESENHOS AFETADOS: PORTA TRASEIRA ESQUERDA - 52169538 PORTA TRASEIRA DIREITA -52169539 DOIS 4726190: SPIN MY25 – 
Portas traseiras WH _ Melhorar a proteção do chicote Motivo: Melhorar a montagem na fabricação. Referência do problema: ISS-052082</t>
  </si>
  <si>
    <t xml:space="preserve">Sem necessidade de investimento para engenharia corte/lead prep
Scrap: R$ 432,54
</t>
  </si>
  <si>
    <t>Necessário: 1 mini aplicador (MRSP1)
   - E00166100
Validação de norma USCAR21:  3 itens
1- 65763-0.35-32025Y10Z-329983118	Circuitos: 3200Y,6281Y
1- 65763-0.5-E00020633-320455AKC	Circuito: 3200P
1- 65763-0.5-E00166100-3204558V3	Circuitos: 480Y,626Y
Validação de norma USCAR45: 2 itens
(2) section of 0.50 | (1) section of 0.35 &gt;&gt; SP5381_525_1_X1.00,SP5381_525_1_X1.01
(1) section of 0.50 | (2) section of 0.35 &gt;&gt; SP625_W53_1_X1
(4) section of 0.35 | (1) section of 0.50 &gt;&gt; SP6281_124_1_X1.04
Validação de norma GMW17136: 2 itens
3299362G2: SP5381_525_1_X1.00, SP5381_525_1_X1.01, SP5381_525_1_X1.02
E16718500: SP625_W53_1_X1, SP6281_124_1_X1.04
Scrap:  R$ 1.545,81</t>
  </si>
  <si>
    <t>CR-0178133-02</t>
  </si>
  <si>
    <t>CR-0192713-00</t>
  </si>
  <si>
    <t>CR-0192716-00</t>
  </si>
  <si>
    <t>CR-0192771-00</t>
  </si>
  <si>
    <t>CR-0192839-00</t>
  </si>
  <si>
    <t>CR-0192872-00</t>
  </si>
  <si>
    <t>CR-0192874-00</t>
  </si>
  <si>
    <t>CR-0192978-00</t>
  </si>
  <si>
    <t>1. FRONT BUMPER HARNESS: 52183579 Proposal Description: Replace tape PN E02862500 (PVC 125°C) by PN E15837000(PVC 105°C)</t>
  </si>
  <si>
    <t>1. VS30 - WIRING HARNESS BODY, 2. ISS-052226, 3. WLL REV28, 4. Affected BOM, CUTSHEET and LABOR , 5. Affected all Bodies</t>
  </si>
  <si>
    <t>1. Affected families: IP 52182308, BODY 4NB 52182307 e BODY 5HB 52182306., 2. Copy past of the dummies used in the MY25 SORP for BODYs and IP (thimble cutting, pull test, insertion of mastic into grommets, bare cables and eye terminals with 1 circuit), 3. Added tightness test dummy for grommet in body, 4. Added impedance test dummy for IP ethernet cable</t>
  </si>
  <si>
    <t>1. PFD-VS30-BR907-AEHJ2024_01-2620, 2. Discontinuation of ferrites in the CAN distributors from TE. Changeover to the new CAN distributor part numbers (MY2024_01)., 3. This PFD cancels document PFD-VS30-BR907-AEHJ2024_01-2606 - which returned the CAN housing connectors to those used in MY2023_02., 4. Please check "Change Impact" for FROM/TO PNs.</t>
  </si>
  <si>
    <t>1. 1. GEM – MY26 APPV – BODY HARNESS 52182306 AND 52182307 – INTERNAL CTO PROPOSAL COST REDUCTION: -CHANGE TERMINAL PN E15395600 TO PN E08814500 CR DERIVED FROM ISS-052387</t>
  </si>
  <si>
    <t>1. 1. GEM – MY – BODY HARNESS 52181680 AND 52181681 – INTERNAL CTO PROPOSAL COST REDUCTION: - CHANGE TERMINAL ATS FROM PN 32025Y2NB TO JPT PN 3202555A6.</t>
  </si>
  <si>
    <t>1. ISS-052487 - BODY SPIN - Troca de Clipe no ramal SDM - GM PROPOSAL - SPIN MY25 Change Proposal: 1- CHANGE THE BODY CLIP FROM SDM CONNECTOR BRANCH, FROM 3203511Y2 TO E18801800. Prints affected: 52167938 - BODY</t>
  </si>
  <si>
    <t>Validação de norma USCAR45: 2 itens
(1) section of 0.50 | (1) section of 1.00 | (2) section of 1.50 | (1) section of 2.00 &gt;&gt; SP1250_620_1_X1
(1) section of 0.50 | (1) section of 1.00 | (3) section of 1.50 | (1) section of 2.00 &gt;&gt; SP1250_620_1_X1.00
Validação de norma GMW17136: 2 itens
3299362M9: SP1250_620_1_X1
3299362M9: SP1250_620_1_X1.00
Scrap:   R$ 1.566,54</t>
  </si>
  <si>
    <t>•	Necessário: 0 mini aplicador (MRSP1)
o	1-E00166100, já informado na CR-0192133-00
•	Validação de norma USCAR21:  0 itens
o	1- 65763-0.35-32025Y10Z-329983118   Circuitos: 3200Y,6281Y , já informado na CR-0192133-00
o	1- 65763-0.5-E00020633-320455AKC     Circuito: 3200R       , já informado na CR-0192133-00
o	1- 65763-0.5-E00166100-3204558V3     Circuitos: 480T,626D  , já informado na CR-0192133-00
•	Validação de norma USCAR45: 7 itens 
o	(2) section of 0.35 | (1) section of 0.50  &gt;&gt;  SP625_W53_1_X1,SP5381_525_1_X1.01, já informado na CR-0192133-00
o	(3) section of 0.35 | (2) section of 0.50  &gt;&gt;  SP6281_124_1_X1.01
o	(1) section of 0.35 | (3) section of 0.50  &gt;&gt;  SP6281_124_1_X1.04
o	(1) section of 0.35 | (4) section of 0.50  &gt;&gt;  SP6281_124_1_X1.00
o	(1) section of 0.35 | (2) section of 0.50  &gt;&gt;  SP5381_525_1_X1
o	(1) section of 0.50 | (1) section of 1.00 | (2) section of 1.50 | (1) section of 2.00  &gt;&gt;  SP1250_620_1_X1.00
o	(1) section of 0.50 | (1) section of 1.00 | (3) section of 1.50 | (1) section of 2.00  &gt;&gt;  SP1250_620_1_X1
o	(3) section of 0.35 | (1) section of 0.50  &gt;&gt;  SP6281_124_1_X1.02
o	(4) section of 0.35 | (1) section of 0.50  &gt;&gt;  SP6281_124_1_X1, já informado na CR-0192133-00
•	Validação de norma GMW17136: 7 itens
o	3299362M9: SP5381_525_1_X1, SP5381_525_1_X1.00, SP5381_525_1_X1.01
o	3299362G2: SP1250_620_1_X1, SP1250_620_1_X1.00
o	E16718500: SP625_W53_1_X1, SP6281_124_1_X1, SP6281_124_1_X1.00, SP6281_124_1_X1.01, SP6281_124_1_X1.02, SP6281_124_1_X1.03, SP6281_124_1_X1.04
•	 Scrap Total: R$ 16008,47, sendo:
o	Scrap Cabos diretos: R$ 12758,50
o	Scrap Tubos: R$ 29,56
o	Scrap Splices: R$ 3220,41</t>
  </si>
  <si>
    <t>Vários outros investimentos já foram solicitados na CR-0192178-00, então eu adicionei a diferencia aqui.
Validação de norma USCAR45: 1 item
(1) section of 0.50 | (1) section of 0.35 &gt;&gt; SP625_W53_1_X1
Validação de norma GMW17136: 1 item
E16718500: SP625_W53_1_X1
Scrap: R$ 2996,11
Scrap de Cabos diretos: R$ 2778,86
Scrap de Splices: R$ 217,25</t>
  </si>
  <si>
    <t>Necessário: 2 mini aplicador (MRSP1)
	1 - E05869700
	1 - E42884100
Validação de norma USCAR45: 3 itens
1 - 65763-0.35-3202585H5	1040A
1 - 65763-0.35-E42884100	1040A,2250A
1 - 65860-0.35-E05869700	4054T,4055T
Validação de norma USCAR45: 2 itens
(1) section of 0.35 | (1) section of 0.75 | (2) section of 0.75 &gt;&gt; SP1740_1436_1_1.00
(4) section of 1.00 &gt;&gt; SP1301_716_1_X1.00
Validação de norma GMW17136: 2 itens
E16725300: SP1301_716_1_X1.00	
E16718500: SP1740_1436_1_1.00
Scrap total: R$ 7057,54
Scrap de Cabos diretos: R$ 2498,63
Scrap de Splices: R$ 4558,91</t>
  </si>
  <si>
    <t xml:space="preserve">Projeto: GEM – PPV - MY2026
Família: ENGINE
Tipo: CR
Número: TBD
Descrição: 1. Engine LFD – 52182381 e 52185602
CR criada para análise investimento em ferramental / operação adicional de dobra do terminal (PN GM-13507679 / Lear PN E03887200) para adequação do processo para atendimento do desenho de produto que deve ser realizado em planta conforme “nota 8” desenho 2D do terminal.              </t>
  </si>
  <si>
    <t>CR-0193161-00</t>
  </si>
  <si>
    <t>CR-0193509-00</t>
  </si>
  <si>
    <t>CR-0193553-00</t>
  </si>
  <si>
    <t xml:space="preserve">Projeto: GEM – APPV - MY2026
Família: BODY
Tipo: PECR
Número: 4703813
Descrição: 1. 1. CARBON
2. MY26 APPV
3. P-CR 4703813
4. BODY
5. Change clip 329925SQN to E14084000              </t>
  </si>
  <si>
    <t xml:space="preserve">Precisamos de ferramenta Magnum Especial com dobra durante a aplicação para o Terminal, com isso precisamos de um investimento. R$  20.000,00 </t>
  </si>
  <si>
    <t>Projeto: GEM – APPV - MY2027
Família: LIFTGATE EXT.
Tipo: Cost Reduction
Número: 
Descrição: 1. CARBON – MY27 APPV – LIFTGATE EXT. HARNESS 52186439 – INTERNAL CTO PROPOSAL
COST REDUCTION:
CHANGE FROM PN ANTENNA E49275900 TO PN E49697600.
NOTE: THIS CR WAS CERATED TO ADJUST THE DIMENSIONS OF FROM PN ANTENNA E49275900 IN QUOTE CR-0191021-00.</t>
  </si>
  <si>
    <t>Projeto: VS30 – SORP – 2024_01
Família: BODY
Tipo: SCR
Número: SCR#228149
Descrição: 1. SCR#228149, 2. Change terminal from: 32025Y18Z to: E03851100 for circuits 1024B / 1025B., 3. Please check "Component Change Description" in the attached SCR document.</t>
  </si>
  <si>
    <t>CR-0193174-00</t>
  </si>
  <si>
    <t>Projeto: SPIN – Running change - MY2025
Família: CONSOLE
Tipo: EWO
Número: 4728420
Descrição: 1. ISS-052607 - WRG HRN CONSOLE - SPIN - 52167974 - ECR 4728420 : MY25 G1NC – Console WH _ Change Required
Change Proposal:
1) Change current spot tape under clips due to a better retention (See TWO 4728415 - CR-0192200-00)
Print Affected: 52167974 - Console
See DRBFM on attachments (DFMEA)</t>
  </si>
  <si>
    <t>CR-0193176-00</t>
  </si>
  <si>
    <t>Projeto: SPIN – Running change - MY2025
Família: CONSOLE
Tipo: Cost Reduction
Número: 4728420
Descrição: 1. CTO - WRG HRN CONSOLE - SPIN - 52167974 - ECR 4728420 : MY25 G1NC – Console WH _ Change Required
Change Proposal:
2) Change attachment clip from 84501397 to 13733125. (Same design only color is different / Cost reduction) - (See CR-0142285-00)
Print Affected: 52167974 - Console
See DRBFM on attachments (DFMEA)</t>
  </si>
  <si>
    <t>CR-0194096-00</t>
  </si>
  <si>
    <t>Projeto: SPIN – Running change - MY2025
Família: IP WH
Tipo: TEWO
Número: 4738341
Descrição: 1. ISS-052874 - IP SPIN - TWO 4738341 - TWO 4738341: G1NC – IP WH Content Canceled (ECR PART 4635309)
PROPOSED CHANGE
Change electrical diagram / Owner Manual will be affected; (Content Canceled from ECR PART 4635309)
Print affected: 52167961 (ECR 4635309)
Electrical Schematic attached.</t>
  </si>
  <si>
    <t>CR-0193317-00</t>
  </si>
  <si>
    <t xml:space="preserve">Projeto: GEM – PPV - MY2027
Família: ENGINE 52182314
Tipo: PECR
Número: 4703816
Descrição: 1. GEM B-Car &amp; Carbon – PPV MY26– Engine 52182314
- 1) CHANGE ENGINE WH ROUTING DUE TO PCEI. VALID FOR ENGINES LFD/L4G/L4F&amp;MM1 ONLY
- 6) Camshaft Connector branch relocation - Engine L4G/L4F (MM1 / MM3) </t>
  </si>
  <si>
    <t>Sem necessidade de investimento para engenharia corte/lead prep.
Scrap total: 	R$ 628,95
Wire	R$ 615,32
Tubos	R$ 13,63</t>
  </si>
  <si>
    <t>CR-0193318-00</t>
  </si>
  <si>
    <t xml:space="preserve">Projeto: GEM – PPV - MY2027
Família: ENGINE 52182314
Tipo: PECR
Número: 4703816
Descrição: 1. GEM B-Car &amp; Carbon – PPV MY26– Engine 52182314
5) Remove Blue PVC Spot Tape PN E03667800 (TA-BAA-0049-PY) from node N33604 (B70PRE_X1 Connector Branch) - Engine L4G/L4F&amp;MM1 only. </t>
  </si>
  <si>
    <t xml:space="preserve">Projeto: GEM – PPV - MY2027
Família: ENGINE 52182314
Tipo: PECR
Número: 4703816
Descrição: 1. GEM B-Car &amp; Carbon – PPV MY26– Engine 52182314
- 1) Engine WH - Replace current PVC (unslitted) tubes by overlap taping with acrylic tape (abrasion level D, minimum). </t>
  </si>
  <si>
    <t>CR-0193320-00</t>
  </si>
  <si>
    <t>Sem necessidade de investimento para engenharia corte/lead prep.
Scrap total: 	R$ 37,14</t>
  </si>
  <si>
    <t>Sem necessidade de investimento para engenharia corte/lead prep.
Scrap total: 	R$ 66,86</t>
  </si>
  <si>
    <t>Projeto: GEM – PPV - MY2027
Família: Engine 52182664
Tipo: PECR
Número: 4703816
Descrição: 1. GEM B-Car &amp; Carbon – PPV MY26– Engine 52182664
- 6) Camshaft Connector branch relocation - Engine L4G/L4F (MM1 / MM3)</t>
  </si>
  <si>
    <t>CR-0193322-00</t>
  </si>
  <si>
    <t>CR-0194094-00</t>
  </si>
  <si>
    <t>Projeto: GEM – PPV - MY2026
Família: ENGINE HARNESS
Tipo: CR
Número: TBD
Descrição: 1. 1. Engine LFD – 52182381 e 52185602
Alteração de terminal E03887200 “Right Payoff” para PN E44569000 (Left Payoff). Os terminais são idênticos.
Alteração deve ser realizada devido as máquinas de Navegantes funcionarem em Left Payoff.</t>
  </si>
  <si>
    <t>CR cancelada.</t>
  </si>
  <si>
    <t>CR-0193326-00</t>
  </si>
  <si>
    <t>Projeto: GEM – PPV - MY2027
Família: ENGINE 52182664
Tipo: PECR
Número: 4703816
Descrição: 1. GEM B-Car &amp; Carbon – PPV MY26– Engine 52182664
- 1) Engine WH - Replace current PVC (unslitted) tubes by overlap taping with acrylic tape (abrasion level D, minimum).</t>
  </si>
  <si>
    <t>Sem necessidade de investimento para engenharia corte/lead prep.
Scrap total: 	R$ 32,57</t>
  </si>
  <si>
    <t>Projeto: GEM – PPV - MY2027
Família: ENGINE 52182666
Tipo: PECR
Número: 4703816
Descrição: 1. GEM B-Car &amp; Carbon – PPV MY26– Engine 52182666
1) Engine WH - Replace current PVC (unslitted) tubes by overlap taping with acrylic tape (abrasion level D, minimum).</t>
  </si>
  <si>
    <t>Sem necessidade de investimento para engenharia corte/lead prep.
Scrap total: 	R$ 28,06</t>
  </si>
  <si>
    <t>CR-0193327-00</t>
  </si>
  <si>
    <t>Sem necessidade de investimento para engenharia corte/lead prep.
Obs. PN iguais no SEM e dentro da CR a TE informa que não existe mudança no ferramental.</t>
  </si>
  <si>
    <t>Projeto: VS30 – SORP – 2024_01
Família: DOOR
Tipo: Issue
Número: ISS-051642
Descrição: 1. VS30 - WIRING HARNESS DOOR, 2. ISS-051642, 3. WLL REV7, 4. Affected BOM, CUTSHEET and LABOR , 5. Affected drawings: A9070010999, A9070011099, A9070011199 and A9070011299</t>
  </si>
  <si>
    <t>Projeto: VS30 – SORP – 2024_01
Família: IP WH
Tipo: Issue
Número: ISS-051641
Assunto: 1. VS30 - WIRING HARNESS IP, 2. ISS-051641, 3. WLL REV17 / WLL REV18, 4. Affected BOM, CUTSHEET and LABOR</t>
  </si>
  <si>
    <t>CR-0193328-00</t>
  </si>
  <si>
    <t>Projeto: GEM – PPV - MY2027
Família: ENGINE 52182381
Tipo: PECR
Número: 4703816
Descrição: 1. GEM B-Car &amp; Carbon – PPV MY26– Engine 52182381
- 1) CHANGE ENGINE WH ROUTING DUE TO PCEI. VALID FOR ENGINES LFD/L4G/L4F&amp;MM1 ONLY.
- 3) Replace ring terminal used in G106A_CLEAN1 application from: E00004964 ( GM 13624366) to: E02743600 ( GM 13325666) - Engine LFD WH only.
- 7) Engine LFD WH - Relocate / change dimension of TOPA (Transmission Oil Pressure Accumulator - Y682 LFD) Sensor Connector branch.
- 8) Increase grounding branch length for all Engine LFD WH as per described.</t>
  </si>
  <si>
    <t xml:space="preserve">	Validação de norma USCAR21: 1 item
	65784-2.5-3202980M5-329957C02: circuitos 151 + 151A
	Validação de norma GMW17136: 1 item
	E12538000 com terminal E02743600: circuitos 151 + 151A
	Scrap total: R$ 298,51
	Wire: R$ 298,21
	Tubos: R$ 0,30
	Multicrimp pronta: R$ 83,78</t>
  </si>
  <si>
    <t>CR-0193329-01</t>
  </si>
  <si>
    <t xml:space="preserve">Projeto: GEM – PPV - MY2027
Família: ENGINE 52185602
Tipo: PECR
Número: 4703816
Descrição: 1. GEM B-Car &amp; Carbon – PPV MY26– Engine 52185602
- 3) Replace ring terminal used in G106A_CLEAN1 application from: E00004964 ( GM 13624366) to: E02743600 ( GM 13325666) - Engine LFD WH only
- 4) Change Engine WH routing (LFD&amp;MM3) as per described
- 8) Increase grounding branch length for all Engine LFD WH as per described </t>
  </si>
  <si>
    <t>Condicionada a CR-0193328-00, porém com scrap diferente:
Scrap total: R$ 171, 85
     &gt; Scrap de Cabos diretos: R$ 88,07
     &gt; Scrap de Multicrimp: R$ 83,78</t>
  </si>
  <si>
    <t>Projeto: SPIN – Running change - MY2026
Família: Liftgate
Tipo: EWO
Número: 4733554</t>
  </si>
  <si>
    <t xml:space="preserve"> CR-0194499-00</t>
  </si>
  <si>
    <t>CR-0194502-00</t>
  </si>
  <si>
    <t>Projeto: SPIN – Running change - MY2026
Família: FRT DOOR DR
Tipo: EWO
Número: 4733554
Descrição: 1. ISS-052772 - ECR PART 4733554: SPIN MY25/26/27 – PCCR 18010 Add PCD and Argentina Market - ECR PART 4733554: SPIN MY25/26/27 – PCCR 18010 Add PCD and Argentina Market
PROPOSED CHANGE
Delete and Add PNs according PCCR information.
Print affected: 52167941 FRT SD DR WRG - LEFT
For DFMEA information see VCD-DRBFM on attachments.</t>
  </si>
  <si>
    <t>CR-0194583-00</t>
  </si>
  <si>
    <t>Projeto: SPIN – Running change - MY2026
Família: FRT DOOR CODR
Tipo: EWO
Número: 4733554
Descrição: 1. ISS-052774 - ECR PART 4733554: SPIN MY25/26/27 – PCCR 18010 Add PCD and Argentina Market - ECR PART 4733554: SPIN MY25/26/27 – PCCR 18010 Add PCD and Argentina Market
PROPOSED CHANGE
Delete and Add PNs according PCCR information.
Print affected: 52167991 FRT SD DR WRG - RIGHT
For DFMEA information see VCD-DRBFM on attachments.</t>
  </si>
  <si>
    <t>CR-0194596-00</t>
  </si>
  <si>
    <t>Projeto: SPIN – Running change - MY2026
Família: IP WH
Tipo: EWO
Número: 4733554
Descrição: 1. ISS-052777 - ECR PART 4733554: SPIN MY25/26/27 – PCCR 18010 Add PCD and Argentina Market - ECR PART 4733554: SPIN MY25/26/27 – PCCR 18010 Add PCD and Argentina Market
PROPOSED CHANGE
Delete and Add PNs according PCCR information.
Print affected: 52167961 - HARNESS ASM I - IP WRG
For DFMEA information see VCD-DRBFM on attachments.</t>
  </si>
  <si>
    <t>CR-0194094-01</t>
  </si>
  <si>
    <t>CR-0194621-00</t>
  </si>
  <si>
    <t>Projeto: SPIN – Running change - MY2026
Família: BODY
Tipo: EWO
Número: 4733554
Descrição: 1. ISS-052779 - ECR PART 4733554: SPIN MY25/26/27 – PCCR 18010 Add PCD and Argentina Market - ECR PART 4733554: SPIN MY25/26/27 – PCCR 18010 Add PCD and Argentina Market
PROPOSED CHANGE
Delete and Add PNs according PCCR information.
Print affected: 52167938 - HARNESS ASM - BODY WRG
For DFMEA information see VCD-DRBFM on attachments.</t>
  </si>
  <si>
    <t>CR-0195662-00</t>
  </si>
  <si>
    <t>Projeto: VS30 – SORP – 2024_01
Família: BODY
Tipo: WLL/TLL
Número: ISS-053258
Descrição: 1. VS30 - WIRING HARNESS BODY, 2. ISS-053258, 3. WLL REV30, 4. Affected drawings: A9070011999 and A9070012099., 5. Affected BOM, CUTSHEET and LABOR</t>
  </si>
  <si>
    <t xml:space="preserve">
Considerar sem impacto para corte e Lead Prep.
Scrap de Cabos diretos: R$ 1592,90</t>
  </si>
  <si>
    <t>CR-0195031-00</t>
  </si>
  <si>
    <t>Projeto: VS30 – SORP – 2024_01
Família: BODY
Tipo: WLL/TLL
Número: ISS-053081
Descrição: 1. VS30 - WIRING HARNESS BODY, 2. ISS-053081, 3. WLL REV 29, 4. Permit 109948 for immediate implementation, 5. Affected drawings: A9070011999, A9070012099, A9070014999, A9070014899, A9070015399, A9070016099, A9070016499, 6. Affected BOM, CUTSHEET and LABOR</t>
  </si>
  <si>
    <t xml:space="preserve">
Considerar sem impacto para corte e Lead Prep.
Scrap de Cabos diretos: R$ 17,28</t>
  </si>
  <si>
    <t>Favor 1 validação de terminal conforme norma USCAR21.
FLR21X-A-0.35-E08814500, aplicada no Circuitos 4986D,4986E,4987D,4987E,6133.
Scrap total: R$ 3174,16
     &gt; Scrap de Cabos diretos: R$ 3162,21
     &gt; Scrap de Tubos: R$ 11,95</t>
  </si>
  <si>
    <t xml:space="preserve"> Considerar os investimentos abaixo:
•	5 validações de Uscar21:
o	CU-R2PVC-B|2.50 - 320261399 1050E, 293
o	FLRY-A-1.00-32025Y1N8	393,5780
o	FLRY-A-1.50-32025Y1N8	1050A
o	FLRY-A-1.00-E01894100	393,5780
o	FLRY-A-1.50-E01894100	1050A
•	3 mini-aplicares (modelo mecal MRSJ1):
o	320261399 - 1 
o	32025Y1N8 - 1
o	E01894100 - 1
•	Scrap de Cabos diretos: R$ 1594,95</t>
  </si>
  <si>
    <t>CR-0195903-00</t>
  </si>
  <si>
    <t xml:space="preserve">
Projeto: U11 – Pilot 1 - PM 11-24            
Família: Main
Tipo: Telecopy
Número: TC9_Main</t>
  </si>
  <si>
    <t>Descrição: 1. TC9_Main, 2. Family: Main Harness, 3. The following change occurs at tap B735*1B due to rattling noises on the mirror.
Rattle protection winding is added:
B735*1B
T278_RF3 = 6946249 added
CR apenas está adicionando fita no ramal.
Sem necessidade de investimento para engenharia corte/lead prep.</t>
  </si>
  <si>
    <t>CR-0195915-00</t>
  </si>
  <si>
    <t>Projeto: U11 – Pilot 1 - PM 11-24            
Família: Main
Tipo: Telecopy
Número: TC10_Main</t>
  </si>
  <si>
    <t>Descrição: 1. TC10_Main, 2. Family: Main Harness, 3. Due to the risk of individual wires getting trapped, the following change is made in the tailgate area on the left:
Winding T068_CPA is extended to clip C028_CPA
Sem necessidade de investimento para engenharia corte/lead prep.</t>
  </si>
  <si>
    <t>CR-0195919-00</t>
  </si>
  <si>
    <t>Projeto: U11 – Pilot 1 - PM 11-24            
Família: Main
Tipo: Telecopy
Número: TC11_Main</t>
  </si>
  <si>
    <t>1. TC11_Main, 2. Family: Main Harness, 3. The pick-off is shifted due to possible screwing of the branch S29*1B tailgate button
Tape T114_RDA 6946246 is added
Sem necessidade de investimento para engenharia corte/lead prep.</t>
  </si>
  <si>
    <t>CR-0195928-00</t>
  </si>
  <si>
    <t>Projeto: U11 – Pilot 1 - PM 11-24            
Família: Main
Tipo: Telecopy
Número: TC12_Main</t>
  </si>
  <si>
    <t>Descrição: 1. TC12_Main, 2. Family: Main Harness, 3. Due to excessive rework time in the REG plant for Curtain US the following change occurs:
Sem necessidade de investimento para engenharia corte/lead prep.</t>
  </si>
  <si>
    <t>Projeto: U11 – Pilot 1 - PM 11-24            
Família: Main
Tipo: Telecopy
Número: TC16_Main</t>
  </si>
  <si>
    <t>CR-0196017-00</t>
  </si>
  <si>
    <t>Descrição: 1. TC16_Main, 2. Family: Main Harness, 3. Due to the risk of damage to the B7*1B air conditioning pressure sensor branch, the branch been postponed
Sem necessidade de investimento para engenharia corte/lead prep.</t>
  </si>
  <si>
    <t>CR-0196019-00</t>
  </si>
  <si>
    <t>Projeto: U11 – Pilot 1 - PM 11-24            
Família: Main
Tipo: Telecopy
Número: TC18_Main</t>
  </si>
  <si>
    <t>Descrição: 1. TC18_Main, 2. Family: Main Harness, 3. For manufacturing reasons, the E131*1B changes color as follows
Sem necessidade de investimento para engenharia corte/lead prep.</t>
  </si>
  <si>
    <t>CR-0196027-00</t>
  </si>
  <si>
    <t>Projeto: U11 – Pilot 1 - PM 11-24            
Família: Main
Tipo: Telecopy
Número: TC22_Main</t>
  </si>
  <si>
    <t>Descrição: 1. TC22_Main, 2. Family: Main Harness, 3. Due to a risk of damage, there is a winding change at the rear seat crossing,
Sem necessidade de investimento para engenharia corte/lead prep.</t>
  </si>
  <si>
    <t>CR-0196029-00</t>
  </si>
  <si>
    <t>Projeto: U11 – Pilot 1 - PM 11-24            
Família: Main
Tipo: Telecopy
Número: TC23_Main</t>
  </si>
  <si>
    <t>Descrição: 1. TC12_Main, 2. Family: Main Harness, 3. Due to the risk of damage, the length of the X246*1B tap-off in the center console is reduced
Sem necessidade de investimento para engenharia corte/lead prep.</t>
  </si>
  <si>
    <t>CR-0196060-00</t>
  </si>
  <si>
    <t>Projeto: U11 – Pilot 1 - PM 11-24            
Família: Main
Tipo: Telecopy
Número: TC31_Main</t>
  </si>
  <si>
    <t>TC31_Main, 2. Family: Main Harness, 3. The clips C010_DRA and C030_DRA are replaced in the front left and right wheel arches
Sem necessidade de investimento para engenharia corte/lead prep.</t>
  </si>
  <si>
    <t>CR-0196065-00</t>
  </si>
  <si>
    <t>Projeto: U11 – Pilot 1 - PM 11-24            
Família: Main
Tipo: Telecopy
Número: TC32_Main</t>
  </si>
  <si>
    <t>Descrição: 1. TC32_Main, 2. Family: Main Harness, 3. Due to a system on the IB expansion tank, the branch B + distributor are optimized.
Sem necessidade de investimento para engenharia corte/lead prep.</t>
  </si>
  <si>
    <t>CR-0196068-00</t>
  </si>
  <si>
    <t xml:space="preserve">
Projeto: U11 – Pilot 1 - PM 11-24            
Família: Main
Tipo: Telecopy
Número: TC34_Main</t>
  </si>
  <si>
    <t>Descrição: 1. TC34_Main, 2. Family: Main Harness, 3. Change the strain relief on the tank pot M72*1B
Sem necessidade de investimento para engenharia corte/lead prep.</t>
  </si>
  <si>
    <t xml:space="preserve">
Projeto: U11 – Pilot 1 - PM 11-24            
Família: Main
Tipo: Telecopy
Número: TC36_Main</t>
  </si>
  <si>
    <t>CR-0196073-00</t>
  </si>
  <si>
    <t>Descrição: 1. TC36_Main, 2. Family: Main Harness, 3. For manufacturing reasons, the following cable color will be changed on the A630*1B.
Sem necessidade de investimento para engenharia corte/lead prep.</t>
  </si>
  <si>
    <t>CR-0196083-00</t>
  </si>
  <si>
    <t>Projeto: U11 – Pilot 1 - PM 11-24            
Família: Main
Tipo: Telecopy
Número: TC41_Main</t>
  </si>
  <si>
    <t>Descrição: 1. TC41_Main, 2. Family: Main Harness, 3. Due to damage to the water hose during assembly, the water hose wrapped with tape 6946246
Sem necessidade de investimento para engenharia corte/lead prep.</t>
  </si>
  <si>
    <t>CR-0196084-00</t>
  </si>
  <si>
    <t>Projeto: U11 – Pilot 1 - PM 11-24            
Família: Main
Tipo: Telecopy
Número: TC44_Main</t>
  </si>
  <si>
    <t>Descrição: 1. TC44_Main, 2. Family: Main Harness, 3. Due to the risk of damage to the wires, the tape in footwell area is changed from open to closed taping.
Sem necessidade de investimento para engenharia corte/lead prep.</t>
  </si>
  <si>
    <t>CR-0196086-00</t>
  </si>
  <si>
    <t>Projeto: U11 – Pilot 1 - PM 11-24            
Família: Main
Tipo: Telecopy
Número: TC46_Main</t>
  </si>
  <si>
    <t>Descrição: 1. TC46_Main, 2. Family: Main Harness, 3. For manufacturing reasons, the splice X1355*2V and X1461*1V will be moved.
Sem necessidade de investimento para engenharia corte/lead prep.</t>
  </si>
  <si>
    <t>CR-0196135-00</t>
  </si>
  <si>
    <t>Projeto: U11 – Pilot 1 - PM 11-24            
Família: Cockpit
Tipo: Telecopy
Número: TC1_Cockpit</t>
  </si>
  <si>
    <t>Descrição: 1. TC1_Cockpit, 2. Family: Cockpit Harness, 3. Change the clip C017_C0C
Sem necessidade de investimento para engenharia corte/lead prep.</t>
  </si>
  <si>
    <t>CR-0196136-00</t>
  </si>
  <si>
    <t>Projeto: U11 – Pilot 1 - PM 11-24            
Família: Cockpit
Tipo: Telecopy
Número: TC5_Cockpit</t>
  </si>
  <si>
    <t>CR-0196138-00</t>
  </si>
  <si>
    <t>Projeto: U11 – Pilot 1 - PM 11-24            
Família: Cockpit
Tipo: Telecopy
Número: TC9_Cockpit</t>
  </si>
  <si>
    <t>Descrição: 1. TC5_Cockpit, 2. Family: Cockpit Harness, 3. Spot tape M002_COC deleted;
Sem necessidade de investimento para engenharia corte/lead prep.</t>
  </si>
  <si>
    <t>Descrição: 1. TC9_Cockpit, 2. Family: Cockpit Harness, 3. Change spot tape M001_COC from White to Green:
Sem necessidade de investimento para engenharia corte/lead prep.</t>
  </si>
  <si>
    <t>CR-0196145-00</t>
  </si>
  <si>
    <t>Projeto: U11 – Pilot 1 - PM 11-24            
Família: Front End
Tipo: Telecopy
Número: TC2_Front End</t>
  </si>
  <si>
    <t>Descrição: 1. TC2_Front End, 2. Family: Front End Harness, 3. Add spot tape M002_FEA (9438214)
Sem necessidade de investimento para engenharia corte/lead prep.</t>
  </si>
  <si>
    <t>CR-0196148-00</t>
  </si>
  <si>
    <t xml:space="preserve">
Projeto: U11 – Pilot 1 - PM 11-24            
Família: Front Seat BFA
Tipo: Telecopy
Número: TC1_Front Seat BFA</t>
  </si>
  <si>
    <t>Descrição: 1. TC1_Front Seat BFA, 2. Family: Front Seat BFA Harness, 3. Reduce branch X12*1S by 40mm
Sem necessidade de investimento para engenharia corte/lead prep.</t>
  </si>
  <si>
    <t>CR-0196154-00</t>
  </si>
  <si>
    <t xml:space="preserve">
Projeto: U11 – Pilot 1 - PM 11-24            
Família: Bumper
Tipo: Telecopy
Número: TC2_Bumper</t>
  </si>
  <si>
    <t>Descrição: 1. TC2_Bumper, 2. Family: Bumper Harness, 3. Change the conector X148*3S:
Sem necessidade de investimento para engenharia corte/lead prep.</t>
  </si>
  <si>
    <t>CR-0196156-00</t>
  </si>
  <si>
    <t>Projeto: U11 – Pilot 1 - PM 11-24            
Família: Main
Tipo: Telecopy
Número: TC29_Main</t>
  </si>
  <si>
    <t>CR-0196170-00</t>
  </si>
  <si>
    <t xml:space="preserve">
Projeto: U11 – Pilot 1 - PM 11-24            
Família: Rear Door
Tipo: Telecopy
Número: TC2_Rear Door</t>
  </si>
  <si>
    <t>Descrição: 1. TC29_Main, 2. Family: Main Harness, 3. For quality reasons, the braided hose on the seat will be changed
Sem necessidade de investimento para engenharia corte/lead prep.</t>
  </si>
  <si>
    <t>Descrição: 1. TC2_Rear Door, 2. Family: Rear Door Harness, 3. Change the lenght for insulation T016_DO1:
Sem necessidade de investimento para engenharia corte/lead prep.</t>
  </si>
  <si>
    <t>CR-0196176-00</t>
  </si>
  <si>
    <t>Projeto: U11 – Pilot 1 - PM 11-24            
Família: Cockpit
Tipo: Telecopy
Número: TC_Cockpit</t>
  </si>
  <si>
    <t>Descrição: 1. TC4/TC6/TC7/TC8_Cockpit, 2. Family: Cockpit Harness, 3. -Change visual aid for A11*1B.I hanking.
Sem necessidade de investimento para engenharia corte/lead prep.</t>
  </si>
  <si>
    <t>CR-0196193-00</t>
  </si>
  <si>
    <t>Projeto: U11 – Pilot 1 - PM 11-24            
Família: Main
Tipo: Telecopy
Número: TC42_Main</t>
  </si>
  <si>
    <t>Descrição: 1. TC19_Main -&gt; TC24_Main -&gt; TC35_Main -&gt; TC37_Main -&gt; TC42_Main, 2. Family: Main Harness, 3. Because of an existing PQM at the U25, there is an AI increase at the holder SV 5A02E49, Due to an open PQM, the routing at the front left power distributor is adjusted and Optimization of the B+ cable length to the Z43*1B power distributor.
this leads to the following wiring harness change
Sem necessidade de investimento para engenharia corte/lead prep.</t>
  </si>
  <si>
    <t>CR-0196195-00</t>
  </si>
  <si>
    <t>Projeto: U11 – Pilot 1 - PM 11-24            
Família: Front End
Tipo: Telecopy
Número: TC1_Front End</t>
  </si>
  <si>
    <t>CR-0196202-00</t>
  </si>
  <si>
    <t>Projeto: U11 – Pilot 1 - PM 11-24
Família: Rear Door
Tipo: Telecopy
Número: TC4_Rear Door</t>
  </si>
  <si>
    <t>CR-0196203-00</t>
  </si>
  <si>
    <t>Projeto: U11 – Pilot 1 - PM 11-24
Família: Main
Tipo: Telecopy
Número: TC_Main</t>
  </si>
  <si>
    <t xml:space="preserve">Descrição: 1. TC_Main, 2. Family: Main Harness, 3. -Change the position of the Label in the branch E86*1B (TC 5)
-Due to the risk of chafing, the branch of the splice will be adjusted (TC 14)
-Adaptation of clip orientation C003_INX to 3D model. Clip is rotated 180 degrees (TC 15)
-In order to prevent difficult installation on the sill, the cable form board is optimized for clip C016_SLS and C019_SLS.
This is achieved with a note with reference to the SVG on the MZ (TC 20)
Sem necessidade de investimento para engenharia corte/lead prep.
</t>
  </si>
  <si>
    <t>Projeto: U11 – Pilot 1 - PM 11-24
Família: Rear Door
Tipo: Telecopy
Número: TC3_Rear Door</t>
  </si>
  <si>
    <t>CR-0196181-00</t>
  </si>
  <si>
    <t>Descrição: 1. TC3_Rear Door, 2. Family: Rear Door Harness, 3. Change the circuit 886:
Sem necessidade de investimento para engenharia corte/lead prep.</t>
  </si>
  <si>
    <t>CR-0196308-00</t>
  </si>
  <si>
    <t>Projeto: U11 – Pilot 1 - PM 11-24
Família: Main
Tipo: Telecopy
Número: TC38_Main</t>
  </si>
  <si>
    <t>Descrição: 1. TC38_Main, 2. Family: Main Harness, 3. Because of a PQM, the connector X148*3B is rotated by 90 degrees and the branch is extended by 10mm
Sem necessidade de investimento para engenharia corte/lead prep.</t>
  </si>
  <si>
    <t>Descrição: 1. TC1_Front End, 2. Family: Front End Harness, 3. Assembly Note changed.
Splice position changed: Splices X1381*1V and X1800*1V together in area 90mm and Splices X894*1V and X143*1V together in area 45mm
Sem necessidade de investimento para engenharia corte/lead prep.</t>
  </si>
  <si>
    <t>Descrição: 1. TC4_Rear Door, 2. Family: Rear Door Harness, 3. T001_D01; length shortened by 200mm.
T012_D01-6946246.9-GB-G-S with length 190mm add..
Sem necessidade de investimento para engenharia corte/lead prep.</t>
  </si>
  <si>
    <t>CR-0194596-01</t>
  </si>
  <si>
    <t>Projeto: SPIN – Running change - MY2026
Família: IP WH
Tipo: EWO
Número: 4733554
Descrição: 1. ISS-052777 - ECR PART 4733554: SPIN MY25/26/27 – PCCR 18010 Add PCD and Argentina Market - ECR PART 4733554: SPIN MY25/26/27 – PCCR 18010 Add PCD and Argentina Market
PROPOSED CHANGE
Delete and Add PNs according PCCR information.
Print affected: 52167961 - HARNESS ASM I - IP WRG
For DFMEA information see VCD-DRBFM on attachments.
CR updated to -01 due to Engineering adjustmens.</t>
  </si>
  <si>
    <t xml:space="preserve">
•	1 validação conforma norma Uscar21:
o	CU-R2PVC-A|0.35 - 3202514Z9 654F
•	2 validações conforme norma Uscar45:
•	Left  (1) section of 1.50 | (1) section of 2.00 | Right  (1) section of 1.50 | &gt;&gt; SP443_2_X1
•	Left  (2) section of 0.50 | Right  (2) section of 0.35 | (1) section of 0.50 &gt;&gt; SP548_W53_1_X1.00
•	2 validações conforme norma GMW17136 termo E16718500:
•	Left  (1) section of 1.50 | (1) section of 2.00 | Right  (1) section of 1.50 | &gt;&gt; SP443_2_X1
•	Left  (2) section of 0.50 | Right  (2) section of 0.35 | (1) section of 0.50 &gt;&gt; SP548_W53_1_X1.00
•	Horas tecnicas para validações 
•	Scrap R$ 2.077,03
•	Amostras validação R$ 644,11</t>
  </si>
  <si>
    <t xml:space="preserve">
 Considerar Sem investimentos para corte e Lead prep. obsoletos cotado em *CR-0177281-00 release</t>
  </si>
  <si>
    <t xml:space="preserve">
Considerar para corte Lead Prep. ( Condicionada aos testes e aprovação conforme Normas especificadas )
•	1 validação conforma norma Uscar21:
o	CU-R2PVC-A|0.50 - 3202555A6 Wire Nb 7348
o	8 horas tecnicas para Validação USCAR21                     
o	Scrap R$ 449,58
o	Amostras validação USCAR21 R$ 87,19
Para essa alteração iremos absolver essa alteração com aplicadores do projeto GEM.</t>
  </si>
  <si>
    <t>19/010/2024</t>
  </si>
  <si>
    <t>CR-0196154-01</t>
  </si>
  <si>
    <t>Descrição: 1. TC2_Bumper, 2. Family: Bumper Harness, 3. Change the conector X148*3S:
From: 8720239
To: 5A844E1
Sem necessidade de investimento para engenharia corte/lead prep.</t>
  </si>
  <si>
    <t>CR-0196170-01</t>
  </si>
  <si>
    <t>Projeto: U11 – Pilot 1 - PM 11-24            
Família: Rear Door
Tipo: Telecopy
Número: TC2_Rear Door</t>
  </si>
  <si>
    <t>Descrição: 1. TC2_Rear Door, 2. Family: Rear Door Harness, 3. Change the lenght for insulation T016_DO1:
From: 190 mm To: 140mm
Sem necessidade de investimento para engenharia corte/lead prep.</t>
  </si>
  <si>
    <t>CR-0196148-01</t>
  </si>
  <si>
    <t>CR-0196422-00</t>
  </si>
  <si>
    <t>CR-0195407-01</t>
  </si>
  <si>
    <t>Projeto: U11 – Pilot 1 - PM 07-24
Família: Main
Tipo: CR
Número: PM 07-24</t>
  </si>
  <si>
    <t>Descrição: 1. CR to evaluate intern changes for the PM 07-24, 2. Main (5A94D85)
Anexos enviados sem o “Delta cut sheet”. Subtende-se que não há modificações. Se houve alguma modificação, deve ser enviado o “Delta cut sheet” para análise.
Sem necessidade de investimento para engenharia corte/lead prep.</t>
  </si>
  <si>
    <t>CR-0197391-00</t>
  </si>
  <si>
    <t>Projeto: VS30 – SORP – 2024_01
Família: BODY - HECK
Tipo: Cost Reduction
Número: 
Descrição: 1. Engineering CTO Proposol, 2. Change Heck plug caps used at module A 907 540 89 95, 3. Affected all body Wiring Harness , 4. From: E14412000
TO: E13712100</t>
  </si>
  <si>
    <t>Descrição: 1. Engineering CTO Proposol, 2. Change Heck plug caps used at module A 907 540 89 95, 3. Affected all body Wiring Harness , 4. From: E14412000
TO: E13712100
Sem necessidade de investimento para engenharia corte/lead prep.</t>
  </si>
  <si>
    <t>CR-0196897-00</t>
  </si>
  <si>
    <t>Projeto: VS30 – SORP – 2024_01
Família: BODY
Tipo: Cost Reduction
Número: CTO
Descrição: 1. VS30 - CTO PROPOSAL, 2. Affected BOM, 3. Affected drawing: A9070012099 , 4. Reduction in the amount of tape due to change in the material of the battery cables, reduction in the total diameter of the branch, changing PN 12712901Q, E02384300, E07930800, E07930900 and E13279400</t>
  </si>
  <si>
    <t>CR-0196661-00</t>
  </si>
  <si>
    <t>Projeto: VS30 – SORP – 2024_01
Família: IP / BODY
Tipo: PFD
Número: PFD-VS30-BR907-AEHJ2024_01-2631
Descrição: 1. PFD-VS30-BR907-AEHJ2024_01-2631, 2. Adjustment of bandage in CLS and HLS, 3. Due to the jacket of the cable, the following cable types do not need to be bandaged: H35/1.
Due to the jacket of the cable, the following cable types need to be bandaged: ly, B48., 4. Affected drawing: A9070011599 (IP) / A9070011999 / A9070012099 / A9070014699 / A9070014899 / A9070014999 /
A9070015299 / A9070015399 / A9070015999 / A9070016099 / A9070016399 / A9070016499 (BODY)
, 5. Affected BOM and LABOR</t>
  </si>
  <si>
    <t>Alteração na quantidade de fita.
Sem necessidade de investimento para engenharia corte/lead prep.</t>
  </si>
  <si>
    <t>Projeto: VS30 – SORP – 2024_01
Família: BODY
Tipo: Cost Reduction
Número: 
Descrição: 1. VS30 - WIRING HARNESS BODY CTO PROPOSAL, 2. Affected BOM, CUTSHEET and LABOR, 3. Affected drawing: A9070012099 / A9070014699 /A9070014899 / A9070014999 /A9070015399 /A9070015999 /A9070016099 /A9070016399 /A9070016499, 4. Feasibility study for cost reduction by switching to internal twist processes, removing part numbers E10536200, E10536300, E17965800, E10536500, E10536600 and adding internal twist wire.</t>
  </si>
  <si>
    <t>CR-0196137-00</t>
  </si>
  <si>
    <t>Projeto: VS30 – SORP – 2024_01
Família: IP WH
Tipo: WLL/TLL
Número: ISS-053551
Descrição: 1. VS30 - WIRING HARNESS IP, 2. ISS-053551, 3. WLL REV 19, 4. Affected BOM, CUTSHEET and LABOR , 5. Affected drawing: A9070011599, 6. Length update related to extension of branch line A26/17*6_3-B by 30mm.</t>
  </si>
  <si>
    <t>Sem necessidade de investimento para engenharia corte/lead prep.
Porém temos scrap no valor R$ 137,742.</t>
  </si>
  <si>
    <t>Projeto: SPIN – Running change - MY2025
Família: Liftgate &amp; Body
Tipo: Cost Reduction
Número: CTO
Descrição: 1. ISS-051985 - NEW INLINE BODY &amp; LIFTGATE PROPOSAL - NEW INLINE BODY &amp; LIFTGATE PROPOSAL
Replace Inline from Liftgate &amp; Body to new Hybrid Connector (TE)
Move 3 connector to 1 connector
Prints affected:
52167964 - Liftgate
52167938 - Body
Acc to analysis, there are 3 validations to be reported, see terminals below add as new item on the program. Others terminal have already validations on SPIN and GEM.
PN Lear E02911900 --&gt; Liftgate
PN Lear 32025Y1N8 --&gt; Body
PN Lear 320261399 --&gt; Body</t>
  </si>
  <si>
    <t>Para o atendimento dessa modificação, precisamos de:
•	7 Validações USCAR21.
•	3 aplicadores.
•	Scrap: R$ 1740,27
Validações:
32025Y1N8-65763-1--USCAR21
32025Y1N8-65763-1,5--USCAR21
320261399-65769-2,5--USCAR21
E02911900-65763-1--USCAR21
E02911900-65763-1,5--USCAR21
E02086500-65763-0,75--USCAR21
E03428900-65769-2,5--USCAR21
Compra de 1 aplicador de cada.
32025Y1N8
320261399
E02911900</t>
  </si>
  <si>
    <t>CR-0191427-02</t>
  </si>
  <si>
    <t>CR-0196646-00</t>
  </si>
  <si>
    <t>Projeto: SPIN – SOP - MY2026
Família: BODY &amp; SEAT
Tipo: DFM
Número: 52167938 Body / 52168898 &amp; 899 Seat WRH HRN
Descrição: 1. ISS-053738 - NEW PRETENSIONER CABLE _ BODY &amp; SEAT _ SPIN - NEW PRETENSIONER CABLES APTIV - SPIN</t>
  </si>
  <si>
    <t>CR tem como conteúdo a troca dos cabos pré-tensionadores da SPIN, que hoje recebemos aplicados somente um dos lados e aplicamos terminais na planta, por cabos novos já aplicados do fornecedor.
Sem necessidade de investimento para engenharia corte/lead prep.</t>
  </si>
  <si>
    <t>Sem necessidade de investimento para engenharia corte/lead prep.
Porém precisamos 37,92 horas técnicas ou 4 pessoas no sábado para implementar a modificação.
1. Desligar a SC01
2. Ligar Twister M20 (Necessário fazer estudo de capacidade).
3. Scrap: R$ 0</t>
  </si>
  <si>
    <t>CR-0196138-02</t>
  </si>
  <si>
    <t>CR-0197855-00</t>
  </si>
  <si>
    <t>Projeto: GEM – PPV - MY2026
Família: REAR BUMPER
Tipo: TEWO
Número: 4747172
Descrição: 1. GEM MY26 PPV - REAR BUMPER 52189102/52189103 - TWO4747172
A.1) 3D Math specifies PVC tape for digital camera branches.
A.1) Allow supplier to add acrylic tape over PVC tape for digital camera branches.
ADD Overlap Tape PN E15837200 to digital camera branches.</t>
  </si>
  <si>
    <t>Sem necessidade de investimento para engenharia corte/lead prep.
Fita só é utilizada na linha.</t>
  </si>
  <si>
    <t>CR-0198437-00</t>
  </si>
  <si>
    <t>Projeto: SPIN – SOP - MY2026.5
Família: BODY
Tipo: EWO
Número: 4744066
Descrição: 1. ISS-054510 -  SPIN G1NC - MY26.5/MY27 WIRING HARNESSES - ECR PART 4744066: WIRING HARNESSES - BODY
PROPOSED CHANGE
1) New Package released without C99 for MY26.5 amd MY27 
new RPO is required to make difference. (RPO_AB7)
2) Glove Box illumination removal to new PNs for MY26.5 and MY27 only for IP WH.
3) Delete current PNs and create new PNs for MY26.5/MY27  IP WH and Body WH.
Print Affected: 52167938 BODY
DFMEA (DRBFM) attached on VCD.</t>
  </si>
  <si>
    <t>CR-0198061-00</t>
  </si>
  <si>
    <t xml:space="preserve">1) For SPIN MY26 RPO_K4C will be replaced to K7A.
2) Remove Glove Box illumination for MY26 only for IP WH.
3) Delete current PNs and create new PNs for MY26 only for IP WH.
--&gt; Remark 1: To avoid new splice validation the Glove Box illumination content will be kept on Body WH
--&gt; Remark 2: To SPIN Electrical Diagram both RPOs (K4C and K7A) will be kept.
</t>
  </si>
  <si>
    <t xml:space="preserve">
Favor considerar sem impacto para corte e lead Prep.</t>
  </si>
  <si>
    <t>Projeto: SPIN – MVBs - MY2026
Família: IP WH
Tipo: EWO
Número: 4746934
Descrição: 1. ISS-054375 - SPIN G1NC - MY26 WIRING HARNESSES - ECR PART 4746934: SPIN G1NC - MY26 WIRING HARNESSES - IP</t>
  </si>
  <si>
    <t>CR-0198357-00</t>
  </si>
  <si>
    <t>CR-0197905-00</t>
  </si>
  <si>
    <t>considerar sem impacto para corte e lead Prep.</t>
  </si>
  <si>
    <t xml:space="preserve"> CR-0198508-00</t>
  </si>
  <si>
    <t>Projeto: SPIN – Running change - MY2025
Família: Liftgate
Tipo: TEWO
Número: 4760176
Descrição: 1. ISS-054546 - TWO 4760176 : SPIN MY25 – LIFTGATE WH _  Hanking Tape Replacement - TWO_4760176_VCD SPIN MY25_LIFT GATE WH_Hanking Tape Replacement --&gt; Liftgate</t>
  </si>
  <si>
    <t xml:space="preserve">Projeto: SPIN – SOP - MY2026.5
Família: IP WH
Tipo: EWO
Número: 4744066
Descrição: 1. ISS-054637 - ECR PART 4744066: SPIN G1NC - MY26.5/MY27 WIRING HARNESSES - IP
</t>
  </si>
  <si>
    <t>CR-0198855-00</t>
  </si>
  <si>
    <t>Sem impacto para corte e Lead Prep.
Sem scrap considerado como Stock Use ( não veio delta cut dos tubos alterados)</t>
  </si>
  <si>
    <t>CR-0198879-00</t>
  </si>
  <si>
    <t xml:space="preserve">Projeto: SPIN – Running change - MY2025
Família: RR OBJECT ALARM
Tipo: TEWO
Número: 4750896
Descrição: 1. AFFECTED FAMILY: RR OBJECT ALARM - TWO 4750896
</t>
  </si>
  <si>
    <t xml:space="preserve"> CR-0198437-00</t>
  </si>
  <si>
    <t>Projeto: SPIN – SOP - MY2026.5
Família: BODY
Tipo: EWO
Número: 4744066
Descrição: 1. ISS-054510 -  SPIN G1NC - MY26.5/MY27 WIRING HARNESSES - ECR PART 4744066: WIRING HARNESSES - BODY</t>
  </si>
  <si>
    <t>CR-0199592-00</t>
  </si>
  <si>
    <t>Projeto: U11 – Pilot 1 - PM 11-24            
Família: Bumper
Tipo: CR
Número: PM 11-24</t>
  </si>
  <si>
    <t>Paula Rabelo</t>
  </si>
  <si>
    <t>Considerar sem impacto para corte e Lead Prep
Scrap R$ 2.669,30</t>
  </si>
  <si>
    <t>CR-0198518-00</t>
  </si>
  <si>
    <t>Projeto: GEM – MVBns - MY2026
Família: IP WH
Tipo: PCR
Número: 4731021</t>
  </si>
  <si>
    <t>16;48</t>
  </si>
  <si>
    <t xml:space="preserve"> considerar para Corte e lead Prep. ( Análise realizada base Delta cut , implementação condicionada a aprovação dos testes conforme normas especificadas. )
1 Aplicadores Mecal modelo MRSP1 para terminal E43205100.
1 Aplicadores Mecal modelo MRSP1 para terminal 32025Y1N8.
1 Aplicadores Mecal modelo MRSP1 para terminal 320261399.
1 Validação conforme norma USCAR 21 para terminal E43205100 com cabo CU-R2PVC-A|0.35
1 Validação conforme norma USCAR 21 para terminal 32025Y1N8 com cabo FLRY-A-1.00
1 Validação conforme norma USCAR 21 para terminal 320261399 com cabo FLRY-B-2.50
Amostras de validação R$ 595,86
24 horas técnicas.</t>
  </si>
  <si>
    <t>Projeto: GEM – MVBns - MY2026
Família: BODY
Tipo: PCR
Número: 4731021
Descrição: 1. 1) GEM</t>
  </si>
  <si>
    <t>CR-0198084-00</t>
  </si>
  <si>
    <t xml:space="preserve">Bom dia,
Favor considerar para Corte e lead Prep. ( Análise realizada base Delta cut , implementação condicionada a aprovação dos testes conforme normas especificadas. )
1 Aplicadores Mecal modelo MRSP1 para terminal E00006853.
1 Aplicadores Mecal modelo MRSP1 para terminal E01188000.
</t>
  </si>
  <si>
    <t>escrição: 1. CR to evaluate intern changes for the PM 11-24, 2. Family: Bumper (5A73B99)
Como não veio o “Delta cut sheet” entende-se que não houve alteração de circuitos , terminais, cabos e comprimentos.
Sem necessidade de investimento para engenharia corte/lead prep.</t>
  </si>
  <si>
    <t>CR-0199600-00</t>
  </si>
  <si>
    <t xml:space="preserve">Projeto: U11 – Pilot 1 - PM 11-24            
Família: Cockpit
Tipo: 
Número: </t>
  </si>
  <si>
    <t>Descrição: 1. CR to evaluate intern changes for the PM 11-24, 2. Family: Cockpit (5A84580)
Favor considerar:
•	01 kit de guias para corte de tubo liso. R$ 15000,00</t>
  </si>
  <si>
    <t>CR-0199608-00</t>
  </si>
  <si>
    <t>Projeto: U11 – Pilot 1 - PM 11-24            
Família: Front End
Tipo: CR
Número: PM 11-24</t>
  </si>
  <si>
    <t>Descrição: 1. CR to evaluate intern changes for the PM 11-24, 2. Family: Front End (5A5F2A5)
Sem necessidade de investimento para engenharia corte/lead prep.</t>
  </si>
  <si>
    <t>CR-0199609-00</t>
  </si>
  <si>
    <t>Projeto: U11 – Pilot 1 - PM 11-24            
Família: Rear Door
Tipo: CR
Número: PM 11-24</t>
  </si>
  <si>
    <t>Descrição: 1. CR to evaluate intern changes for the PM 11-24, 2. Family: Rear Door (5A52C30)
Sem necessidade de investimento para engenharia corte/lead prep.</t>
  </si>
  <si>
    <t>CR-0199612-00</t>
  </si>
  <si>
    <t>Projeto: U11 – Pilot 1 - PM 11-24            
Família: Front Seat FA
Tipo: CR
Número: PM 11-24</t>
  </si>
  <si>
    <t>Descrição: 1. CR to evaluate intern changes for the PM 11-24, 2. Family: Front Seat FA (5A64B06)
Arquivos sem “Delta cut sheet” entende-se que não houve alteração de circuitos , terminais, cabos e comprimentos.
Sem necessidade de investimento para engenharia corte/lead prep.</t>
  </si>
  <si>
    <t>CR-0199740-00</t>
  </si>
  <si>
    <t>Projeto: U11 – Pilot 1 - PM 11-24            
Família: Front Seat BFA
Tipo: CR
Número: PM 11-24</t>
  </si>
  <si>
    <t>Descrição: 1. CR to evaluate intern changes for the PM 11-24, 2. Family: Front Seat BFA (5A64B36)
Favor considerar:
•	01 kit de guias para corte de tubo liso. R$ 15000,00</t>
  </si>
  <si>
    <t>CR-0199743-00</t>
  </si>
  <si>
    <t>Projeto: U11 – Pilot 1 - PM 11-24            
Família: Main
Tipo: CR
Número: PM 11-24</t>
  </si>
  <si>
    <t>Descrição: 1. CR to evaluate intern changes for the PM 11-24, 2. Family: Main (5A94D85)
Sem necessidade de investimento para engenharia corte/lead prep.</t>
  </si>
  <si>
    <t>CR-0199604-00</t>
  </si>
  <si>
    <t>Projeto: U11 – Pilot 1 - PM 11-24            
Família: Front Door
Tipo: CR
Número: PM 11-24</t>
  </si>
  <si>
    <t>Descrição: 1. CR to evaluate intern changes for the PM 11-24, 2. Family: Front Door (5A84580)
Como não veio o “Delta cut sheet” entende-se que não houve alteração de circuitos , terminais, cabos e comprimentos.
Sem necessidade de investimento para engenharia corte/lead prep.</t>
  </si>
  <si>
    <t>CR-0200546-00</t>
  </si>
  <si>
    <t>Projeto: SPIN – Running change - MY2025
Família: BODY
Tipo: TEWO
Número: 4765980
Descrição: 1. ISS-055150 - TWO 4765980_SPIN MY25_Body WH_Branch Adjustment_Parking Brake - Body
Change Proposal: 
1) Increase 30mm on the S181_X1 SW Park Brake branch
Print affected: 52167938 Body
DRBFM attached on VCD.</t>
  </si>
  <si>
    <t>Descrição: 1) Increase 30mm on the S181_X1 SW Park Brake branch
Sem necessidade de investimento para engenharia corte/lead prep.
Scrap: R$ 29,93</t>
  </si>
  <si>
    <t>CR-0198807-00</t>
  </si>
  <si>
    <t xml:space="preserve">
Projeto: GEM – MVBns - MY2027.5
Família: IP EXT
Tipo: PECR
Número: TBD
Descrição: 1. 1.GEM 
2) MY27.5 MVBNS 
3) IP EXT
4) COST STUDY REQUESTED BY GM
5) Attention: Keep the Antenna Cables align with the clip, avoiding bends, describe in markup.              </t>
  </si>
  <si>
    <t>Descrição: Alteração de conector, porém sem alterações de terminais.
Sem necessidade de investimento para engenharia corte/lead prep.
Scrap: R$ 53,21</t>
  </si>
  <si>
    <t>CR-0198358-00</t>
  </si>
  <si>
    <t xml:space="preserve">Projeto: GEM – APPV - MY2026
Família: LIFTGATE
Tipo: PECR
Número: 4731021
Descrição: 1. CARBON MY26 APPV / LIFTGATE 52186538 - ECR4731021 - ISS-054104
A.3) LIFT GATE WH / LIFT GATE EXTENSION WH - COST REDUCTION PROPOSAL
A.3.1) REPLACE 2 INLINES (10 WAYS EACH ONE) FROM:  2141999-1 (2x) TO: 2480796-1 (TE PN) / NPN160 (GM PN)
A.3.2) REMOVE CONNECTOR 13516070 (COAX CABLE FOR REAR VIEW CAMERA &amp;UVB). NOTE: COAX CABLE TO BE RELOCATED TO NEW CONNECTOR 2480796-1 (TE PN) / NPN160 (GM PN). VALID FOR CARBON ONLY.
A.4) LIFT GATE WH - COST REDUCTION PROPOSAL
A.4.3) REPLACE CONNECTOR FROM: 96947014 TO: 2480796-1 (TE PN) / NPN160 (GM PN). VALID FOR 5HB AND CARBON.
A.4.4) REMOVE CONNECTOR 13516070 (COAX CABLE FOR REAR VIEW CAMERA &amp;UVB). NOTE: COAX CABLE TO BE RELOCATED TO NEW CONNECTOR 2480796-1 (TE PN) / NPN160 (GM PN). VALID FOR CARBON ONLY.
NOTE: THIS NEW HYBRID CONNECTION WILL REPLACE THE INLINE CONNECTOR WITH THE BODY AND LIFTGATE EXT. CONTEMPLATING THE INSERTION OF THE COAXIAL CABLE.              </t>
  </si>
  <si>
    <t>Considerar os investimento abaixo para Corte e lead Prep. 
Análise realizada base Delta cut , implementação condicionada a aprovação dos testes conforme normas especificadas.
	4 Validações de Uscar21;
o	32025Y1N8	16AC71050 | 1 | 65763 (1240,3350G,393)
o	E03428900	163306087 | 2,5 | 65769 (3350E,293,3350A)
o	E08963400	16AC71050 | 1 | 65763 (1240)
o	E15834400	16ACX6050 | 1 | 65763 (3350G)
	2 aplicadores.
o	32025Y1N8  =  2 aplicadores
	Scrap: 	R$ 124,89</t>
  </si>
  <si>
    <t>CR-0196580-00</t>
  </si>
  <si>
    <t xml:space="preserve">Projeto: GEM – MVBns - MY2026
Família: IP Ext – 52186437
Tipo: PECR
Número: 4731021
Descrição: 1. GEM B-Car &amp; Carbon – PPV MY26– Engine 52185602
D.1) IP Extension WH - VCD_WH (11) Connector Bulletin #193 - Replace connector PN: 13516030 by PN: 13545488              </t>
  </si>
  <si>
    <t>CR-0199731-00</t>
  </si>
  <si>
    <t>Projeto: GEM – MVBns - MY2027
Família: NEW HARNESS 4NB
Tipo: PECR
Número: Item PDT
Descrição: 1. GEM MY27.5 MVBNS - NEW HARNESS 4NB - PCR- XXX - ISS-054808 - COST STUDY REQUESTED BY GM
NEW HARNESS 4NB 
Proposed relocation of vehicle antenna for GEM JBJC / JBSC 2027.5.
NOTE: Keep the Antenna Cables align with the clip, avoiding bends, describe in markup</t>
  </si>
  <si>
    <t>CR-0196648-00</t>
  </si>
  <si>
    <t xml:space="preserve">Projeto: GEM – PTB-M - MY2027
Família: Engine - 52182381, 52182314, 52182664, 52182666
Tipo: PECR
Número: 4731021
Descrição: 1. GEM B-Car – PTB MY27 – Engine 52182381, 52182314, 52182664, 52182666 and 52185602.
D.1) Engine - WH - VCD_WH (11) Relocate UEC branch breakout to 30mm from the clip on the main branch and change UEC branch dimension to 135mm. </t>
  </si>
  <si>
    <t>Segue os investimento para essa CR.
	2 Validação: GMW e USCAR 45, para splice abaixo.
o	SP5292_1_X1.00 com o termo E14168600, para a combinação 0.50 | 0.50 + 0.50 + 0.50 + 0.75 + 0.50 + 0.50 + 0.50.
	Circuitos que compõe a splice: 5292D,5292,5292A,5292B,5292C,5292E,5292F,5292H
	Scrap total: 	R$ 2243,61, sendo:
o	Wire	R$ 2242,54</t>
  </si>
  <si>
    <t>CR-0196867-00</t>
  </si>
  <si>
    <t>Projeto: GEM – MVBns - MY2027
Família: Front bumper - 2D_52186440
Tipo: PECR
Número: 4731021
Descrição: 1. GEM CARBON - Front bumper - 2D_52186440.
A.1) REPLACE CURRENT INLINE FRONT BUMPER WH AS PER DESCRIBED BELOW =&gt; FRONT BUMPER WH - REPLACE CONNECTOR FROM: 13590423 TO: 2480798-1 (TE PN) / NPN158 (GM PN).
Segue anexo arquivos para análise.</t>
  </si>
  <si>
    <t>A CR foi reprovada pela Engenharia de Corte e Lead Prep porque os terminais com alimentação à direita (Strip Form - Right Payoff) – E01018600 e E00029986 – são incompatíveis com as máquinas disponíveis.
Terminais:
E01018600
E00029986</t>
  </si>
  <si>
    <t>CR-0198530-02</t>
  </si>
  <si>
    <t xml:space="preserve">
Projeto: CARBON – APPV - MY2027
Família: BODY CARBON
Tipo: PECR
Número: 4731021
Descrição: 1. 1.) Carbon
2) MY26 APPV
3) P-CR 4731021
4) BODY  Carbon
5) VCD 1/ 2/ 4 / 5 / 6 / 7 / 8 / 11 / 12 /14
6) A.1) REPLACE CURRENT INLINE BETWEEN BODY WH AND FRONT BUMPER WH AS PER DESCRIBED BELOW:
=&gt; FRONT BUMPER WH - REPLACE CONNECTOR FROM: 13590423 TO: 2480798-1 (TE PN) / NPN158 (GM PN)
=&gt; BODY WH - REPLACE CONNECTOR FROM: 13590422 TO: 2480797-1 (TE PN) / GM PN NPN159
A.2) REPLACE CURRENT INLINE BETWEEN BODY WH AND REAR BUMPER WH AS PER DESCRIBED BELOW:
=&gt; REAR BUMPER WH: 
A.2.1) REPLACE CONNECTOR FROM: 13590423 TO: 2480798-1 (TE PN) / NPN158 (GM PN). VALID FOR B-CAR / CARBON
A.2.2) REMOVE CONNECTOR PN: 13517379 (COAX CABLE FOR REAR VIEW CAMERA &amp;UVB). NOTE: COAX CABLE TO BE RELOCATED TO NEW CONNECTOR 2480798-1 (TE PN) / NPN158 (GM PN). VALID FOR B-CAR ONLY (5HB / 4NB).
=&gt; BODY WH: 
A.2.3) REPLACE CONNECTOR FROM: 13590422 TO: 2480797-1 (TE PN) / NPN159 (GM PN)
A.2.4) REMOVE CONNECTOR PN: 13517364 (COAX CABLE FOR REAR VIEW CAMERA &amp;UVB). NOTE: COAX CABLE TO BE RELOCATED TO NEW CONNECTOR 2480797-1 (TE PN) / NPN5 (GM PN). VALID FOR B-CAR ONLY (5HB / 4NB).
C.1) Body WH - replace finishing on main branch near to dash grommet LH from: TD-CDA-ABA-BK to: 51036 PV5 in order to improve bundle flexibility. See list of homologated tape suppliers for this new condition. Relocate Splice SP625_W53_X1, used only in vehicles with KL9 option, from: 84mm from dash grommet LH to: the same position of the splice SP2700_BUN124_2_X1 (used only in vehicles with LIJ option) - 50mm from UEC branch breakout. Both splices can be kept in the same position because they are applied for different vehicles.
C.2) Body WH - Connector Bulletin #193 - Replace connector PN: 13516031 by PN: 13545489
C.3) Body WH - replace current clip used on connector X16X1003_X1 from: 13300763 to: 13594445 (Hellermann Tyton PN: 151-01108).
F.1) Body WH / Engine WH - Create a new routing as described below:
Body WH - relocate UEC branch breakout from main branch to side blinker LH branch.
Engine WH - relocate UEC branch breakout to 30mm from the clip on the main branch and change UEC branch dimension to 135mm.
G.1) Body WH / IP WH - Replace coverings on the indicated areas of IP WH / Body WH
I.1) Proliferate WHs according to PCCRs 18277 / 18856 / 18764 request.
=&gt; PCCR18277 - replace UD7 by UVC (B-Car - LT vehicles) / add T83 for Carbon RS Expor</t>
  </si>
  <si>
    <t>A CR esta reprovada pela Engenharia de Corte e Lead Prep porque o terminal E43205100 não aplica para bitola 0.5 no circuito 4150C.
Terminal:  E43205100 
Range: 0.25 to 0.35</t>
  </si>
  <si>
    <t>CR-0196864-00</t>
  </si>
  <si>
    <t>Projeto: GEM – MVBns - MY2027
Família: Front bumper - 2D_52183579
Tipo: PECR
Número: 4731021
Descrição: 1. GGEM B-Car – Front bumper - 2D_52183579. 
H.1) Front Bumper WH - Replace current PVC tapes by Acrylic tape (D-level abrasion) on the branches indicated in markup. Valid for B-Car only.
A.1) REPLACE CURRENT INLINE FRONT BUMPER WH AS PER DESCRIBED BELOW =&gt; FRONT BUMPER WH - REPLACE CONNECTOR FROM: 13590423 TO: 2480798-1 (TE PN) / NPN158 (GM PN).</t>
  </si>
  <si>
    <t>Sem necessidade de investimento para engenharia corte/lead prep.
Caso a alteração de comprimento seja stock use, não teremos scrap.
Scrap: R$ 484,38</t>
  </si>
  <si>
    <t>CR-0200758-00</t>
  </si>
  <si>
    <t>Projeto: VS30 – SORP – 2024_01
Família: BODY
Tipo: PFD
Número: PFD-VS30-BR907-AEHJ2024_01-2627
Descrição: 1. PFD-VS30-BR907-AEHJ2024_01-2627, 2. Affected all BODY WIRE HARNESS, 3. At the request of the Mercedes-Benz factory, Shifting of several circuts on the holder A9075467600 (seat box drawers)</t>
  </si>
  <si>
    <t>Projeto: VS30 – SORP – 2024_01
Família: BODY
Tipo: PFD
Número: PFD-VS30-BR907-AEHJ2024_01-2639
Descrição: 1. PFD-VS30-BR907-AEHJ2024_01-2639, 2. Affected all BODY WIRE HARNESS, 3. PFD to adjust the air duct routing (front) removing clip "CL,366_00182" and realocating the extensions "B29/20*1-B" and "B92*A-B"</t>
  </si>
  <si>
    <t>CR-0201044-01</t>
  </si>
  <si>
    <t>CR-0201108-00</t>
  </si>
  <si>
    <t>Projeto: VS30 – SORP – 2024_01
Família: IP WH
Tipo: PFD
Número: PFD-VS30-BR907-AEHJ2024_01-2617
Descrição: 1. PFD-VS30-BR907-AEHJ2024_01-2617, 2. Affect IP WIRE HARNESS, 3. The A90/5*C-B attachment is too tight and partially pushes out the USB-C port compartment. PFD to change the routing of that region., 4. A90/5*A-B antenna have 300mm lenght, please check if antenna E39747200 is still mountable after applying the PFD, 5. A90/5*C-B antenna have 1225mm lenght, please check if antenna E45805900 is still mountable after applying the PFD, 6. *PFD contain changes in circuit module, please check DELTA CUT, 7. **Wire lenghts in Delta CUT = Nominal length. WLL analysis needed.</t>
  </si>
  <si>
    <t>CR-0201415-00</t>
  </si>
  <si>
    <t>Projeto: VS30 – SORP – 2024_01
Família: IP WH
Tipo: PFD
Número: PFD-VS30-BR907-AEHJ2024_01-2633
Descrição: 1. PFD-VS30-BR907-AEHJ2024_01-2633, 2. PFD to extend by 30mm Head unit branches in IP drawing. Check PFD excel in attachment, markup in "Skizze 1" and "Skizze 2", 3. Antennas have been physically increased by 50mm to ensure mounting on the car., 4. *WLL analysis needed, please check circuits affected by PFD branch extension, 5. **Impact in CUT, LABOR, BOM - CHECK DELTAS</t>
  </si>
  <si>
    <t>CR-0198359-00</t>
  </si>
  <si>
    <t>Projeto: CARBON – APPV - MY2026
Família: LIFTGATE EXT.
Tipo: PECR
Número: 4731021
Descrição: 1. CARBON MY26 APPV/ LIFTGATE EXT. 52186539 - ECR4731021 - ISS-054105
A.3) LIFT GATE WH / LIFT GATE EXTENSION WH - COST REDUCTION PROPOSAL
A.3.3) REPLACE 2 INLINES (10 WAYS EACH ONE) FROM:  2141994-1 (2x) TO: 2480795-1 (TE PN) / NPN161 (GM PN)
A.3.4) REMOVE CONNECTOR 13516419 (COAX CABLE FOR REAR VIEW CAMERA &amp;UVB). NOTE: COAX CABLE TO BE RELOCATED TO NEW CONNECTOR 2480795-1 (TE PN) / NPN161 (GM PN). VALID FOR CARBON ONLY.
NOTE: THIS NEW HYBRID CONNECTION WILL REPLACE THE INLINE CONNECTOR WITH THE LIFTGATE EXT. CONTEMPLATING THE INSERTION OF THE COAXIAL CABLE.</t>
  </si>
  <si>
    <t>CARBON</t>
  </si>
  <si>
    <t>CR-0200189-00</t>
  </si>
  <si>
    <t>Projeto: SPIN – SORP - MY2025
Família: ENGINE LI3
Tipo: WLL/TLL
Número: ISS-054537
Descrição: 1. WLL application as requested by the process team.
Project Affected - SPIN- ENGINE LI3- 52167983-MY25-SORP+90</t>
  </si>
  <si>
    <t>Sem necessidade de investimento para engenharia corte/lead prep.
Caso a alteração de comprimento seja stock use, não teremos scrap.
Scrap: R$ 2640,39</t>
  </si>
  <si>
    <t>Projeto: SPIN – SORP - MY2025
Família: IP WH
Tipo: WLL/TLL
Número: ISS-055159
Descrição: 1. WLL - REV10 - ISS-055159, 2. Change due to implementation of TWO4690128 - CR-0180705-01, 3. Project Affected - SPIN - IP - 52167961 - MY25 - RUNNING CHANGE</t>
  </si>
  <si>
    <t>CR-0200663-00</t>
  </si>
  <si>
    <t>Sem necessidade de investimento para engenharia corte/lead prep.
Caso a alteração de comprimento seja stock use, não teremos scrap.
Scrap: R$ 184,44</t>
  </si>
  <si>
    <t>Projeto: GEM – MVBns - MY2026
Família: BODY
Tipo: Cost Reduction
Número: TBD
Descrição: 1. COST REDUCTION - WLL and TUBE</t>
  </si>
  <si>
    <t>CR-0200876-00</t>
  </si>
  <si>
    <t>Sem necessidade de investimento para engenharia corte/lead prep.
Sem scrap de cabos devido ao detla ser de 5 mm.
Scrap de tubos: R$ 82,10</t>
  </si>
  <si>
    <t>CR-0199109-00</t>
  </si>
  <si>
    <t>Projeto: SPIN – MVBs - MY2025
Família: BODY
Tipo: Cost Reduction
Número: 52167938
Descrição: 1. ISS-054614 - CTO PROPOSAL_BODY WRG HRN SPIN - CTO PROPOSAL_BODY WRG HRN SPIN
Reason: Remove circuit 1050BB and 1050BE, these circuits not affected schematic and logical
Function: Ground.</t>
  </si>
  <si>
    <t>Sem necessidade de investimento para engenharia corte/lead prep.
Scrap total: R$ 698,67
     &gt; Scrap de Cabos diretos: R$ 636,57
     &gt; Scrap de Multicrimp: R$ 62,10</t>
  </si>
  <si>
    <t>Projeto: GEM – PTB-M - MY2027
Família: Engine - 52182381
Tipo: PECR
Número: TBD
Descrição: 1. Harness Family – 52182381 
Change description – Add wire 5640 (terminals and seal) for RPO &amp;MM1-KL9.</t>
  </si>
  <si>
    <t>CR-0201116-00</t>
  </si>
  <si>
    <t xml:space="preserve">Projeto: GEM – MVBns - MY2026
Família: REAR BUMPER
Tipo: PECR
Número: 4731021
Descrição: 1. GEM - MY27 AND MY27 MBVNS - REAR BUMPER 52189102 / 52189103 - ECR4731021 - ISS-054228 / ISS-054227
REAR BUMPER WH 
COST REDUCTION PROPOSAL - VCD(2)
A.2.1) REPLACE CONNECTOR FROM: 13590423 TO: 2480798-1 (TE PN) / NPN158 (GM PN). VALID FOR B-CAR / CARBON
A.2.2) REMOVE CONNECTOR PN: 13517379 (COAX CABLE FOR REAR VIEW CAMERA &amp;UVB). NOTE: COAX CABLE TO BE RELOCATED TO NEW CONNECTOR 2480798-1 (TE PN) / NPN158 (GM PN). VALID FOR B-CAR ONLY (5HB / 4NB).
WRONG TAPE SPECIFICATION IN 3D MATH MODEL - VCD(5)
B.1) REAR BUMPER WH - WRONG TAPE SPECIFICATION IN 3D MATH MODEL
B.1) REAR BUMPER WH - CHANGE FINISHING OF ANALOGIC / DIGITAL REAR VIEW CAMERA BRANCHES FROM: PVC TAPE TO ACRYLIC TAPE (D-LEVEL ABRASION). VALID FOR 5HB / 4NB
CHANGE FROM PN E15837000 TO PN E15837200
NOTE: THIS NEW HYBRID CONNECTION WILL REPLACE THE INLINE CONNECTOR WITH THE BODY, CONTEMPLATING THE INSERTION OF THE COAXIAL CABLE.              </t>
  </si>
  <si>
    <t>CR-0198638-01</t>
  </si>
  <si>
    <t>Considerar os investimento abaixo para Corte e lead Prep. 
Análise realizada base Delta cut , implementação condicionada a aprovação dos testes conforme normas especificadas.
2 Validações de Uscar21;
E09074100 | 0.35, circuitos: 2374I,2374J,2375A,2375B,2376A,2376B,2378A,2378B,2379I,2379J,3156,3157,9C
E09074100 | 0.50, circuitos: 3350E
2 aplicadores.
E09074100  =  2 aplicadores, devido ao volume.1
Scrap de amostras: R$ 100</t>
  </si>
  <si>
    <t>Projeto: GEM – MVBns - MY2027.5
Família: BODY HB5
Tipo: Issue
Número: 054408
Descrição: 1. 1) GEM 
2) MY27.5 MVBNS 
3) ISS-054408 
4) BODY 5HB
5) COST STUDY REQUESTED BY GM</t>
  </si>
  <si>
    <t>CR-0198438-00</t>
  </si>
  <si>
    <t>Projeto: GEM – MVBns - MY2027.5
Família: BODY NB4
Tipo: Issue
Número: 054409
Descrição: 1. 1) GEM 
2) MY27.5 MVBNS 
3) ISS-054409
4) BODY NB4
5) COST STUDY REQUESTED BY GM</t>
  </si>
  <si>
    <t>CR-0198500-00</t>
  </si>
  <si>
    <t>CR-0201372-00</t>
  </si>
  <si>
    <t>Projeto: SPIN – MVBs - MY2026
Família: FRT DOORS
Tipo: 
Número: 
Descrição: 1. ECR_4746934_VCD SPIN_G1NC PCCR 18418_18856_17504_18998_MY26 WIRING HARNESSES - FRT DOOR
52167941 and 52167991
Change Proposal:
1) PNs released to MY25 will be extended to MY26 
Prints affected: 
52167941 - FRT DOOR LEFT
52167991 - FRT DOOR RIGHT
DRBFM/DFMEA attached on VCD and CR.</t>
  </si>
  <si>
    <t>CR-0198746-00</t>
  </si>
  <si>
    <t>CR-0201409-00</t>
  </si>
  <si>
    <t>CR-0201406-00</t>
  </si>
  <si>
    <t>CR-0198779-00</t>
  </si>
  <si>
    <t>Informações do Projeto:
Projeto: GEM
Família: REAR BUMPER
Tipo: PECR
Número: 4731021
Descrição:
1. CARBON - MY27 AND MY27 APPV - REAR BUMPER 52186441 - ECR4731021 - ISS-055420</t>
  </si>
  <si>
    <t>A CR esta reprovada pela Engenharia de Corte e Lead Prep porque o terminal com alimentação à direita (Strip Form - Right Payoff) – E09074100 – é incompatíveis com as máquinas disponíveis.
Terminal.
E09074100</t>
  </si>
  <si>
    <t>Projeto: VS30
Família: BODY
Tipo: Issue
Número: ISS-055434
Descrição:
1. Affected all BODY WIRE HARNESS, 2. Addition of spot tape on branches with potential risk of trough crushing. Request from Process Engineering.</t>
  </si>
  <si>
    <t>CR-0201391-00</t>
  </si>
  <si>
    <t>Projeto: GEM
Família: IP WH
Tipo: PCR
Número: ISS-054373
Descrição:
1. 1) GEM
2) MY27.5 MVBNS
3) ISS-054373
4) IP
5) COST STUDY REQUESTED BY GM</t>
  </si>
  <si>
    <t>Análise realizada base Delta cut , implementação condicionada a aprovação dos testes conforme normas especificadas.
2 Validações de Uscar21;
E26982100 | 0.50, circuitos: 5019A,5020A,5021A,5022A
E00006853 | 0.50, circuitos: 4986C,4987C
1 aplicadore.
E26982100  =  1 aplicador novo.
E00006853 = 1 aplicador.
	Temos um aplicador porém o mesmo é usado na SPIN, em 95% do tempo.
	Aplicador já solicitado CR-0198084-00 (O mesmo esta condicionado a entrada dessa CR).
Scrap de amostras: R$ 100</t>
  </si>
  <si>
    <t>CR-0198518-01</t>
  </si>
  <si>
    <t>Projeto: GEM
Família: IP WH
Tipo: PECR
Número: 4731021
Descrição:
1. 1) GEM
2) MY26 MVBNS
3) P-CR 4731021
4) IP
5) VCD 10/12/14
6) A.1)IP WH - Backlight SWC-RH (Fuse F40-IEC) - change logic
    B.1) Body WH / IP WH - Replace coverings on the indicated areas of IP WH / Body WH
    C 1) Proliferate WHs according to PCCRs 18277 / 18856 / 18764 request.
=&gt; PCCR18277 - replace UD7 by UVC (B-Car - LT vehicles) / add T83 for Carbon RS Export
=&gt; PCCR18856 - remove U27 (Carbon &amp; B-Car)
=&gt; PCCR18764 - remove KL9 (B-Car only)
     D 1)IP WH -  Update wire gauge of DC-DC Converter circuits 4054 / 4055 from 0.35mm2 to 0.50 mm2 as shown in markup (electrical diagram already updated).</t>
  </si>
  <si>
    <t>CR-0201410-00</t>
  </si>
  <si>
    <t>Sem necessidade de investimento para engenharia corte/lead prep.
Scrap: R$ 154,48</t>
  </si>
  <si>
    <t>Projeto: SPIN – SOP - MY2026.5
Família: BODY
Tipo: PECR
Número: 4722297
Descrição: 1. ISS-055311 - ECR 4722297_SPIN MY25_Body WH Improvements_Clip_Sleeve_Adjustment - SPIN MY25/26/27 – Body WH Improvements
PROPOSED CHANGE (Technical Changes)
1) Replace attachment clip, From: 84112527 To: 26342296 (Slide  1)
2) Increase 30mm on the S181_X1 SW Park Brake branch (Slide 3)
For item 1 already antecipated on TWO 4742348 (CR-0192978-00)
For item 2 already antecipated on TWO 4765980 (CR-0200546-00)
DRBFM/DFMEA attached on VCD sent by Customer</t>
  </si>
  <si>
    <t>CR-0198084-02</t>
  </si>
  <si>
    <t>Projeto: GEM – MVBns - MY2026
Família: BODY
Tipo: PECR
Número: 4731021
Descrição: 1. 1) GEM
2) MY26 MVBNS
3) P-CR 4731021
4) BODY  NB4
5) VCD 1/ 2 / 6 / 7 / 8 / 11 / 12 /14
6) A.1) REPLACE CURRENT INLINE BETWEEN BODY WH AND FRONT BUMPER WH AS PER DESCRIBED BELOW:
=&gt; FRONT BUMPER WH - REPLACE CONNECTOR FROM: 13590423 TO: 2480798-1 (TE PN) / NPN158 (GM PN)
=&gt; BODY WH - REPLACE CONNECTOR FROM: 13590422 TO: 2480797-1 (TE PN) / GM PN NPN159
A.2) REPLACE CURRENT INLINE BETWEEN BODY WH AND REAR BUMPER WH AS PER DESCRIBED BELOW:
=&gt; REAR BUMPER WH: 
A.2.1) REPLACE CONNECTOR FROM: 13590423 TO: 2480798-1 (TE PN) / NPN158 (GM PN). VALID FOR B-CAR / CARBON
A.2.2) REMOVE CONNECTOR PN: 13517379 (COAX CABLE FOR REAR VIEW CAMERA &amp;UVB). NOTE: COAX CABLE TO BE RELOCATED TO NEW CONNECTOR 2480798-1 (TE PN) / NPN158 (GM PN). VALID FOR B-CAR ONLY (5HB / 4NB).
=&gt; BODY WH: 
A.2.3) REPLACE CONNECTOR FROM: 13590422 TO: 2480797-1 (TE PN) / NPN159 (GM PN)
A.2.4) REMOVE CONNECTOR PN: 13517364 (COAX CABLE FOR REAR VIEW CAMERA &amp;UVB). NOTE: COAX CABLE TO BE RELOCATED TO NEW CONNECTOR 2480797-1 (TE PN) / NPN5 (GM PN). VALID FOR B-CAR ONLY (5HB / 4NB).
C.1) Body WH - replace finishing on main branch near to dash grommet LH from: TD-CDA-ABA-BK to: 51036 PV5 in order to improve bundle flexibility. See list of homologated tape suppliers for this new condition. Relocate Splice SP625_W53_X1, used only in vehicles with KL9 option, from: 84mm from dash grommet LH to: the same position of the splice SP2700_BUN124_2_X1 (used only in vehicles with LIJ option) - 50mm from UEC branch breakout. Both splices can be kept in the same position because they are applied for different vehicles.
C.2) Body WH - Connector Bulletin #193 - Replace connector PN: 13516031 by PN: 13545489
C.3) Body WH - replace current clip used on connector X16X1003_X1 from: 13300763 to: 13594445 (Hellermann Tyton PN: 151-01108).
F.1) Body WH / Engine WH - Create a new routing as described below:
Body WH - relocate UEC branch breakout from main branch to side blinker LH branch.
Engine WH - relocate UEC branch breakout to 30mm from the clip on the main branch and change UEC branch dimension to 135mm.
G.1) Body WH / IP WH - Replace coverings on the indicated areas of IP WH / Body WH
I.1) Proliferate WHs according to PCCRs 18277 / 18856 / 18764 request.
=&gt; PCCR18277 - replace UD7 by UVC (B-Car - LT vehicles) / add T83 for Carbon RS Expor
Please check the severity as per attached VCD</t>
  </si>
  <si>
    <t>CR-0178903-01</t>
  </si>
  <si>
    <t>Projeto: SPIN – SORP - MY2025
Família: ALL FAMILIES
Tipo: Issue
Número: ISS-049128
Descrição: 1. 1. Dummy application as requested by the Process team.
Affected Project - SPIN - ALL FAMILIES - MY25 - SORP.</t>
  </si>
  <si>
    <t>Projeto: SPIN – SOP - MY2026.5
Família: BODY
Tipo: PECR
Número: 4722297
Descrição: 1. ISS-055343 - ECR 4722297_SPIN MY25_Body WH Improvements_Clip_Sleeve_Adjustment - SPIN MY25/26/27 – Body WH Improvements
PROPOSED CHANGE (CTO Changes)
1) Replace Sleeve tape From: FM to Delfingen (Cost Reduction) - Slide 2)
From: E37591900 To: E17577900
From: E37592000 To: E43200700
From: 329936549 To: E07549700
See CR below for initial idea.
see CR-0162163-00 used to quote initial idea.
see CR-0190816-00 used to TWO 4722314 (same content)
DRBFM/DFMEA attached on VCD sent by Customer</t>
  </si>
  <si>
    <t xml:space="preserve">
Projeto: GEM – MVBns - MY2026
Família: LIFTGATE
Tipo: PECR
Número: 4731021
Descrição: 1. GEM - MY27 AND MY27 MVBNS - LIFTGATE - ECR4731021 - ISS-055420
LIFT GATE WH
A.4.3) REPLACE CONNECTOR FROM: 96947014 TO: 2480796-1 (TE PN) / NPN160 (GM PN). VALID FOR 5HB AND CARBON.
NOTE: THIS NEW HYBRID CONNECTION WILL REPLACE THE INLINE CONN</t>
  </si>
  <si>
    <t>3 validações USCAR 21:
65766-0.5-32025Y3B8
65766-0.5-E02810400
65860-0.5-E02810400
1  aplicador:
E02810400
Scrap de amostras: R$ 250</t>
  </si>
  <si>
    <t>30/11/2024
10/12/2024</t>
  </si>
  <si>
    <t>10:19:00
10:32:00</t>
  </si>
  <si>
    <r>
      <rPr>
        <b/>
        <sz val="11"/>
        <color theme="1"/>
        <rFont val="Calibri"/>
        <family val="2"/>
        <scheme val="minor"/>
      </rPr>
      <t>30-11-2024</t>
    </r>
    <r>
      <rPr>
        <sz val="11"/>
        <color theme="1"/>
        <rFont val="Calibri"/>
        <family val="2"/>
        <scheme val="minor"/>
      </rPr>
      <t xml:space="preserve">
A CR esta reprovada pela Engenharia de Corte e Lead Prep porque o terminal 320298243 não aplica para bitola 1.0 nos circuitos 1240AS,3350AK,393J.
Terminal:  320298243 
Range: 0.30 to 0.60
Esse terminal 320298243 não faz parte da alteração dessa CR, porém foi apontado esse problema na análise da CR CR-0181647-03.
</t>
    </r>
    <r>
      <rPr>
        <b/>
        <sz val="11"/>
        <color theme="1"/>
        <rFont val="Calibri"/>
        <family val="2"/>
        <scheme val="minor"/>
      </rPr>
      <t>10-12-2024</t>
    </r>
    <r>
      <rPr>
        <sz val="11"/>
        <color theme="1"/>
        <rFont val="Calibri"/>
        <family val="2"/>
        <scheme val="minor"/>
      </rPr>
      <t xml:space="preserve">
Análise realizada com base no 52186439_CR-0181647-03_CHARTED CUTSHEET.
Sem necessidade de investimento para Engenharia de corte e lead prep, segue os comentários abaixo.
•	1 validação de USCAR21:
o	E05507000|1.0|-|3350AK,393J,1240AS
	- Item foi mencionado em 1 CR's, sendo a última CR-0172035-01 no dia 2024-03-05(validação condicionada a essa CR)
•	Aplicares
o	Item: E05507000
	Item foi mencionado em 1 CR's, sendo a última CR-0172035-01 no dia 2024-03-05(compra do aplicador condicionada a essa CR)
•	1 Aplicador Mecal modelo MRSP1 para terminal E05507000</t>
    </r>
  </si>
  <si>
    <t>02/12/2024
10/12/2024</t>
  </si>
  <si>
    <t>16:44:00
16:33:00</t>
  </si>
  <si>
    <t>02/12.
A CR esta reprovada pela Engenharia de Corte e Lead Prep porque o terminal com alimentação à direita (Strip Form - Right Payoff) – E26117200 – é incompatíveis com as máquinas disponíveis.
Terminal.
E26117200
10/12.
CR aprovada, segue os investimento para o atendimento da mesma.
•	2 validações de USCAR21:
	E03428900|2.5|-|aplicado no circuitos: 293,3350E
	- Item foi mencionado em 2 CR's, sendo a última CR-0198358-00 no dia 2024-11-07(Se essa CR for aprovada, não será necessário inventimento).
•	&gt; o	E03428900	163306087 | 2,5 | 65769 (3350E,293,3350A)
	E26117200|1.0|-| aplicado no circuitos: 1240,393
•	Compra de um miniaplicador.
	26117200|1.0|-| aplicado no circuitos: 1240,393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</si>
</sst>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quot;\ * #,##0.00_-;\-&quot;R$&quot;\ * #,##0.00_-;_-&quot;R$&quot;\ * &quot;-&quot;??_-;_-@_-"/>
    <numFmt numFmtId="43" formatCode="_-* #,##0.00_-;\-* #,##0.00_-;_-* &quot;-&quot;??_-;_-@_-"/>
    <numFmt numFmtId="164" formatCode="_-[$R$-416]\ * #,##0.00_-;\-[$R$-416]\ * #,##0.00_-;_-[$R$-416]\ * &quot;-&quot;??_-;_-@_-"/>
    <numFmt numFmtId="165" formatCode="_-* #,##0_-;\-* #,##0_-;_-* &quot;-&quot;??_-;_-@_-"/>
    <numFmt numFmtId="166" formatCode="0.0"/>
    <numFmt numFmtId="167" formatCode="_-* #,##0.0_-;\-* #,##0.0_-;_-* &quot;-&quot;??_-;_-@_-"/>
    <numFmt numFmtId="168" formatCode="0.000"/>
  </numFmts>
  <fonts count="36" x14ac:knownFonts="1">
    <font>
      <sz val="11"/>
      <color theme="1"/>
      <name val="Calibri"/>
      <family val="2"/>
      <scheme val="minor"/>
    </font>
    <font>
      <b/>
      <sz val="11"/>
      <color theme="1"/>
      <name val="Calibri"/>
      <family val="2"/>
      <scheme val="minor"/>
    </font>
    <font>
      <sz val="10"/>
      <color rgb="FF000000"/>
      <name val="Segoe UI"/>
      <family val="2"/>
    </font>
    <font>
      <sz val="12"/>
      <color theme="1"/>
      <name val="Times New Roman"/>
      <family val="1"/>
    </font>
    <font>
      <sz val="8"/>
      <name val="Calibri"/>
      <family val="2"/>
      <scheme val="minor"/>
    </font>
    <font>
      <sz val="11"/>
      <color theme="0"/>
      <name val="Calibri"/>
      <family val="2"/>
      <scheme val="minor"/>
    </font>
    <font>
      <strike/>
      <sz val="11"/>
      <color theme="1"/>
      <name val="Calibri"/>
      <family val="2"/>
      <scheme val="minor"/>
    </font>
    <font>
      <sz val="11"/>
      <color rgb="FF000000"/>
      <name val="Calibri"/>
      <family val="2"/>
    </font>
    <font>
      <sz val="12"/>
      <color theme="1"/>
      <name val="Calibri"/>
      <family val="2"/>
      <scheme val="minor"/>
    </font>
    <font>
      <sz val="8"/>
      <color theme="1"/>
      <name val="Calibri"/>
      <family val="2"/>
      <scheme val="minor"/>
    </font>
    <font>
      <sz val="11"/>
      <name val="Calibri"/>
      <family val="2"/>
      <scheme val="minor"/>
    </font>
    <font>
      <sz val="10"/>
      <color theme="1"/>
      <name val="Calibri"/>
      <family val="2"/>
      <scheme val="minor"/>
    </font>
    <font>
      <u/>
      <sz val="11"/>
      <color theme="1"/>
      <name val="Calibri"/>
      <family val="2"/>
      <scheme val="minor"/>
    </font>
    <font>
      <sz val="11"/>
      <color rgb="FFFF0000"/>
      <name val="Calibri"/>
      <family val="2"/>
      <scheme val="minor"/>
    </font>
    <font>
      <b/>
      <sz val="11"/>
      <name val="Calibri"/>
      <family val="2"/>
      <scheme val="minor"/>
    </font>
    <font>
      <b/>
      <sz val="16"/>
      <color theme="1"/>
      <name val="Calibri"/>
      <family val="2"/>
      <scheme val="minor"/>
    </font>
    <font>
      <sz val="5"/>
      <color theme="1"/>
      <name val="Calibri"/>
      <family val="2"/>
      <scheme val="minor"/>
    </font>
    <font>
      <b/>
      <sz val="10"/>
      <color theme="1"/>
      <name val="Calibri"/>
      <family val="2"/>
      <scheme val="minor"/>
    </font>
    <font>
      <sz val="11"/>
      <color theme="1"/>
      <name val="Calibri"/>
      <family val="2"/>
      <scheme val="minor"/>
    </font>
    <font>
      <strike/>
      <sz val="11"/>
      <color indexed="8"/>
      <name val="Calibri"/>
      <family val="2"/>
    </font>
    <font>
      <b/>
      <sz val="11"/>
      <color indexed="8"/>
      <name val="Calibri"/>
      <family val="2"/>
    </font>
    <font>
      <strike/>
      <sz val="11"/>
      <color rgb="FF000000"/>
      <name val="Calibri"/>
      <family val="2"/>
    </font>
    <font>
      <strike/>
      <sz val="10"/>
      <name val="Calibri"/>
      <family val="2"/>
    </font>
    <font>
      <sz val="10"/>
      <name val="Calibri"/>
      <family val="2"/>
    </font>
    <font>
      <sz val="11"/>
      <color indexed="8"/>
      <name val="Calibri"/>
      <family val="2"/>
    </font>
    <font>
      <strike/>
      <sz val="11"/>
      <name val="Calibri"/>
      <family val="2"/>
    </font>
    <font>
      <sz val="11"/>
      <name val="Calibri"/>
      <family val="2"/>
    </font>
    <font>
      <b/>
      <sz val="11"/>
      <name val="Calibri"/>
      <family val="2"/>
    </font>
    <font>
      <sz val="10"/>
      <name val="Calibri"/>
      <family val="2"/>
      <scheme val="minor"/>
    </font>
    <font>
      <sz val="11"/>
      <color theme="1"/>
      <name val="Segoe UI"/>
      <family val="2"/>
    </font>
    <font>
      <i/>
      <sz val="11"/>
      <color theme="1"/>
      <name val="Calibri"/>
      <family val="2"/>
      <scheme val="minor"/>
    </font>
    <font>
      <sz val="11"/>
      <color rgb="FF000000"/>
      <name val="Calibri"/>
      <family val="2"/>
      <scheme val="minor"/>
    </font>
    <font>
      <sz val="11"/>
      <color theme="1"/>
      <name val="Calibri"/>
      <family val="2"/>
    </font>
    <font>
      <b/>
      <sz val="11"/>
      <color rgb="FF000000"/>
      <name val="Calibri"/>
      <family val="2"/>
    </font>
    <font>
      <b/>
      <sz val="11"/>
      <color rgb="FFFF0000"/>
      <name val="Calibri"/>
      <family val="2"/>
    </font>
    <font>
      <b/>
      <sz val="11"/>
      <color rgb="FF0000FF"/>
      <name val="Calibri"/>
      <family val="2"/>
    </font>
  </fonts>
  <fills count="1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2"/>
        <bgColor indexed="64"/>
      </patternFill>
    </fill>
    <fill>
      <patternFill patternType="solid">
        <fgColor rgb="FF92D050"/>
        <bgColor indexed="64"/>
      </patternFill>
    </fill>
    <fill>
      <patternFill patternType="solid">
        <fgColor theme="0" tint="-0.34998626667073579"/>
        <bgColor indexed="64"/>
      </patternFill>
    </fill>
    <fill>
      <patternFill patternType="solid">
        <fgColor rgb="FFF0F0F0"/>
        <bgColor indexed="64"/>
      </patternFill>
    </fill>
    <fill>
      <patternFill patternType="solid">
        <fgColor indexed="22"/>
      </patternFill>
    </fill>
    <fill>
      <patternFill patternType="solid">
        <fgColor rgb="FF00CC00"/>
      </patternFill>
    </fill>
    <fill>
      <patternFill patternType="solid">
        <fgColor theme="9" tint="0.79998168889431442"/>
        <bgColor indexed="64"/>
      </patternFill>
    </fill>
    <fill>
      <patternFill patternType="solid">
        <fgColor rgb="FFFFC000"/>
        <bgColor indexed="64"/>
      </patternFill>
    </fill>
    <fill>
      <patternFill patternType="solid">
        <fgColor theme="9" tint="0.59999389629810485"/>
        <bgColor indexed="64"/>
      </patternFill>
    </fill>
    <fill>
      <patternFill patternType="solid">
        <fgColor theme="0" tint="-0.499984740745262"/>
        <bgColor indexed="64"/>
      </patternFill>
    </fill>
    <fill>
      <patternFill patternType="solid">
        <fgColor rgb="FF00B050"/>
        <bgColor indexed="64"/>
      </patternFill>
    </fill>
    <fill>
      <patternFill patternType="solid">
        <fgColor rgb="FF00B0F0"/>
        <bgColor indexed="64"/>
      </patternFill>
    </fill>
  </fills>
  <borders count="19">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top style="thin">
        <color indexed="8"/>
      </top>
      <bottom style="thin">
        <color indexed="8"/>
      </bottom>
      <diagonal/>
    </border>
    <border>
      <left style="thin">
        <color indexed="8"/>
      </left>
      <right style="thin">
        <color indexed="8"/>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rgb="FF000000"/>
      </right>
      <top/>
      <bottom style="medium">
        <color rgb="FF000000"/>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43" fontId="18" fillId="0" borderId="0" applyFont="0" applyFill="0" applyBorder="0" applyAlignment="0" applyProtection="0"/>
    <xf numFmtId="44" fontId="18" fillId="0" borderId="0" applyFont="0" applyFill="0" applyBorder="0" applyAlignment="0" applyProtection="0"/>
  </cellStyleXfs>
  <cellXfs count="303">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20" fontId="0" fillId="0" borderId="0" xfId="0" applyNumberFormat="1" applyAlignment="1">
      <alignment horizontal="center" vertical="center"/>
    </xf>
    <xf numFmtId="0" fontId="0" fillId="2" borderId="0" xfId="0" applyFill="1" applyAlignment="1">
      <alignment horizontal="center" vertical="center"/>
    </xf>
    <xf numFmtId="14" fontId="0" fillId="2" borderId="0" xfId="0" applyNumberFormat="1" applyFill="1" applyAlignment="1">
      <alignment horizontal="center" vertical="center"/>
    </xf>
    <xf numFmtId="20" fontId="0" fillId="2" borderId="0" xfId="0" applyNumberFormat="1" applyFill="1" applyAlignment="1">
      <alignment horizontal="center" vertical="center"/>
    </xf>
    <xf numFmtId="0" fontId="0" fillId="3" borderId="0" xfId="0" applyFill="1" applyAlignment="1">
      <alignment horizontal="center" vertical="center"/>
    </xf>
    <xf numFmtId="14" fontId="0" fillId="3" borderId="0" xfId="0" applyNumberFormat="1" applyFill="1" applyAlignment="1">
      <alignment horizontal="center" vertical="center"/>
    </xf>
    <xf numFmtId="20" fontId="0" fillId="3" borderId="0" xfId="0" applyNumberFormat="1" applyFill="1" applyAlignment="1">
      <alignment horizontal="center" vertical="center"/>
    </xf>
    <xf numFmtId="0" fontId="0" fillId="0" borderId="0" xfId="0" applyAlignment="1">
      <alignment horizontal="left" vertical="center" wrapText="1"/>
    </xf>
    <xf numFmtId="0" fontId="0" fillId="2" borderId="0" xfId="0" applyFill="1" applyAlignment="1">
      <alignment horizontal="left" vertical="center" wrapText="1"/>
    </xf>
    <xf numFmtId="20" fontId="0" fillId="0" borderId="0" xfId="0" applyNumberFormat="1" applyAlignment="1">
      <alignment horizontal="center"/>
    </xf>
    <xf numFmtId="0" fontId="3" fillId="0" borderId="0" xfId="0" applyFont="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3" fillId="2" borderId="0" xfId="0" applyFont="1" applyFill="1" applyAlignment="1">
      <alignment horizontal="center" vertical="center" wrapText="1"/>
    </xf>
    <xf numFmtId="0" fontId="1" fillId="0" borderId="3" xfId="0" applyFont="1" applyBorder="1" applyAlignment="1">
      <alignment horizontal="center" vertical="center" wrapText="1"/>
    </xf>
    <xf numFmtId="0" fontId="0" fillId="0" borderId="0" xfId="0" applyAlignment="1">
      <alignment vertical="center" wrapText="1"/>
    </xf>
    <xf numFmtId="0" fontId="0" fillId="3" borderId="0" xfId="0" applyFill="1" applyAlignment="1">
      <alignment horizontal="left" vertical="center" wrapText="1"/>
    </xf>
    <xf numFmtId="0" fontId="0" fillId="0" borderId="0" xfId="0" applyAlignment="1">
      <alignment horizontal="center" vertical="center" wrapText="1"/>
    </xf>
    <xf numFmtId="0" fontId="0" fillId="3" borderId="0" xfId="0" applyFill="1" applyAlignment="1">
      <alignment horizontal="center" vertical="center" wrapText="1"/>
    </xf>
    <xf numFmtId="0" fontId="0" fillId="2" borderId="0" xfId="0" applyFill="1" applyAlignment="1">
      <alignment horizontal="center" vertical="center" wrapText="1"/>
    </xf>
    <xf numFmtId="0" fontId="0" fillId="0" borderId="0" xfId="0" applyAlignment="1">
      <alignment horizontal="left" vertical="center"/>
    </xf>
    <xf numFmtId="0" fontId="5" fillId="3" borderId="0" xfId="0" applyFont="1" applyFill="1" applyAlignment="1">
      <alignment horizontal="center" vertical="center"/>
    </xf>
    <xf numFmtId="14" fontId="5" fillId="3" borderId="0" xfId="0" applyNumberFormat="1" applyFont="1" applyFill="1" applyAlignment="1">
      <alignment horizontal="center" vertical="center"/>
    </xf>
    <xf numFmtId="20" fontId="5" fillId="3" borderId="0" xfId="0" applyNumberFormat="1" applyFont="1" applyFill="1" applyAlignment="1">
      <alignment horizontal="center" vertical="center"/>
    </xf>
    <xf numFmtId="20" fontId="0" fillId="0" borderId="0" xfId="0" applyNumberFormat="1" applyAlignment="1">
      <alignment horizontal="center" vertical="center" wrapText="1"/>
    </xf>
    <xf numFmtId="0" fontId="0" fillId="0" borderId="4" xfId="0" applyBorder="1" applyAlignment="1">
      <alignment horizontal="center" vertical="center"/>
    </xf>
    <xf numFmtId="14" fontId="0" fillId="0" borderId="4" xfId="0" applyNumberFormat="1" applyBorder="1" applyAlignment="1">
      <alignment horizontal="center" vertical="center"/>
    </xf>
    <xf numFmtId="20" fontId="0" fillId="0" borderId="4" xfId="0" applyNumberFormat="1" applyBorder="1" applyAlignment="1">
      <alignment horizontal="center" vertical="center"/>
    </xf>
    <xf numFmtId="14" fontId="0" fillId="0" borderId="4" xfId="0" applyNumberFormat="1" applyBorder="1" applyAlignment="1">
      <alignment horizontal="center" vertical="center" wrapText="1"/>
    </xf>
    <xf numFmtId="20" fontId="0" fillId="0" borderId="4" xfId="0" applyNumberFormat="1" applyBorder="1" applyAlignment="1">
      <alignment horizontal="center" vertical="center" wrapText="1"/>
    </xf>
    <xf numFmtId="14" fontId="0" fillId="0" borderId="0" xfId="0" applyNumberFormat="1" applyAlignment="1">
      <alignment horizontal="center" vertical="center" wrapText="1"/>
    </xf>
    <xf numFmtId="0" fontId="0" fillId="4" borderId="0" xfId="0" applyFill="1" applyAlignment="1">
      <alignment horizontal="center" vertical="center"/>
    </xf>
    <xf numFmtId="14" fontId="0" fillId="4" borderId="0" xfId="0" applyNumberFormat="1" applyFill="1" applyAlignment="1">
      <alignment horizontal="center" vertical="center"/>
    </xf>
    <xf numFmtId="20" fontId="0" fillId="4" borderId="0" xfId="0" applyNumberFormat="1" applyFill="1" applyAlignment="1">
      <alignment horizontal="center" vertical="center"/>
    </xf>
    <xf numFmtId="0" fontId="0" fillId="0" borderId="0" xfId="0"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4" xfId="0" applyBorder="1" applyAlignment="1">
      <alignment horizontal="center" vertical="center" wrapText="1"/>
    </xf>
    <xf numFmtId="0" fontId="1" fillId="0" borderId="0" xfId="0" applyFont="1" applyAlignment="1">
      <alignment horizontal="center" vertical="center" wrapText="1"/>
    </xf>
    <xf numFmtId="0" fontId="0" fillId="0" borderId="4" xfId="0" applyBorder="1" applyAlignment="1">
      <alignment horizontal="center"/>
    </xf>
    <xf numFmtId="0" fontId="1" fillId="0" borderId="0" xfId="0" applyFont="1" applyAlignment="1">
      <alignment vertical="center"/>
    </xf>
    <xf numFmtId="0" fontId="1" fillId="0" borderId="0" xfId="0" applyFont="1" applyAlignment="1">
      <alignment vertical="center" wrapText="1"/>
    </xf>
    <xf numFmtId="0" fontId="0" fillId="0" borderId="0" xfId="0" applyNumberFormat="1" applyAlignment="1">
      <alignment horizontal="center"/>
    </xf>
    <xf numFmtId="0" fontId="0" fillId="0" borderId="0" xfId="0" applyAlignment="1">
      <alignment horizontal="center"/>
    </xf>
    <xf numFmtId="0" fontId="0" fillId="0" borderId="0" xfId="0" applyBorder="1"/>
    <xf numFmtId="0" fontId="0" fillId="0" borderId="0" xfId="0" applyBorder="1" applyAlignment="1">
      <alignment horizontal="center" vertical="center"/>
    </xf>
    <xf numFmtId="0" fontId="0" fillId="0" borderId="4" xfId="0" applyNumberFormat="1" applyBorder="1" applyAlignment="1">
      <alignment horizontal="center" vertical="center"/>
    </xf>
    <xf numFmtId="0" fontId="0" fillId="0" borderId="0" xfId="0" applyBorder="1" applyAlignment="1">
      <alignment horizontal="center"/>
    </xf>
    <xf numFmtId="0" fontId="0" fillId="0" borderId="4" xfId="0" applyBorder="1" applyAlignment="1">
      <alignment vertical="center"/>
    </xf>
    <xf numFmtId="0" fontId="0" fillId="2" borderId="4" xfId="0" applyFill="1" applyBorder="1" applyAlignment="1">
      <alignment horizontal="center"/>
    </xf>
    <xf numFmtId="0" fontId="0" fillId="2" borderId="4" xfId="0" applyFill="1" applyBorder="1" applyAlignment="1">
      <alignment horizontal="center" vertical="center"/>
    </xf>
    <xf numFmtId="0" fontId="0" fillId="0" borderId="5" xfId="0" applyBorder="1" applyAlignment="1">
      <alignment horizontal="center" vertical="center" textRotation="90"/>
    </xf>
    <xf numFmtId="0" fontId="0" fillId="6" borderId="0" xfId="0" applyFill="1" applyAlignment="1">
      <alignment horizontal="center" vertical="center"/>
    </xf>
    <xf numFmtId="14" fontId="0" fillId="6" borderId="0" xfId="0" applyNumberFormat="1" applyFill="1" applyAlignment="1">
      <alignment horizontal="center" vertical="center"/>
    </xf>
    <xf numFmtId="20" fontId="0" fillId="6" borderId="0" xfId="0" applyNumberFormat="1" applyFill="1" applyAlignment="1">
      <alignment horizontal="center" vertical="center"/>
    </xf>
    <xf numFmtId="20" fontId="0" fillId="6" borderId="0" xfId="0" applyNumberFormat="1" applyFill="1" applyAlignment="1">
      <alignment horizontal="center" vertical="center" wrapText="1"/>
    </xf>
    <xf numFmtId="14" fontId="0" fillId="6" borderId="0" xfId="0" applyNumberFormat="1" applyFill="1" applyAlignment="1">
      <alignment horizontal="center" vertical="center" wrapText="1"/>
    </xf>
    <xf numFmtId="46" fontId="0" fillId="0" borderId="0" xfId="0" applyNumberFormat="1" applyAlignment="1">
      <alignment horizontal="center" vertical="center" wrapText="1"/>
    </xf>
    <xf numFmtId="0" fontId="0" fillId="0" borderId="0" xfId="0" applyNumberFormat="1" applyAlignment="1">
      <alignment horizontal="center" vertical="center"/>
    </xf>
    <xf numFmtId="0" fontId="0" fillId="7" borderId="0" xfId="0" applyFill="1" applyAlignment="1">
      <alignment horizontal="center" vertical="center"/>
    </xf>
    <xf numFmtId="16" fontId="0" fillId="0" borderId="0" xfId="0" applyNumberFormat="1" applyAlignment="1">
      <alignment horizontal="center" vertical="center"/>
    </xf>
    <xf numFmtId="0" fontId="0" fillId="0" borderId="0" xfId="0" applyFill="1" applyAlignment="1">
      <alignment horizontal="center" vertical="center" wrapText="1"/>
    </xf>
    <xf numFmtId="0" fontId="1" fillId="0" borderId="6" xfId="0" applyFont="1" applyFill="1" applyBorder="1" applyAlignment="1">
      <alignment horizontal="center" vertical="center"/>
    </xf>
    <xf numFmtId="0" fontId="1" fillId="0" borderId="6" xfId="0" applyFont="1" applyBorder="1" applyAlignment="1">
      <alignment horizontal="center" vertical="center" wrapText="1"/>
    </xf>
    <xf numFmtId="0" fontId="1" fillId="0" borderId="0" xfId="0" applyFont="1" applyFill="1" applyBorder="1" applyAlignment="1">
      <alignment horizontal="center" vertical="center" wrapText="1"/>
    </xf>
    <xf numFmtId="0" fontId="0" fillId="2" borderId="0" xfId="0" applyFill="1" applyAlignment="1">
      <alignment vertical="center" wrapText="1"/>
    </xf>
    <xf numFmtId="0" fontId="0" fillId="8" borderId="0" xfId="0" applyFill="1" applyAlignment="1">
      <alignment horizontal="center" vertical="center"/>
    </xf>
    <xf numFmtId="0" fontId="0" fillId="8" borderId="0" xfId="0" applyFill="1" applyAlignment="1">
      <alignment horizontal="left" vertical="center" wrapText="1"/>
    </xf>
    <xf numFmtId="0" fontId="0" fillId="3" borderId="0" xfId="0" applyFill="1" applyAlignment="1">
      <alignment vertical="center" wrapText="1"/>
    </xf>
    <xf numFmtId="0" fontId="1" fillId="0" borderId="7" xfId="0" applyFont="1" applyBorder="1" applyAlignment="1">
      <alignment horizontal="center" vertical="center"/>
    </xf>
    <xf numFmtId="15" fontId="0" fillId="3" borderId="0" xfId="0" applyNumberFormat="1" applyFill="1" applyAlignment="1">
      <alignment vertical="center" wrapText="1"/>
    </xf>
    <xf numFmtId="14" fontId="0" fillId="2" borderId="0" xfId="0" applyNumberFormat="1" applyFill="1" applyAlignment="1">
      <alignment vertical="center" wrapText="1"/>
    </xf>
    <xf numFmtId="0" fontId="0" fillId="3" borderId="0" xfId="0" applyFill="1" applyAlignment="1">
      <alignment horizontal="left" vertical="center"/>
    </xf>
    <xf numFmtId="165" fontId="1" fillId="0" borderId="7" xfId="1" applyNumberFormat="1" applyFont="1" applyBorder="1" applyAlignment="1">
      <alignment horizontal="center" vertical="center"/>
    </xf>
    <xf numFmtId="165" fontId="0" fillId="0" borderId="0" xfId="1" applyNumberFormat="1" applyFont="1" applyAlignment="1">
      <alignment horizontal="center" vertical="center"/>
    </xf>
    <xf numFmtId="165" fontId="0" fillId="3" borderId="0" xfId="1" applyNumberFormat="1" applyFont="1" applyFill="1" applyAlignment="1">
      <alignment horizontal="center" vertical="center"/>
    </xf>
    <xf numFmtId="165" fontId="0" fillId="0" borderId="0" xfId="1" applyNumberFormat="1" applyFont="1"/>
    <xf numFmtId="15" fontId="0" fillId="0" borderId="0" xfId="0" applyNumberFormat="1" applyFill="1" applyAlignment="1">
      <alignment vertical="center" wrapText="1"/>
    </xf>
    <xf numFmtId="0" fontId="1" fillId="0" borderId="3" xfId="0" applyFont="1" applyBorder="1" applyAlignment="1">
      <alignment vertical="center" wrapText="1"/>
    </xf>
    <xf numFmtId="0" fontId="0" fillId="0" borderId="0" xfId="0" applyAlignment="1">
      <alignment wrapText="1"/>
    </xf>
    <xf numFmtId="0" fontId="5" fillId="3" borderId="0" xfId="0" applyFont="1" applyFill="1" applyAlignment="1">
      <alignment vertical="center" wrapText="1"/>
    </xf>
    <xf numFmtId="0" fontId="0" fillId="0" borderId="4" xfId="0" applyBorder="1" applyAlignment="1">
      <alignment vertical="center" wrapText="1"/>
    </xf>
    <xf numFmtId="0" fontId="0" fillId="4" borderId="0" xfId="0" applyFill="1" applyAlignment="1">
      <alignment vertical="center" wrapText="1"/>
    </xf>
    <xf numFmtId="164" fontId="0" fillId="0" borderId="0" xfId="0" applyNumberFormat="1" applyAlignment="1">
      <alignment vertical="center" wrapText="1"/>
    </xf>
    <xf numFmtId="0" fontId="0" fillId="6" borderId="0" xfId="0" applyFill="1" applyAlignment="1">
      <alignment vertical="center" wrapText="1"/>
    </xf>
    <xf numFmtId="0" fontId="10" fillId="0" borderId="0" xfId="0" applyFont="1" applyAlignment="1">
      <alignment vertical="center" wrapText="1"/>
    </xf>
    <xf numFmtId="0" fontId="0" fillId="0" borderId="0" xfId="0" applyAlignment="1">
      <alignment vertical="top" wrapText="1"/>
    </xf>
    <xf numFmtId="0" fontId="0" fillId="5" borderId="0" xfId="0" applyFill="1" applyAlignment="1">
      <alignment vertical="center" wrapText="1"/>
    </xf>
    <xf numFmtId="0" fontId="9" fillId="0" borderId="0" xfId="0" applyFont="1" applyAlignment="1">
      <alignment vertical="center" wrapText="1"/>
    </xf>
    <xf numFmtId="0" fontId="6" fillId="0" borderId="0" xfId="0" applyFont="1" applyAlignment="1">
      <alignment vertical="center" wrapText="1"/>
    </xf>
    <xf numFmtId="165" fontId="0" fillId="0" borderId="0" xfId="0" applyNumberFormat="1" applyFill="1" applyAlignment="1">
      <alignment vertical="center" wrapText="1"/>
    </xf>
    <xf numFmtId="0" fontId="0" fillId="0" borderId="0" xfId="0" applyFill="1" applyAlignment="1">
      <alignment horizontal="center" vertical="center"/>
    </xf>
    <xf numFmtId="14" fontId="0" fillId="0" borderId="0" xfId="0" applyNumberFormat="1" applyFill="1" applyAlignment="1">
      <alignment horizontal="center" vertical="center"/>
    </xf>
    <xf numFmtId="20" fontId="0" fillId="0" borderId="0" xfId="0" applyNumberFormat="1" applyFill="1" applyAlignment="1">
      <alignment horizontal="center" vertical="center"/>
    </xf>
    <xf numFmtId="14" fontId="0" fillId="0" borderId="0" xfId="0" applyNumberFormat="1" applyFill="1" applyAlignment="1">
      <alignment horizontal="center" vertical="center" wrapText="1"/>
    </xf>
    <xf numFmtId="0" fontId="0" fillId="0" borderId="0" xfId="0" applyFill="1" applyAlignment="1">
      <alignment vertical="center" wrapText="1"/>
    </xf>
    <xf numFmtId="0" fontId="20" fillId="9" borderId="2" xfId="0" applyFont="1" applyFill="1" applyBorder="1" applyAlignment="1">
      <alignment horizontal="center" vertical="center" wrapText="1"/>
    </xf>
    <xf numFmtId="0" fontId="7" fillId="0" borderId="4" xfId="0" applyFont="1" applyBorder="1" applyAlignment="1">
      <alignment horizontal="center" vertical="center"/>
    </xf>
    <xf numFmtId="0" fontId="23" fillId="0" borderId="4" xfId="0" applyFont="1" applyBorder="1" applyAlignment="1">
      <alignment horizontal="center" vertical="center" wrapText="1"/>
    </xf>
    <xf numFmtId="0" fontId="0" fillId="0" borderId="8" xfId="0" applyFont="1" applyBorder="1" applyAlignment="1">
      <alignment horizontal="center" vertical="center"/>
    </xf>
    <xf numFmtId="14" fontId="0" fillId="0" borderId="8" xfId="0" applyNumberFormat="1" applyFont="1" applyBorder="1" applyAlignment="1">
      <alignment horizontal="center" vertical="center"/>
    </xf>
    <xf numFmtId="0" fontId="20" fillId="9" borderId="7" xfId="0" applyFont="1" applyFill="1" applyBorder="1" applyAlignment="1">
      <alignment horizontal="center" vertical="center" wrapText="1"/>
    </xf>
    <xf numFmtId="0" fontId="25"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7" fillId="3" borderId="4" xfId="0" applyFont="1" applyFill="1" applyBorder="1" applyAlignment="1">
      <alignment horizontal="center" vertical="center"/>
    </xf>
    <xf numFmtId="0" fontId="23" fillId="3" borderId="4" xfId="0" applyFont="1" applyFill="1" applyBorder="1" applyAlignment="1">
      <alignment horizontal="center" vertical="center" wrapText="1"/>
    </xf>
    <xf numFmtId="0" fontId="26" fillId="3" borderId="4" xfId="0" applyFont="1" applyFill="1" applyBorder="1" applyAlignment="1">
      <alignment horizontal="center" vertical="center" wrapText="1"/>
    </xf>
    <xf numFmtId="0" fontId="27" fillId="10" borderId="9" xfId="0" applyFont="1" applyFill="1" applyBorder="1" applyAlignment="1">
      <alignment horizontal="left"/>
    </xf>
    <xf numFmtId="0" fontId="27" fillId="10" borderId="0" xfId="0" applyFont="1" applyFill="1" applyAlignment="1">
      <alignment horizontal="left"/>
    </xf>
    <xf numFmtId="0" fontId="0" fillId="0" borderId="9" xfId="0" applyBorder="1" applyAlignment="1">
      <alignment horizontal="left"/>
    </xf>
    <xf numFmtId="0" fontId="0" fillId="11" borderId="9" xfId="0" applyFill="1" applyBorder="1" applyAlignment="1">
      <alignment horizontal="left"/>
    </xf>
    <xf numFmtId="0" fontId="0" fillId="3" borderId="0" xfId="0" applyFill="1" applyAlignment="1">
      <alignment horizontal="left"/>
    </xf>
    <xf numFmtId="0" fontId="0" fillId="3" borderId="0" xfId="0" applyFill="1"/>
    <xf numFmtId="0" fontId="0" fillId="3" borderId="0" xfId="0" applyFill="1" applyAlignment="1">
      <alignment horizontal="center"/>
    </xf>
    <xf numFmtId="0" fontId="0" fillId="12" borderId="0" xfId="0" applyFill="1" applyAlignment="1">
      <alignment horizontal="center"/>
    </xf>
    <xf numFmtId="0" fontId="0" fillId="12" borderId="0" xfId="0" applyFill="1" applyAlignment="1">
      <alignment horizontal="left"/>
    </xf>
    <xf numFmtId="0" fontId="0" fillId="12" borderId="9" xfId="0" applyFill="1" applyBorder="1" applyAlignment="1">
      <alignment horizontal="left"/>
    </xf>
    <xf numFmtId="0" fontId="0" fillId="12" borderId="0" xfId="0" applyFill="1"/>
    <xf numFmtId="0" fontId="0" fillId="12" borderId="9" xfId="0" applyFill="1" applyBorder="1" applyAlignment="1">
      <alignment horizontal="center"/>
    </xf>
    <xf numFmtId="0" fontId="27" fillId="12" borderId="0" xfId="0" applyFont="1" applyFill="1" applyAlignment="1">
      <alignment horizontal="center"/>
    </xf>
    <xf numFmtId="0" fontId="26" fillId="12" borderId="4" xfId="0" applyFont="1" applyFill="1" applyBorder="1" applyAlignment="1">
      <alignment horizontal="center" vertical="center" wrapText="1"/>
    </xf>
    <xf numFmtId="0" fontId="0" fillId="12" borderId="8" xfId="0" applyFont="1" applyFill="1" applyBorder="1" applyAlignment="1">
      <alignment horizontal="center" vertical="center"/>
    </xf>
    <xf numFmtId="0" fontId="7" fillId="12" borderId="4" xfId="0" applyFont="1" applyFill="1" applyBorder="1" applyAlignment="1">
      <alignment horizontal="center" vertical="center"/>
    </xf>
    <xf numFmtId="0" fontId="23" fillId="12" borderId="4" xfId="0" applyFont="1" applyFill="1" applyBorder="1" applyAlignment="1">
      <alignment horizontal="center" vertical="center" wrapText="1"/>
    </xf>
    <xf numFmtId="14" fontId="0" fillId="12" borderId="8" xfId="0" applyNumberFormat="1" applyFont="1" applyFill="1" applyBorder="1" applyAlignment="1">
      <alignment horizontal="center" vertical="center"/>
    </xf>
    <xf numFmtId="0" fontId="0" fillId="12" borderId="0" xfId="0" applyFill="1" applyAlignment="1">
      <alignment vertical="center" wrapText="1"/>
    </xf>
    <xf numFmtId="0" fontId="19" fillId="0" borderId="8" xfId="0" applyFont="1" applyBorder="1" applyAlignment="1">
      <alignment horizontal="center" vertical="center"/>
    </xf>
    <xf numFmtId="0" fontId="21" fillId="0" borderId="4" xfId="0" applyFont="1" applyBorder="1" applyAlignment="1">
      <alignment horizontal="center" vertical="center"/>
    </xf>
    <xf numFmtId="0" fontId="22" fillId="0" borderId="4" xfId="0" applyFont="1" applyBorder="1" applyAlignment="1">
      <alignment horizontal="center" vertical="center" wrapText="1"/>
    </xf>
    <xf numFmtId="14" fontId="19" fillId="0" borderId="8" xfId="0" applyNumberFormat="1" applyFont="1" applyBorder="1" applyAlignment="1">
      <alignment horizontal="center" vertical="center"/>
    </xf>
    <xf numFmtId="0" fontId="25" fillId="12" borderId="4" xfId="0" applyFont="1" applyFill="1" applyBorder="1" applyAlignment="1">
      <alignment horizontal="center" vertical="center" wrapText="1"/>
    </xf>
    <xf numFmtId="0" fontId="0" fillId="0" borderId="0" xfId="0" applyFill="1" applyAlignment="1">
      <alignment horizontal="left"/>
    </xf>
    <xf numFmtId="0" fontId="0" fillId="3" borderId="9" xfId="0" applyFill="1" applyBorder="1" applyAlignment="1">
      <alignment horizontal="left"/>
    </xf>
    <xf numFmtId="0" fontId="27" fillId="10" borderId="10" xfId="0" applyFont="1" applyFill="1" applyBorder="1" applyAlignment="1">
      <alignment horizontal="left"/>
    </xf>
    <xf numFmtId="0" fontId="1" fillId="13" borderId="4" xfId="0" applyFont="1" applyFill="1" applyBorder="1" applyAlignment="1">
      <alignment horizontal="center" vertical="center"/>
    </xf>
    <xf numFmtId="0" fontId="28" fillId="13" borderId="0" xfId="0" applyFont="1" applyFill="1" applyAlignment="1">
      <alignment horizontal="left" vertical="center"/>
    </xf>
    <xf numFmtId="0" fontId="0" fillId="3" borderId="0" xfId="0" applyFill="1" applyBorder="1" applyAlignment="1">
      <alignment horizontal="left"/>
    </xf>
    <xf numFmtId="2" fontId="0" fillId="3" borderId="0" xfId="1" applyNumberFormat="1" applyFont="1" applyFill="1" applyBorder="1" applyAlignment="1">
      <alignment horizontal="left"/>
    </xf>
    <xf numFmtId="3" fontId="0" fillId="3" borderId="0" xfId="0" applyNumberFormat="1" applyFill="1" applyBorder="1" applyAlignment="1">
      <alignment horizontal="left"/>
    </xf>
    <xf numFmtId="3" fontId="0" fillId="12" borderId="0" xfId="0" applyNumberFormat="1" applyFill="1" applyBorder="1" applyAlignment="1">
      <alignment horizontal="left"/>
    </xf>
    <xf numFmtId="0" fontId="0" fillId="12" borderId="0" xfId="0" applyFill="1" applyBorder="1" applyAlignment="1">
      <alignment horizontal="left"/>
    </xf>
    <xf numFmtId="0" fontId="0" fillId="3" borderId="8" xfId="0" applyFont="1" applyFill="1" applyBorder="1" applyAlignment="1">
      <alignment horizontal="center" vertical="center"/>
    </xf>
    <xf numFmtId="14" fontId="0" fillId="3" borderId="8" xfId="0" applyNumberFormat="1" applyFont="1" applyFill="1" applyBorder="1" applyAlignment="1">
      <alignment horizontal="center" vertical="center"/>
    </xf>
    <xf numFmtId="0" fontId="6" fillId="0" borderId="0" xfId="0" applyFont="1"/>
    <xf numFmtId="0" fontId="0" fillId="3" borderId="9" xfId="0" applyFill="1" applyBorder="1" applyAlignment="1">
      <alignment horizontal="center"/>
    </xf>
    <xf numFmtId="2" fontId="0" fillId="3" borderId="0" xfId="0" applyNumberFormat="1" applyFill="1" applyAlignment="1">
      <alignment horizontal="center"/>
    </xf>
    <xf numFmtId="2" fontId="0" fillId="3" borderId="0" xfId="0" applyNumberFormat="1" applyFill="1"/>
    <xf numFmtId="2" fontId="0" fillId="12" borderId="0" xfId="0" applyNumberFormat="1" applyFill="1" applyAlignment="1">
      <alignment horizontal="center"/>
    </xf>
    <xf numFmtId="2" fontId="0" fillId="12" borderId="0" xfId="0" applyNumberFormat="1" applyFill="1"/>
    <xf numFmtId="0" fontId="0" fillId="12" borderId="0" xfId="0" applyFill="1" applyAlignment="1">
      <alignment vertical="center"/>
    </xf>
    <xf numFmtId="0" fontId="6" fillId="0" borderId="8" xfId="0" applyFont="1" applyBorder="1" applyAlignment="1">
      <alignment horizontal="center" vertical="center"/>
    </xf>
    <xf numFmtId="14" fontId="6" fillId="0" borderId="8" xfId="0" applyNumberFormat="1" applyFont="1" applyBorder="1" applyAlignment="1">
      <alignment horizontal="center" vertical="center"/>
    </xf>
    <xf numFmtId="0" fontId="0" fillId="3" borderId="0" xfId="0" applyFont="1" applyFill="1" applyAlignment="1">
      <alignment vertical="center"/>
    </xf>
    <xf numFmtId="0" fontId="24" fillId="12" borderId="8" xfId="0" applyFont="1" applyFill="1" applyBorder="1" applyAlignment="1">
      <alignment horizontal="center" vertical="center"/>
    </xf>
    <xf numFmtId="14" fontId="24" fillId="12" borderId="8" xfId="0" applyNumberFormat="1" applyFont="1" applyFill="1" applyBorder="1" applyAlignment="1">
      <alignment horizontal="center" vertical="center"/>
    </xf>
    <xf numFmtId="0" fontId="19" fillId="0" borderId="8" xfId="0" applyFont="1" applyFill="1" applyBorder="1" applyAlignment="1">
      <alignment horizontal="center" vertical="center"/>
    </xf>
    <xf numFmtId="0" fontId="21" fillId="0" borderId="4" xfId="0" applyFont="1" applyFill="1" applyBorder="1" applyAlignment="1">
      <alignment horizontal="center" vertical="center"/>
    </xf>
    <xf numFmtId="0" fontId="22" fillId="0" borderId="4" xfId="0" applyFont="1" applyFill="1" applyBorder="1" applyAlignment="1">
      <alignment horizontal="center" vertical="center" wrapText="1"/>
    </xf>
    <xf numFmtId="14" fontId="19" fillId="0" borderId="8" xfId="0" applyNumberFormat="1" applyFont="1" applyFill="1" applyBorder="1" applyAlignment="1">
      <alignment horizontal="center" vertical="center"/>
    </xf>
    <xf numFmtId="0" fontId="6" fillId="0" borderId="0" xfId="0" applyFont="1" applyFill="1" applyAlignment="1">
      <alignment vertical="center" wrapText="1"/>
    </xf>
    <xf numFmtId="0" fontId="25" fillId="0" borderId="4" xfId="0" applyFont="1" applyFill="1" applyBorder="1" applyAlignment="1">
      <alignment horizontal="center" vertical="center" wrapText="1"/>
    </xf>
    <xf numFmtId="0" fontId="21" fillId="3" borderId="4" xfId="0" applyFont="1" applyFill="1" applyBorder="1" applyAlignment="1">
      <alignment horizontal="center" vertical="center"/>
    </xf>
    <xf numFmtId="0" fontId="22" fillId="3" borderId="4" xfId="0" applyFont="1" applyFill="1" applyBorder="1" applyAlignment="1">
      <alignment horizontal="center" vertical="center" wrapText="1"/>
    </xf>
    <xf numFmtId="0" fontId="25" fillId="3" borderId="4" xfId="0" applyFont="1" applyFill="1" applyBorder="1" applyAlignment="1">
      <alignment horizontal="center" vertical="center" wrapText="1"/>
    </xf>
    <xf numFmtId="0" fontId="6" fillId="0" borderId="8" xfId="0" applyFont="1" applyFill="1" applyBorder="1" applyAlignment="1">
      <alignment horizontal="center" vertical="center"/>
    </xf>
    <xf numFmtId="14" fontId="6" fillId="0" borderId="8" xfId="0" applyNumberFormat="1" applyFont="1" applyFill="1" applyBorder="1" applyAlignment="1">
      <alignment horizontal="center" vertical="center"/>
    </xf>
    <xf numFmtId="0" fontId="6" fillId="0" borderId="0" xfId="0" applyFont="1" applyFill="1" applyAlignment="1">
      <alignment vertical="center"/>
    </xf>
    <xf numFmtId="0" fontId="19" fillId="3" borderId="8" xfId="0" applyFont="1" applyFill="1" applyBorder="1" applyAlignment="1">
      <alignment horizontal="center" vertical="center"/>
    </xf>
    <xf numFmtId="14" fontId="19" fillId="3" borderId="8" xfId="0" applyNumberFormat="1" applyFont="1" applyFill="1" applyBorder="1" applyAlignment="1">
      <alignment horizontal="center" vertical="center"/>
    </xf>
    <xf numFmtId="0" fontId="6" fillId="3" borderId="0" xfId="0" applyFont="1" applyFill="1" applyAlignment="1">
      <alignment vertical="center" wrapText="1"/>
    </xf>
    <xf numFmtId="0" fontId="0" fillId="0" borderId="11" xfId="0" applyBorder="1" applyAlignment="1">
      <alignment horizontal="left"/>
    </xf>
    <xf numFmtId="0" fontId="0" fillId="3" borderId="9" xfId="0" applyFill="1" applyBorder="1" applyAlignment="1">
      <alignment horizontal="center" vertical="center"/>
    </xf>
    <xf numFmtId="0" fontId="27" fillId="10" borderId="0" xfId="0" applyFont="1" applyFill="1" applyAlignment="1">
      <alignment horizontal="center"/>
    </xf>
    <xf numFmtId="0" fontId="0" fillId="0" borderId="9" xfId="0" applyFill="1" applyBorder="1" applyAlignment="1">
      <alignment horizontal="left"/>
    </xf>
    <xf numFmtId="0" fontId="0" fillId="0" borderId="9" xfId="0" applyFill="1" applyBorder="1" applyAlignment="1">
      <alignment horizontal="center"/>
    </xf>
    <xf numFmtId="0" fontId="0" fillId="2" borderId="0" xfId="0" applyFill="1"/>
    <xf numFmtId="0" fontId="13" fillId="0" borderId="0" xfId="0" applyFont="1" applyFill="1" applyAlignment="1">
      <alignment horizontal="left"/>
    </xf>
    <xf numFmtId="0" fontId="0" fillId="2" borderId="0" xfId="0" applyFill="1" applyAlignment="1">
      <alignment horizontal="left"/>
    </xf>
    <xf numFmtId="0" fontId="13" fillId="0" borderId="0" xfId="0" applyFont="1"/>
    <xf numFmtId="0" fontId="10" fillId="2" borderId="0" xfId="0" applyFont="1" applyFill="1" applyAlignment="1">
      <alignment horizontal="left"/>
    </xf>
    <xf numFmtId="0" fontId="10" fillId="2" borderId="0" xfId="0" applyFont="1" applyFill="1"/>
    <xf numFmtId="0" fontId="13" fillId="0" borderId="0" xfId="0" applyFont="1" applyFill="1"/>
    <xf numFmtId="0" fontId="0" fillId="0" borderId="0" xfId="0" applyFill="1" applyAlignment="1">
      <alignment horizontal="center"/>
    </xf>
    <xf numFmtId="166" fontId="0" fillId="0" borderId="0" xfId="0" applyNumberFormat="1" applyFill="1" applyAlignment="1">
      <alignment horizontal="center"/>
    </xf>
    <xf numFmtId="165" fontId="0" fillId="0" borderId="0" xfId="1" applyNumberFormat="1" applyFont="1" applyFill="1" applyAlignment="1">
      <alignment horizontal="left"/>
    </xf>
    <xf numFmtId="1" fontId="0" fillId="0" borderId="0" xfId="0" applyNumberFormat="1" applyFill="1" applyAlignment="1">
      <alignment horizontal="center"/>
    </xf>
    <xf numFmtId="0" fontId="10" fillId="0" borderId="9" xfId="0" applyFont="1" applyFill="1" applyBorder="1" applyAlignment="1">
      <alignment horizontal="left"/>
    </xf>
    <xf numFmtId="0" fontId="0" fillId="0" borderId="0" xfId="0" applyFill="1"/>
    <xf numFmtId="167" fontId="0" fillId="0" borderId="0" xfId="1" applyNumberFormat="1" applyFont="1" applyFill="1"/>
    <xf numFmtId="43" fontId="0" fillId="0" borderId="0" xfId="1" applyFont="1" applyFill="1"/>
    <xf numFmtId="0" fontId="0" fillId="0" borderId="9" xfId="0" quotePrefix="1" applyFill="1" applyBorder="1" applyAlignment="1">
      <alignment horizontal="left"/>
    </xf>
    <xf numFmtId="0" fontId="0" fillId="0" borderId="10" xfId="0" applyFill="1" applyBorder="1" applyAlignment="1">
      <alignment horizontal="left"/>
    </xf>
    <xf numFmtId="0" fontId="0" fillId="0" borderId="0" xfId="0" applyFill="1" applyBorder="1" applyAlignment="1">
      <alignment horizontal="left"/>
    </xf>
    <xf numFmtId="0" fontId="0" fillId="0" borderId="4" xfId="0" applyFill="1" applyBorder="1" applyAlignment="1">
      <alignment horizontal="center" vertical="center"/>
    </xf>
    <xf numFmtId="0" fontId="0" fillId="0" borderId="9" xfId="0" applyFill="1" applyBorder="1" applyAlignment="1">
      <alignment horizontal="left" vertical="center"/>
    </xf>
    <xf numFmtId="1" fontId="0" fillId="0" borderId="0" xfId="0" applyNumberFormat="1" applyFill="1" applyAlignment="1">
      <alignment horizontal="center" vertical="center"/>
    </xf>
    <xf numFmtId="168" fontId="0" fillId="0" borderId="9" xfId="0" applyNumberFormat="1" applyFill="1" applyBorder="1" applyAlignment="1">
      <alignment horizontal="center"/>
    </xf>
    <xf numFmtId="168" fontId="0" fillId="0" borderId="9" xfId="1" applyNumberFormat="1" applyFont="1" applyFill="1" applyBorder="1" applyAlignment="1">
      <alignment horizontal="center"/>
    </xf>
    <xf numFmtId="168" fontId="0" fillId="0" borderId="0" xfId="0" applyNumberFormat="1" applyFill="1" applyAlignment="1">
      <alignment horizontal="center"/>
    </xf>
    <xf numFmtId="168" fontId="0" fillId="0" borderId="0" xfId="0" applyNumberFormat="1" applyFill="1" applyBorder="1" applyAlignment="1">
      <alignment horizontal="center"/>
    </xf>
    <xf numFmtId="168" fontId="13" fillId="0" borderId="9" xfId="0" applyNumberFormat="1" applyFont="1" applyFill="1" applyBorder="1" applyAlignment="1">
      <alignment horizontal="center"/>
    </xf>
    <xf numFmtId="0" fontId="27" fillId="0" borderId="0" xfId="0" applyFont="1" applyFill="1" applyAlignment="1">
      <alignment horizontal="center"/>
    </xf>
    <xf numFmtId="0" fontId="0" fillId="14" borderId="8" xfId="0" applyFont="1" applyFill="1" applyBorder="1" applyAlignment="1">
      <alignment horizontal="center" vertical="center"/>
    </xf>
    <xf numFmtId="0" fontId="7" fillId="14" borderId="4" xfId="0" applyFont="1" applyFill="1" applyBorder="1" applyAlignment="1">
      <alignment horizontal="center" vertical="center"/>
    </xf>
    <xf numFmtId="0" fontId="23" fillId="14" borderId="4" xfId="0" applyFont="1" applyFill="1" applyBorder="1" applyAlignment="1">
      <alignment horizontal="center" vertical="center" wrapText="1"/>
    </xf>
    <xf numFmtId="14" fontId="0" fillId="14" borderId="8" xfId="0" applyNumberFormat="1" applyFont="1" applyFill="1" applyBorder="1" applyAlignment="1">
      <alignment horizontal="center" vertical="center"/>
    </xf>
    <xf numFmtId="0" fontId="0" fillId="14" borderId="0" xfId="0" applyFill="1" applyAlignment="1">
      <alignment vertical="center"/>
    </xf>
    <xf numFmtId="0" fontId="26" fillId="14" borderId="4" xfId="0" applyFont="1" applyFill="1" applyBorder="1" applyAlignment="1">
      <alignment horizontal="center" vertical="center" wrapText="1"/>
    </xf>
    <xf numFmtId="0" fontId="0" fillId="14" borderId="0" xfId="0" applyFill="1"/>
    <xf numFmtId="0" fontId="0" fillId="14" borderId="0" xfId="0" applyFill="1" applyAlignment="1">
      <alignment vertical="center" wrapText="1"/>
    </xf>
    <xf numFmtId="0" fontId="0" fillId="3" borderId="4" xfId="0" applyFill="1" applyBorder="1" applyAlignment="1">
      <alignment horizontal="left"/>
    </xf>
    <xf numFmtId="0" fontId="0" fillId="3" borderId="9" xfId="0" applyFill="1" applyBorder="1"/>
    <xf numFmtId="166" fontId="0" fillId="3" borderId="0" xfId="0" applyNumberFormat="1" applyFill="1" applyAlignment="1">
      <alignment horizontal="center"/>
    </xf>
    <xf numFmtId="165" fontId="0" fillId="3" borderId="0" xfId="1" applyNumberFormat="1" applyFont="1" applyFill="1" applyAlignment="1">
      <alignment horizontal="left"/>
    </xf>
    <xf numFmtId="1" fontId="0" fillId="3" borderId="0" xfId="0" applyNumberFormat="1" applyFill="1" applyAlignment="1">
      <alignment horizontal="center"/>
    </xf>
    <xf numFmtId="43" fontId="0" fillId="3" borderId="0" xfId="1" applyFont="1" applyFill="1" applyAlignment="1">
      <alignment horizontal="center"/>
    </xf>
    <xf numFmtId="43" fontId="0" fillId="3" borderId="0" xfId="1" applyFont="1" applyFill="1"/>
    <xf numFmtId="0" fontId="0" fillId="0" borderId="0" xfId="0" applyFill="1" applyBorder="1" applyAlignment="1">
      <alignment horizontal="center" vertical="center"/>
    </xf>
    <xf numFmtId="14" fontId="0" fillId="0" borderId="0" xfId="0" applyNumberFormat="1" applyFill="1" applyBorder="1" applyAlignment="1">
      <alignment horizontal="center" vertical="center"/>
    </xf>
    <xf numFmtId="20" fontId="0" fillId="0" borderId="0" xfId="0" applyNumberFormat="1" applyFill="1" applyBorder="1" applyAlignment="1">
      <alignment horizontal="center" vertical="center"/>
    </xf>
    <xf numFmtId="0" fontId="0" fillId="0" borderId="0" xfId="0" applyFill="1" applyBorder="1" applyAlignment="1">
      <alignment vertical="center" wrapText="1"/>
    </xf>
    <xf numFmtId="0" fontId="0" fillId="0" borderId="4" xfId="0" applyFill="1" applyBorder="1" applyAlignment="1">
      <alignment horizontal="center" vertical="center" wrapText="1"/>
    </xf>
    <xf numFmtId="0" fontId="29" fillId="0" borderId="0" xfId="0" applyFont="1" applyAlignment="1">
      <alignment vertical="center" wrapText="1"/>
    </xf>
    <xf numFmtId="14" fontId="0" fillId="0" borderId="0" xfId="0" applyNumberFormat="1" applyAlignment="1">
      <alignment vertical="center"/>
    </xf>
    <xf numFmtId="14" fontId="30" fillId="15" borderId="4" xfId="0" applyNumberFormat="1" applyFont="1" applyFill="1" applyBorder="1" applyAlignment="1">
      <alignment horizontal="center" vertical="center" wrapText="1"/>
    </xf>
    <xf numFmtId="14" fontId="0" fillId="0" borderId="0" xfId="0" applyNumberFormat="1" applyAlignment="1">
      <alignment horizontal="center"/>
    </xf>
    <xf numFmtId="14" fontId="30" fillId="15" borderId="4" xfId="0" applyNumberFormat="1" applyFont="1" applyFill="1" applyBorder="1" applyAlignment="1">
      <alignment horizontal="center" wrapText="1"/>
    </xf>
    <xf numFmtId="14" fontId="0" fillId="0" borderId="0" xfId="0" applyNumberFormat="1"/>
    <xf numFmtId="0" fontId="0" fillId="0" borderId="8" xfId="0" applyBorder="1" applyAlignment="1">
      <alignment horizontal="center" vertical="center"/>
    </xf>
    <xf numFmtId="20" fontId="0" fillId="0" borderId="0" xfId="0" applyNumberFormat="1" applyAlignment="1">
      <alignment vertical="center"/>
    </xf>
    <xf numFmtId="0" fontId="0" fillId="0" borderId="4" xfId="0" applyBorder="1"/>
    <xf numFmtId="0" fontId="0" fillId="0" borderId="0" xfId="0" applyBorder="1" applyAlignment="1">
      <alignment horizontal="left"/>
    </xf>
    <xf numFmtId="0" fontId="0" fillId="0" borderId="9" xfId="0" applyBorder="1"/>
    <xf numFmtId="0" fontId="0" fillId="11" borderId="0" xfId="0" applyFill="1" applyBorder="1" applyAlignment="1">
      <alignment horizontal="left"/>
    </xf>
    <xf numFmtId="0" fontId="0" fillId="0" borderId="11" xfId="0" applyBorder="1"/>
    <xf numFmtId="0" fontId="0" fillId="0" borderId="9" xfId="0" applyBorder="1" applyAlignment="1">
      <alignment horizontal="center"/>
    </xf>
    <xf numFmtId="168" fontId="13" fillId="0" borderId="0" xfId="0" applyNumberFormat="1" applyFont="1" applyFill="1" applyBorder="1" applyAlignment="1">
      <alignment horizontal="center"/>
    </xf>
    <xf numFmtId="168" fontId="0" fillId="0" borderId="4" xfId="0" applyNumberFormat="1" applyFill="1" applyBorder="1" applyAlignment="1">
      <alignment horizontal="center"/>
    </xf>
    <xf numFmtId="0" fontId="0" fillId="3" borderId="4" xfId="0" applyFill="1" applyBorder="1"/>
    <xf numFmtId="0" fontId="0" fillId="12" borderId="0" xfId="0" applyFill="1" applyBorder="1" applyAlignment="1">
      <alignment horizontal="center"/>
    </xf>
    <xf numFmtId="0" fontId="0" fillId="12" borderId="9" xfId="0" applyFill="1" applyBorder="1"/>
    <xf numFmtId="0" fontId="0" fillId="2" borderId="0" xfId="0" applyFill="1" applyBorder="1" applyAlignment="1">
      <alignment horizontal="center"/>
    </xf>
    <xf numFmtId="0" fontId="0" fillId="12" borderId="4" xfId="0" applyFill="1" applyBorder="1" applyAlignment="1">
      <alignment horizontal="left"/>
    </xf>
    <xf numFmtId="0" fontId="0" fillId="3" borderId="4" xfId="0" applyFill="1" applyBorder="1" applyAlignment="1">
      <alignment horizontal="center"/>
    </xf>
    <xf numFmtId="0" fontId="0" fillId="3" borderId="0" xfId="0" applyFill="1" applyBorder="1" applyAlignment="1">
      <alignment horizontal="center"/>
    </xf>
    <xf numFmtId="0" fontId="0" fillId="2" borderId="9" xfId="0" applyFill="1" applyBorder="1" applyAlignment="1">
      <alignment horizontal="center"/>
    </xf>
    <xf numFmtId="0" fontId="0" fillId="12" borderId="4" xfId="0" applyFill="1" applyBorder="1" applyAlignment="1">
      <alignment horizontal="center"/>
    </xf>
    <xf numFmtId="0" fontId="0" fillId="3" borderId="0" xfId="0" applyFill="1" applyBorder="1"/>
    <xf numFmtId="0" fontId="0" fillId="12" borderId="0" xfId="0" applyFill="1" applyBorder="1"/>
    <xf numFmtId="0" fontId="0" fillId="12" borderId="4" xfId="0" applyFill="1" applyBorder="1"/>
    <xf numFmtId="0" fontId="0" fillId="0" borderId="12" xfId="0" applyFill="1" applyBorder="1" applyAlignment="1">
      <alignment horizontal="left"/>
    </xf>
    <xf numFmtId="0" fontId="27" fillId="10" borderId="9" xfId="0" applyFont="1" applyFill="1" applyBorder="1" applyAlignment="1">
      <alignment horizontal="center"/>
    </xf>
    <xf numFmtId="0" fontId="0" fillId="11" borderId="9" xfId="0" applyFill="1" applyBorder="1" applyAlignment="1">
      <alignment horizontal="center"/>
    </xf>
    <xf numFmtId="0" fontId="0" fillId="0" borderId="0" xfId="0" applyFill="1" applyBorder="1" applyAlignment="1">
      <alignment horizontal="center"/>
    </xf>
    <xf numFmtId="0" fontId="31" fillId="0" borderId="0" xfId="0" applyFont="1"/>
    <xf numFmtId="0" fontId="13" fillId="11" borderId="9" xfId="0" applyFont="1" applyFill="1" applyBorder="1" applyAlignment="1">
      <alignment horizontal="left"/>
    </xf>
    <xf numFmtId="0" fontId="0" fillId="0" borderId="0" xfId="0" applyAlignment="1">
      <alignment horizontal="left"/>
    </xf>
    <xf numFmtId="0" fontId="0" fillId="0" borderId="8" xfId="0" applyBorder="1" applyAlignment="1">
      <alignment horizontal="left" vertical="top"/>
    </xf>
    <xf numFmtId="14" fontId="0" fillId="0" borderId="0" xfId="0" applyNumberFormat="1" applyAlignment="1">
      <alignment vertical="center" wrapText="1"/>
    </xf>
    <xf numFmtId="22" fontId="0" fillId="0" borderId="0" xfId="0" applyNumberFormat="1" applyAlignment="1">
      <alignment vertical="center" wrapText="1"/>
    </xf>
    <xf numFmtId="14" fontId="0" fillId="0" borderId="0" xfId="2" applyNumberFormat="1" applyFont="1"/>
    <xf numFmtId="0" fontId="0" fillId="16" borderId="0" xfId="0" applyFill="1" applyAlignment="1">
      <alignment vertical="center" wrapText="1"/>
    </xf>
    <xf numFmtId="0" fontId="1" fillId="0" borderId="2" xfId="0" applyFont="1" applyBorder="1" applyAlignment="1">
      <alignment vertical="center"/>
    </xf>
    <xf numFmtId="0" fontId="3" fillId="2" borderId="0" xfId="0" applyFont="1" applyFill="1" applyAlignment="1">
      <alignment vertical="center" wrapText="1"/>
    </xf>
    <xf numFmtId="0" fontId="3" fillId="0" borderId="0" xfId="0" applyFont="1" applyAlignment="1">
      <alignment vertical="center" wrapText="1"/>
    </xf>
    <xf numFmtId="0" fontId="0" fillId="7" borderId="0" xfId="0" applyFill="1" applyAlignment="1">
      <alignment vertical="center"/>
    </xf>
    <xf numFmtId="0" fontId="0" fillId="2" borderId="0" xfId="0" applyFill="1" applyAlignment="1">
      <alignment vertical="center"/>
    </xf>
    <xf numFmtId="0" fontId="13" fillId="0" borderId="0" xfId="0" applyFont="1" applyAlignment="1">
      <alignment vertical="center"/>
    </xf>
    <xf numFmtId="0" fontId="0" fillId="0" borderId="0" xfId="0" applyAlignment="1"/>
    <xf numFmtId="0" fontId="33" fillId="9" borderId="13" xfId="0" applyFont="1" applyFill="1" applyBorder="1" applyAlignment="1">
      <alignment horizontal="center" vertical="center" wrapText="1"/>
    </xf>
    <xf numFmtId="0" fontId="32" fillId="0" borderId="15" xfId="0" applyFont="1" applyBorder="1" applyAlignment="1">
      <alignment horizontal="center" vertical="center"/>
    </xf>
    <xf numFmtId="0" fontId="7" fillId="0" borderId="16" xfId="0" applyFont="1" applyBorder="1" applyAlignment="1">
      <alignment horizontal="center" vertical="center"/>
    </xf>
    <xf numFmtId="0" fontId="7" fillId="0" borderId="15" xfId="0" applyFont="1" applyBorder="1" applyAlignment="1">
      <alignment horizontal="center" vertical="center"/>
    </xf>
    <xf numFmtId="0" fontId="7" fillId="17" borderId="15" xfId="0" applyFont="1" applyFill="1" applyBorder="1" applyAlignment="1">
      <alignment horizontal="center" vertical="center"/>
    </xf>
    <xf numFmtId="0" fontId="34" fillId="0" borderId="15" xfId="0" applyFont="1" applyBorder="1" applyAlignment="1">
      <alignment horizontal="center" vertical="center"/>
    </xf>
    <xf numFmtId="0" fontId="32" fillId="0" borderId="14" xfId="0" applyFont="1" applyBorder="1" applyAlignment="1">
      <alignment horizontal="center" vertical="center"/>
    </xf>
    <xf numFmtId="0" fontId="7" fillId="3" borderId="15" xfId="0" applyFont="1" applyFill="1" applyBorder="1" applyAlignment="1">
      <alignment horizontal="center" vertical="center"/>
    </xf>
    <xf numFmtId="22" fontId="0" fillId="0" borderId="0" xfId="0" applyNumberFormat="1" applyAlignment="1">
      <alignment horizontal="center" vertical="center" wrapText="1"/>
    </xf>
    <xf numFmtId="0" fontId="0" fillId="0" borderId="0" xfId="0" applyFont="1" applyAlignment="1">
      <alignment vertical="center" wrapText="1"/>
    </xf>
    <xf numFmtId="0" fontId="1" fillId="0" borderId="2" xfId="0" applyFont="1" applyBorder="1" applyAlignment="1">
      <alignment vertical="center" wrapText="1"/>
    </xf>
    <xf numFmtId="0" fontId="11" fillId="0" borderId="0" xfId="0" applyFont="1" applyAlignment="1">
      <alignment vertical="center" wrapText="1"/>
    </xf>
    <xf numFmtId="0" fontId="0" fillId="7" borderId="0" xfId="0" applyFill="1" applyAlignment="1">
      <alignment vertical="center" wrapText="1"/>
    </xf>
    <xf numFmtId="0" fontId="0" fillId="0" borderId="0" xfId="0" quotePrefix="1" applyAlignment="1">
      <alignment vertical="center" wrapText="1"/>
    </xf>
    <xf numFmtId="0" fontId="33" fillId="9" borderId="17" xfId="0" applyFont="1" applyFill="1" applyBorder="1" applyAlignment="1">
      <alignment horizontal="center" vertical="center" wrapText="1"/>
    </xf>
    <xf numFmtId="0" fontId="33" fillId="9" borderId="18" xfId="0" applyFont="1" applyFill="1" applyBorder="1" applyAlignment="1">
      <alignment horizontal="center" vertical="center" wrapText="1"/>
    </xf>
    <xf numFmtId="14" fontId="7" fillId="0" borderId="16" xfId="0" applyNumberFormat="1" applyFont="1" applyBorder="1" applyAlignment="1">
      <alignment horizontal="center" vertical="center"/>
    </xf>
    <xf numFmtId="0" fontId="32" fillId="0" borderId="15" xfId="0" applyFont="1" applyBorder="1" applyAlignment="1">
      <alignment horizontal="center" vertical="center" wrapText="1"/>
    </xf>
    <xf numFmtId="0" fontId="35" fillId="0" borderId="15" xfId="0" applyFont="1" applyBorder="1" applyAlignment="1">
      <alignment horizontal="center" vertical="center"/>
    </xf>
    <xf numFmtId="0" fontId="7" fillId="7" borderId="15" xfId="0" applyFont="1" applyFill="1" applyBorder="1" applyAlignment="1">
      <alignment horizontal="center" vertical="center"/>
    </xf>
    <xf numFmtId="44" fontId="0" fillId="0" borderId="0" xfId="2" applyFont="1" applyAlignment="1">
      <alignment horizontal="center" vertical="center" wrapText="1"/>
    </xf>
    <xf numFmtId="0" fontId="13" fillId="2" borderId="0" xfId="0" applyFont="1" applyFill="1" applyAlignment="1">
      <alignment vertical="center"/>
    </xf>
    <xf numFmtId="0" fontId="10" fillId="0" borderId="0" xfId="0" applyFont="1" applyFill="1" applyAlignment="1">
      <alignment vertical="center"/>
    </xf>
    <xf numFmtId="0" fontId="0" fillId="0" borderId="0" xfId="0" applyFill="1" applyAlignment="1">
      <alignment vertical="center"/>
    </xf>
    <xf numFmtId="0" fontId="13" fillId="0" borderId="0" xfId="0" applyFont="1" applyAlignment="1">
      <alignment vertical="center" wrapText="1"/>
    </xf>
    <xf numFmtId="0" fontId="13" fillId="0" borderId="0" xfId="0" applyFont="1" applyFill="1" applyAlignment="1">
      <alignment vertical="center"/>
    </xf>
    <xf numFmtId="0" fontId="0" fillId="0" borderId="0" xfId="0" applyFont="1" applyAlignment="1">
      <alignment horizontal="center" vertical="center"/>
    </xf>
    <xf numFmtId="0" fontId="0" fillId="0" borderId="0" xfId="0" quotePrefix="1" applyAlignment="1">
      <alignment horizontal="center" vertical="center"/>
    </xf>
    <xf numFmtId="2" fontId="0" fillId="0" borderId="0" xfId="0" applyNumberFormat="1" applyAlignment="1">
      <alignment vertical="center"/>
    </xf>
    <xf numFmtId="16" fontId="0" fillId="0" borderId="0" xfId="0" applyNumberFormat="1" applyFill="1" applyAlignment="1">
      <alignment horizontal="center" vertical="center"/>
    </xf>
  </cellXfs>
  <cellStyles count="3">
    <cellStyle name="Moeda" xfId="2" builtinId="4"/>
    <cellStyle name="Normal" xfId="0" builtinId="0"/>
    <cellStyle name="Vírgula" xfId="1" builtinId="3"/>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99"/>
        </patternFill>
      </fill>
    </dxf>
    <dxf>
      <fill>
        <patternFill>
          <bgColor rgb="FFFFFF00"/>
        </patternFill>
      </fill>
    </dxf>
    <dxf>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Resumo por semana CR GEM 2023 </a:t>
            </a:r>
          </a:p>
        </c:rich>
      </c:tx>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percentStacked"/>
        <c:varyColors val="0"/>
        <c:ser>
          <c:idx val="0"/>
          <c:order val="0"/>
          <c:tx>
            <c:strRef>
              <c:f>Acompanhamento!$A$3:$B$3</c:f>
              <c:strCache>
                <c:ptCount val="2"/>
                <c:pt idx="0">
                  <c:v>GEM</c:v>
                </c:pt>
                <c:pt idx="1">
                  <c:v>Recebido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(Acompanhamento!$C$2,Acompanhamento!$E$2:$V$2,Acompanhamento!$BC$2)</c:f>
              <c:strCache>
                <c:ptCount val="20"/>
                <c:pt idx="0">
                  <c:v>1</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Total</c:v>
                </c:pt>
              </c:strCache>
            </c:strRef>
          </c:cat>
          <c:val>
            <c:numRef>
              <c:extLst>
                <c:ext xmlns:c15="http://schemas.microsoft.com/office/drawing/2012/chart" uri="{02D57815-91ED-43cb-92C2-25804820EDAC}">
                  <c15:fullRef>
                    <c15:sqref>Acompanhamento!$C$3:$BC$3</c15:sqref>
                  </c15:fullRef>
                </c:ext>
              </c:extLst>
              <c:f>(Acompanhamento!$C$3,Acompanhamento!$E$3:$V$3,Acompanhamento!$BC$3)</c:f>
              <c:numCache>
                <c:formatCode>General</c:formatCode>
                <c:ptCount val="20"/>
                <c:pt idx="0">
                  <c:v>3</c:v>
                </c:pt>
                <c:pt idx="1">
                  <c:v>8</c:v>
                </c:pt>
                <c:pt idx="2">
                  <c:v>5</c:v>
                </c:pt>
                <c:pt idx="3">
                  <c:v>4</c:v>
                </c:pt>
                <c:pt idx="4">
                  <c:v>2</c:v>
                </c:pt>
                <c:pt idx="5">
                  <c:v>1</c:v>
                </c:pt>
                <c:pt idx="6">
                  <c:v>5</c:v>
                </c:pt>
                <c:pt idx="7">
                  <c:v>5</c:v>
                </c:pt>
                <c:pt idx="8">
                  <c:v>1</c:v>
                </c:pt>
                <c:pt idx="9">
                  <c:v>3</c:v>
                </c:pt>
                <c:pt idx="10">
                  <c:v>4</c:v>
                </c:pt>
                <c:pt idx="11">
                  <c:v>7</c:v>
                </c:pt>
                <c:pt idx="12">
                  <c:v>1</c:v>
                </c:pt>
                <c:pt idx="13">
                  <c:v>0</c:v>
                </c:pt>
                <c:pt idx="14">
                  <c:v>1</c:v>
                </c:pt>
                <c:pt idx="15">
                  <c:v>7</c:v>
                </c:pt>
                <c:pt idx="16">
                  <c:v>11</c:v>
                </c:pt>
                <c:pt idx="17">
                  <c:v>8</c:v>
                </c:pt>
                <c:pt idx="18">
                  <c:v>8</c:v>
                </c:pt>
                <c:pt idx="19">
                  <c:v>235</c:v>
                </c:pt>
              </c:numCache>
            </c:numRef>
          </c:val>
          <c:extLst>
            <c:ext xmlns:c16="http://schemas.microsoft.com/office/drawing/2014/chart" uri="{C3380CC4-5D6E-409C-BE32-E72D297353CC}">
              <c16:uniqueId val="{00000000-4B53-45E6-A761-62D89C7A38AF}"/>
            </c:ext>
          </c:extLst>
        </c:ser>
        <c:ser>
          <c:idx val="1"/>
          <c:order val="1"/>
          <c:tx>
            <c:strRef>
              <c:f>Acompanhamento!$A$4:$B$4</c:f>
              <c:strCache>
                <c:ptCount val="2"/>
                <c:pt idx="0">
                  <c:v>GEM</c:v>
                </c:pt>
                <c:pt idx="1">
                  <c:v>Respondido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(Acompanhamento!$C$2,Acompanhamento!$E$2:$V$2,Acompanhamento!$BC$2)</c:f>
              <c:strCache>
                <c:ptCount val="20"/>
                <c:pt idx="0">
                  <c:v>1</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Total</c:v>
                </c:pt>
              </c:strCache>
            </c:strRef>
          </c:cat>
          <c:val>
            <c:numRef>
              <c:extLst>
                <c:ext xmlns:c15="http://schemas.microsoft.com/office/drawing/2012/chart" uri="{02D57815-91ED-43cb-92C2-25804820EDAC}">
                  <c15:fullRef>
                    <c15:sqref>Acompanhamento!$C$4:$BC$4</c15:sqref>
                  </c15:fullRef>
                </c:ext>
              </c:extLst>
              <c:f>(Acompanhamento!$C$4,Acompanhamento!$E$4:$V$4,Acompanhamento!$BC$4)</c:f>
              <c:numCache>
                <c:formatCode>General</c:formatCode>
                <c:ptCount val="20"/>
                <c:pt idx="0">
                  <c:v>5</c:v>
                </c:pt>
                <c:pt idx="1">
                  <c:v>4</c:v>
                </c:pt>
                <c:pt idx="2">
                  <c:v>10</c:v>
                </c:pt>
                <c:pt idx="3">
                  <c:v>1</c:v>
                </c:pt>
                <c:pt idx="4">
                  <c:v>6</c:v>
                </c:pt>
                <c:pt idx="5">
                  <c:v>0</c:v>
                </c:pt>
                <c:pt idx="6">
                  <c:v>6</c:v>
                </c:pt>
                <c:pt idx="7">
                  <c:v>0</c:v>
                </c:pt>
                <c:pt idx="8">
                  <c:v>2</c:v>
                </c:pt>
                <c:pt idx="9">
                  <c:v>4</c:v>
                </c:pt>
                <c:pt idx="10">
                  <c:v>4</c:v>
                </c:pt>
                <c:pt idx="11">
                  <c:v>4</c:v>
                </c:pt>
                <c:pt idx="12">
                  <c:v>0</c:v>
                </c:pt>
                <c:pt idx="13">
                  <c:v>7</c:v>
                </c:pt>
                <c:pt idx="14">
                  <c:v>0</c:v>
                </c:pt>
                <c:pt idx="15">
                  <c:v>3</c:v>
                </c:pt>
                <c:pt idx="16">
                  <c:v>9</c:v>
                </c:pt>
                <c:pt idx="17">
                  <c:v>14</c:v>
                </c:pt>
                <c:pt idx="18">
                  <c:v>1</c:v>
                </c:pt>
                <c:pt idx="19">
                  <c:v>237</c:v>
                </c:pt>
              </c:numCache>
            </c:numRef>
          </c:val>
          <c:extLst>
            <c:ext xmlns:c16="http://schemas.microsoft.com/office/drawing/2014/chart" uri="{C3380CC4-5D6E-409C-BE32-E72D297353CC}">
              <c16:uniqueId val="{00000001-4B53-45E6-A761-62D89C7A38AF}"/>
            </c:ext>
          </c:extLst>
        </c:ser>
        <c:ser>
          <c:idx val="2"/>
          <c:order val="2"/>
          <c:tx>
            <c:strRef>
              <c:f>Acompanhamento!$A$5:$B$5</c:f>
              <c:strCache>
                <c:ptCount val="2"/>
                <c:pt idx="0">
                  <c:v>GEM</c:v>
                </c:pt>
                <c:pt idx="1">
                  <c:v>Falta Responder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(Acompanhamento!$C$2,Acompanhamento!$E$2:$V$2,Acompanhamento!$BC$2)</c:f>
              <c:strCache>
                <c:ptCount val="20"/>
                <c:pt idx="0">
                  <c:v>1</c:v>
                </c:pt>
                <c:pt idx="1">
                  <c:v>3</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Total</c:v>
                </c:pt>
              </c:strCache>
            </c:strRef>
          </c:cat>
          <c:val>
            <c:numRef>
              <c:extLst>
                <c:ext xmlns:c15="http://schemas.microsoft.com/office/drawing/2012/chart" uri="{02D57815-91ED-43cb-92C2-25804820EDAC}">
                  <c15:fullRef>
                    <c15:sqref>Acompanhamento!$C$5:$BC$5</c15:sqref>
                  </c15:fullRef>
                </c:ext>
              </c:extLst>
              <c:f>(Acompanhamento!$C$5,Acompanhamento!$E$5:$V$5,Acompanhamento!$BC$5)</c:f>
              <c:numCache>
                <c:formatCode>General</c:formatCode>
                <c:ptCount val="20"/>
                <c:pt idx="0">
                  <c:v>-2</c:v>
                </c:pt>
                <c:pt idx="1">
                  <c:v>4</c:v>
                </c:pt>
                <c:pt idx="2">
                  <c:v>-5</c:v>
                </c:pt>
                <c:pt idx="3">
                  <c:v>3</c:v>
                </c:pt>
                <c:pt idx="4">
                  <c:v>-4</c:v>
                </c:pt>
                <c:pt idx="5">
                  <c:v>1</c:v>
                </c:pt>
                <c:pt idx="6">
                  <c:v>-1</c:v>
                </c:pt>
                <c:pt idx="7">
                  <c:v>5</c:v>
                </c:pt>
                <c:pt idx="8">
                  <c:v>-1</c:v>
                </c:pt>
                <c:pt idx="9">
                  <c:v>-1</c:v>
                </c:pt>
                <c:pt idx="10">
                  <c:v>0</c:v>
                </c:pt>
                <c:pt idx="11">
                  <c:v>3</c:v>
                </c:pt>
                <c:pt idx="12">
                  <c:v>1</c:v>
                </c:pt>
                <c:pt idx="13">
                  <c:v>-7</c:v>
                </c:pt>
                <c:pt idx="14">
                  <c:v>1</c:v>
                </c:pt>
                <c:pt idx="15">
                  <c:v>4</c:v>
                </c:pt>
                <c:pt idx="16">
                  <c:v>2</c:v>
                </c:pt>
                <c:pt idx="17">
                  <c:v>-6</c:v>
                </c:pt>
                <c:pt idx="18">
                  <c:v>7</c:v>
                </c:pt>
                <c:pt idx="19">
                  <c:v>-2</c:v>
                </c:pt>
              </c:numCache>
            </c:numRef>
          </c:val>
          <c:extLst>
            <c:ext xmlns:c16="http://schemas.microsoft.com/office/drawing/2014/chart" uri="{C3380CC4-5D6E-409C-BE32-E72D297353CC}">
              <c16:uniqueId val="{00000002-4B53-45E6-A761-62D89C7A38AF}"/>
            </c:ext>
          </c:extLst>
        </c:ser>
        <c:dLbls>
          <c:dLblPos val="ctr"/>
          <c:showLegendKey val="0"/>
          <c:showVal val="1"/>
          <c:showCatName val="0"/>
          <c:showSerName val="0"/>
          <c:showPercent val="0"/>
          <c:showBubbleSize val="0"/>
        </c:dLbls>
        <c:gapWidth val="0"/>
        <c:overlap val="100"/>
        <c:axId val="104191024"/>
        <c:axId val="104191352"/>
      </c:barChart>
      <c:catAx>
        <c:axId val="10419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crossAx val="104191352"/>
        <c:crosses val="autoZero"/>
        <c:auto val="1"/>
        <c:lblAlgn val="ctr"/>
        <c:lblOffset val="100"/>
        <c:noMultiLvlLbl val="0"/>
      </c:catAx>
      <c:valAx>
        <c:axId val="104191352"/>
        <c:scaling>
          <c:orientation val="minMax"/>
        </c:scaling>
        <c:delete val="1"/>
        <c:axPos val="l"/>
        <c:numFmt formatCode="0%" sourceLinked="1"/>
        <c:majorTickMark val="none"/>
        <c:minorTickMark val="none"/>
        <c:tickLblPos val="nextTo"/>
        <c:crossAx val="10419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Resumo por semana CR VS30 2023</a:t>
            </a:r>
          </a:p>
        </c:rich>
      </c:tx>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percentStacked"/>
        <c:varyColors val="0"/>
        <c:ser>
          <c:idx val="0"/>
          <c:order val="0"/>
          <c:tx>
            <c:strRef>
              <c:f>Acompanhamento!$A$8:$B$8</c:f>
              <c:strCache>
                <c:ptCount val="2"/>
                <c:pt idx="0">
                  <c:v>VS30</c:v>
                </c:pt>
                <c:pt idx="1">
                  <c:v>Respondido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(Acompanhamento!$C$2:$V$2,Acompanhamento!$BC$2)</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Total</c:v>
                </c:pt>
              </c:strCache>
            </c:strRef>
          </c:cat>
          <c:val>
            <c:numRef>
              <c:extLst>
                <c:ext xmlns:c15="http://schemas.microsoft.com/office/drawing/2012/chart" uri="{02D57815-91ED-43cb-92C2-25804820EDAC}">
                  <c15:fullRef>
                    <c15:sqref>Acompanhamento!$C$8:$BC$8</c15:sqref>
                  </c15:fullRef>
                </c:ext>
              </c:extLst>
              <c:f>(Acompanhamento!$C$8:$V$8,Acompanhamento!$BC$8)</c:f>
              <c:numCache>
                <c:formatCode>General</c:formatCode>
                <c:ptCount val="21"/>
                <c:pt idx="0">
                  <c:v>0</c:v>
                </c:pt>
                <c:pt idx="1">
                  <c:v>0</c:v>
                </c:pt>
                <c:pt idx="2">
                  <c:v>1</c:v>
                </c:pt>
                <c:pt idx="3">
                  <c:v>0</c:v>
                </c:pt>
                <c:pt idx="4">
                  <c:v>1</c:v>
                </c:pt>
                <c:pt idx="5">
                  <c:v>2</c:v>
                </c:pt>
                <c:pt idx="6">
                  <c:v>1</c:v>
                </c:pt>
                <c:pt idx="7">
                  <c:v>0</c:v>
                </c:pt>
                <c:pt idx="8">
                  <c:v>0</c:v>
                </c:pt>
                <c:pt idx="9">
                  <c:v>0</c:v>
                </c:pt>
                <c:pt idx="10">
                  <c:v>3</c:v>
                </c:pt>
                <c:pt idx="11">
                  <c:v>10</c:v>
                </c:pt>
                <c:pt idx="12">
                  <c:v>4</c:v>
                </c:pt>
                <c:pt idx="13">
                  <c:v>0</c:v>
                </c:pt>
                <c:pt idx="14">
                  <c:v>2</c:v>
                </c:pt>
                <c:pt idx="15">
                  <c:v>0</c:v>
                </c:pt>
                <c:pt idx="16">
                  <c:v>4</c:v>
                </c:pt>
                <c:pt idx="17">
                  <c:v>2</c:v>
                </c:pt>
                <c:pt idx="18">
                  <c:v>4</c:v>
                </c:pt>
                <c:pt idx="19">
                  <c:v>0</c:v>
                </c:pt>
                <c:pt idx="20">
                  <c:v>88</c:v>
                </c:pt>
              </c:numCache>
            </c:numRef>
          </c:val>
          <c:extLst>
            <c:ext xmlns:c16="http://schemas.microsoft.com/office/drawing/2014/chart" uri="{C3380CC4-5D6E-409C-BE32-E72D297353CC}">
              <c16:uniqueId val="{00000000-5306-4B92-B76A-FB5D001AE170}"/>
            </c:ext>
          </c:extLst>
        </c:ser>
        <c:ser>
          <c:idx val="1"/>
          <c:order val="1"/>
          <c:tx>
            <c:strRef>
              <c:f>Acompanhamento!$A$7:$B$7</c:f>
              <c:strCache>
                <c:ptCount val="2"/>
                <c:pt idx="0">
                  <c:v>VS30</c:v>
                </c:pt>
                <c:pt idx="1">
                  <c:v>Recebido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(Acompanhamento!$C$2:$V$2,Acompanhamento!$BC$2)</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Total</c:v>
                </c:pt>
              </c:strCache>
            </c:strRef>
          </c:cat>
          <c:val>
            <c:numRef>
              <c:extLst>
                <c:ext xmlns:c15="http://schemas.microsoft.com/office/drawing/2012/chart" uri="{02D57815-91ED-43cb-92C2-25804820EDAC}">
                  <c15:fullRef>
                    <c15:sqref>Acompanhamento!$C$7:$BC$7</c15:sqref>
                  </c15:fullRef>
                </c:ext>
              </c:extLst>
              <c:f>(Acompanhamento!$C$7:$V$7,Acompanhamento!$BC$7)</c:f>
              <c:numCache>
                <c:formatCode>General</c:formatCode>
                <c:ptCount val="21"/>
                <c:pt idx="0">
                  <c:v>0</c:v>
                </c:pt>
                <c:pt idx="1">
                  <c:v>1</c:v>
                </c:pt>
                <c:pt idx="2">
                  <c:v>0</c:v>
                </c:pt>
                <c:pt idx="3">
                  <c:v>0</c:v>
                </c:pt>
                <c:pt idx="4">
                  <c:v>0</c:v>
                </c:pt>
                <c:pt idx="5">
                  <c:v>2</c:v>
                </c:pt>
                <c:pt idx="6">
                  <c:v>0</c:v>
                </c:pt>
                <c:pt idx="7">
                  <c:v>0</c:v>
                </c:pt>
                <c:pt idx="8">
                  <c:v>2</c:v>
                </c:pt>
                <c:pt idx="9">
                  <c:v>3</c:v>
                </c:pt>
                <c:pt idx="10">
                  <c:v>11</c:v>
                </c:pt>
                <c:pt idx="11">
                  <c:v>3</c:v>
                </c:pt>
                <c:pt idx="12">
                  <c:v>2</c:v>
                </c:pt>
                <c:pt idx="13">
                  <c:v>2</c:v>
                </c:pt>
                <c:pt idx="14">
                  <c:v>0</c:v>
                </c:pt>
                <c:pt idx="15">
                  <c:v>0</c:v>
                </c:pt>
                <c:pt idx="16">
                  <c:v>4</c:v>
                </c:pt>
                <c:pt idx="17">
                  <c:v>2</c:v>
                </c:pt>
                <c:pt idx="18">
                  <c:v>2</c:v>
                </c:pt>
                <c:pt idx="19">
                  <c:v>3</c:v>
                </c:pt>
                <c:pt idx="20">
                  <c:v>88</c:v>
                </c:pt>
              </c:numCache>
            </c:numRef>
          </c:val>
          <c:extLst>
            <c:ext xmlns:c16="http://schemas.microsoft.com/office/drawing/2014/chart" uri="{C3380CC4-5D6E-409C-BE32-E72D297353CC}">
              <c16:uniqueId val="{00000001-5306-4B92-B76A-FB5D001AE170}"/>
            </c:ext>
          </c:extLst>
        </c:ser>
        <c:ser>
          <c:idx val="2"/>
          <c:order val="2"/>
          <c:tx>
            <c:strRef>
              <c:f>Acompanhamento!$A$9:$B$9</c:f>
              <c:strCache>
                <c:ptCount val="2"/>
                <c:pt idx="0">
                  <c:v>VS30</c:v>
                </c:pt>
                <c:pt idx="1">
                  <c:v>Falta Responder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(Acompanhamento!$C$2:$V$2,Acompanhamento!$BC$2)</c:f>
              <c:strCache>
                <c:ptCount val="2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Total</c:v>
                </c:pt>
              </c:strCache>
            </c:strRef>
          </c:cat>
          <c:val>
            <c:numRef>
              <c:extLst>
                <c:ext xmlns:c15="http://schemas.microsoft.com/office/drawing/2012/chart" uri="{02D57815-91ED-43cb-92C2-25804820EDAC}">
                  <c15:fullRef>
                    <c15:sqref>Acompanhamento!$C$9:$BC$9</c15:sqref>
                  </c15:fullRef>
                </c:ext>
              </c:extLst>
              <c:f>(Acompanhamento!$C$9:$V$9,Acompanhamento!$BC$9)</c:f>
              <c:numCache>
                <c:formatCode>General</c:formatCode>
                <c:ptCount val="21"/>
                <c:pt idx="0">
                  <c:v>0</c:v>
                </c:pt>
                <c:pt idx="1">
                  <c:v>1</c:v>
                </c:pt>
                <c:pt idx="2">
                  <c:v>-1</c:v>
                </c:pt>
                <c:pt idx="3">
                  <c:v>0</c:v>
                </c:pt>
                <c:pt idx="4">
                  <c:v>-1</c:v>
                </c:pt>
                <c:pt idx="5">
                  <c:v>0</c:v>
                </c:pt>
                <c:pt idx="6">
                  <c:v>-1</c:v>
                </c:pt>
                <c:pt idx="7">
                  <c:v>0</c:v>
                </c:pt>
                <c:pt idx="8">
                  <c:v>2</c:v>
                </c:pt>
                <c:pt idx="9">
                  <c:v>3</c:v>
                </c:pt>
                <c:pt idx="10">
                  <c:v>8</c:v>
                </c:pt>
                <c:pt idx="11">
                  <c:v>-7</c:v>
                </c:pt>
                <c:pt idx="12">
                  <c:v>-2</c:v>
                </c:pt>
                <c:pt idx="13">
                  <c:v>2</c:v>
                </c:pt>
                <c:pt idx="14">
                  <c:v>-2</c:v>
                </c:pt>
                <c:pt idx="15">
                  <c:v>0</c:v>
                </c:pt>
                <c:pt idx="16">
                  <c:v>0</c:v>
                </c:pt>
                <c:pt idx="17">
                  <c:v>0</c:v>
                </c:pt>
                <c:pt idx="18">
                  <c:v>-2</c:v>
                </c:pt>
                <c:pt idx="19">
                  <c:v>3</c:v>
                </c:pt>
                <c:pt idx="20">
                  <c:v>0</c:v>
                </c:pt>
              </c:numCache>
            </c:numRef>
          </c:val>
          <c:extLst>
            <c:ext xmlns:c16="http://schemas.microsoft.com/office/drawing/2014/chart" uri="{C3380CC4-5D6E-409C-BE32-E72D297353CC}">
              <c16:uniqueId val="{00000002-5306-4B92-B76A-FB5D001AE170}"/>
            </c:ext>
          </c:extLst>
        </c:ser>
        <c:dLbls>
          <c:dLblPos val="ctr"/>
          <c:showLegendKey val="0"/>
          <c:showVal val="1"/>
          <c:showCatName val="0"/>
          <c:showSerName val="0"/>
          <c:showPercent val="0"/>
          <c:showBubbleSize val="0"/>
        </c:dLbls>
        <c:gapWidth val="0"/>
        <c:overlap val="100"/>
        <c:axId val="104191024"/>
        <c:axId val="104191352"/>
      </c:barChart>
      <c:catAx>
        <c:axId val="10419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crossAx val="104191352"/>
        <c:crosses val="autoZero"/>
        <c:auto val="1"/>
        <c:lblAlgn val="ctr"/>
        <c:lblOffset val="100"/>
        <c:noMultiLvlLbl val="0"/>
      </c:catAx>
      <c:valAx>
        <c:axId val="104191352"/>
        <c:scaling>
          <c:orientation val="minMax"/>
        </c:scaling>
        <c:delete val="1"/>
        <c:axPos val="l"/>
        <c:numFmt formatCode="0%" sourceLinked="1"/>
        <c:majorTickMark val="none"/>
        <c:minorTickMark val="none"/>
        <c:tickLblPos val="nextTo"/>
        <c:crossAx val="10419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Resumo por semana CR SPIN 2023</a:t>
            </a:r>
          </a:p>
        </c:rich>
      </c:tx>
      <c:overlay val="0"/>
      <c:spPr>
        <a:noFill/>
        <a:ln>
          <a:noFill/>
        </a:ln>
        <a:effectLst/>
      </c:spPr>
      <c:txPr>
        <a:bodyPr rot="0" spcFirstLastPara="1" vertOverflow="ellipsis" vert="horz" wrap="square" anchor="ctr" anchorCtr="1"/>
        <a:lstStyle/>
        <a:p>
          <a:pPr>
            <a:defRPr sz="1600" b="1" i="0" u="none" strike="noStrike"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plotArea>
      <c:layout/>
      <c:barChart>
        <c:barDir val="col"/>
        <c:grouping val="percentStacked"/>
        <c:varyColors val="0"/>
        <c:ser>
          <c:idx val="0"/>
          <c:order val="0"/>
          <c:tx>
            <c:strRef>
              <c:f>Acompanhamento!$A$12:$B$12</c:f>
              <c:strCache>
                <c:ptCount val="2"/>
                <c:pt idx="0">
                  <c:v>SPIN</c:v>
                </c:pt>
                <c:pt idx="1">
                  <c:v>Respondido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extLst>
                <c:ext xmlns:c15="http://schemas.microsoft.com/office/drawing/2012/chart" uri="{02D57815-91ED-43cb-92C2-25804820EDAC}">
                  <c15:fullRef>
                    <c15:sqref>Acompanhamento!$C$12:$BC$12</c15:sqref>
                  </c15:fullRef>
                </c:ext>
              </c:extLst>
              <c:f>Acompanhamento!$C$12:$V$12</c:f>
              <c:numCache>
                <c:formatCode>General</c:formatCode>
                <c:ptCount val="20"/>
                <c:pt idx="0">
                  <c:v>5</c:v>
                </c:pt>
                <c:pt idx="1">
                  <c:v>5</c:v>
                </c:pt>
                <c:pt idx="2">
                  <c:v>4</c:v>
                </c:pt>
                <c:pt idx="3">
                  <c:v>7</c:v>
                </c:pt>
                <c:pt idx="4">
                  <c:v>18</c:v>
                </c:pt>
                <c:pt idx="5">
                  <c:v>16</c:v>
                </c:pt>
                <c:pt idx="6">
                  <c:v>11</c:v>
                </c:pt>
                <c:pt idx="7">
                  <c:v>3</c:v>
                </c:pt>
                <c:pt idx="8">
                  <c:v>10</c:v>
                </c:pt>
                <c:pt idx="9">
                  <c:v>7</c:v>
                </c:pt>
                <c:pt idx="10">
                  <c:v>0</c:v>
                </c:pt>
                <c:pt idx="11">
                  <c:v>8</c:v>
                </c:pt>
                <c:pt idx="12">
                  <c:v>0</c:v>
                </c:pt>
                <c:pt idx="13">
                  <c:v>0</c:v>
                </c:pt>
                <c:pt idx="14">
                  <c:v>7</c:v>
                </c:pt>
                <c:pt idx="15">
                  <c:v>0</c:v>
                </c:pt>
                <c:pt idx="16">
                  <c:v>1</c:v>
                </c:pt>
                <c:pt idx="17">
                  <c:v>8</c:v>
                </c:pt>
                <c:pt idx="18">
                  <c:v>7</c:v>
                </c:pt>
                <c:pt idx="19">
                  <c:v>5</c:v>
                </c:pt>
              </c:numCache>
            </c:numRef>
          </c:val>
          <c:extLst>
            <c:ext xmlns:c16="http://schemas.microsoft.com/office/drawing/2014/chart" uri="{C3380CC4-5D6E-409C-BE32-E72D297353CC}">
              <c16:uniqueId val="{00000000-25FC-42BC-889A-EE529EFEBCBE}"/>
            </c:ext>
          </c:extLst>
        </c:ser>
        <c:ser>
          <c:idx val="1"/>
          <c:order val="1"/>
          <c:tx>
            <c:strRef>
              <c:f>Acompanhamento!$A$11:$B$11</c:f>
              <c:strCache>
                <c:ptCount val="2"/>
                <c:pt idx="0">
                  <c:v>SPIN</c:v>
                </c:pt>
                <c:pt idx="1">
                  <c:v>Recebido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extLst>
                <c:ext xmlns:c15="http://schemas.microsoft.com/office/drawing/2012/chart" uri="{02D57815-91ED-43cb-92C2-25804820EDAC}">
                  <c15:fullRef>
                    <c15:sqref>Acompanhamento!$C$11:$BC$11</c15:sqref>
                  </c15:fullRef>
                </c:ext>
              </c:extLst>
              <c:f>Acompanhamento!$C$11:$V$11</c:f>
              <c:numCache>
                <c:formatCode>General</c:formatCode>
                <c:ptCount val="20"/>
                <c:pt idx="0">
                  <c:v>1</c:v>
                </c:pt>
                <c:pt idx="1">
                  <c:v>6</c:v>
                </c:pt>
                <c:pt idx="2">
                  <c:v>11</c:v>
                </c:pt>
                <c:pt idx="3">
                  <c:v>13</c:v>
                </c:pt>
                <c:pt idx="4">
                  <c:v>7</c:v>
                </c:pt>
                <c:pt idx="5">
                  <c:v>14</c:v>
                </c:pt>
                <c:pt idx="6">
                  <c:v>15</c:v>
                </c:pt>
                <c:pt idx="7">
                  <c:v>2</c:v>
                </c:pt>
                <c:pt idx="8">
                  <c:v>10</c:v>
                </c:pt>
                <c:pt idx="9">
                  <c:v>5</c:v>
                </c:pt>
                <c:pt idx="10">
                  <c:v>5</c:v>
                </c:pt>
                <c:pt idx="11">
                  <c:v>2</c:v>
                </c:pt>
                <c:pt idx="12">
                  <c:v>0</c:v>
                </c:pt>
                <c:pt idx="13">
                  <c:v>6</c:v>
                </c:pt>
                <c:pt idx="14">
                  <c:v>1</c:v>
                </c:pt>
                <c:pt idx="15">
                  <c:v>0</c:v>
                </c:pt>
                <c:pt idx="16">
                  <c:v>5</c:v>
                </c:pt>
                <c:pt idx="17">
                  <c:v>4</c:v>
                </c:pt>
                <c:pt idx="18">
                  <c:v>8</c:v>
                </c:pt>
                <c:pt idx="19">
                  <c:v>4</c:v>
                </c:pt>
              </c:numCache>
            </c:numRef>
          </c:val>
          <c:extLst>
            <c:ext xmlns:c16="http://schemas.microsoft.com/office/drawing/2014/chart" uri="{C3380CC4-5D6E-409C-BE32-E72D297353CC}">
              <c16:uniqueId val="{00000001-25FC-42BC-889A-EE529EFEBCBE}"/>
            </c:ext>
          </c:extLst>
        </c:ser>
        <c:ser>
          <c:idx val="2"/>
          <c:order val="2"/>
          <c:tx>
            <c:strRef>
              <c:f>Acompanhamento!$A$13:$B$13</c:f>
              <c:strCache>
                <c:ptCount val="2"/>
                <c:pt idx="0">
                  <c:v>VS30</c:v>
                </c:pt>
                <c:pt idx="1">
                  <c:v>Falta Responder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lumMod val="95000"/>
                      </a:schemeClr>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Acompanhamento!$C$2:$BC$2</c15:sqref>
                  </c15:fullRef>
                </c:ext>
              </c:extLst>
              <c:f>Acompanhamento!$C$2:$V$2</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extLst>
                <c:ext xmlns:c15="http://schemas.microsoft.com/office/drawing/2012/chart" uri="{02D57815-91ED-43cb-92C2-25804820EDAC}">
                  <c15:fullRef>
                    <c15:sqref>Acompanhamento!$C$13:$BC$13</c15:sqref>
                  </c15:fullRef>
                </c:ext>
              </c:extLst>
              <c:f>Acompanhamento!$C$13:$V$13</c:f>
              <c:numCache>
                <c:formatCode>General</c:formatCode>
                <c:ptCount val="20"/>
                <c:pt idx="0">
                  <c:v>-4</c:v>
                </c:pt>
                <c:pt idx="1">
                  <c:v>1</c:v>
                </c:pt>
                <c:pt idx="2">
                  <c:v>7</c:v>
                </c:pt>
                <c:pt idx="3">
                  <c:v>6</c:v>
                </c:pt>
                <c:pt idx="4">
                  <c:v>-11</c:v>
                </c:pt>
                <c:pt idx="5">
                  <c:v>-2</c:v>
                </c:pt>
                <c:pt idx="6">
                  <c:v>4</c:v>
                </c:pt>
                <c:pt idx="7">
                  <c:v>-1</c:v>
                </c:pt>
                <c:pt idx="8">
                  <c:v>0</c:v>
                </c:pt>
                <c:pt idx="9">
                  <c:v>-2</c:v>
                </c:pt>
                <c:pt idx="10">
                  <c:v>5</c:v>
                </c:pt>
                <c:pt idx="11">
                  <c:v>-6</c:v>
                </c:pt>
                <c:pt idx="12">
                  <c:v>0</c:v>
                </c:pt>
                <c:pt idx="13">
                  <c:v>6</c:v>
                </c:pt>
                <c:pt idx="14">
                  <c:v>-6</c:v>
                </c:pt>
                <c:pt idx="15">
                  <c:v>0</c:v>
                </c:pt>
                <c:pt idx="16">
                  <c:v>4</c:v>
                </c:pt>
                <c:pt idx="17">
                  <c:v>-4</c:v>
                </c:pt>
                <c:pt idx="18">
                  <c:v>1</c:v>
                </c:pt>
                <c:pt idx="19">
                  <c:v>-1</c:v>
                </c:pt>
              </c:numCache>
            </c:numRef>
          </c:val>
          <c:extLst>
            <c:ext xmlns:c16="http://schemas.microsoft.com/office/drawing/2014/chart" uri="{C3380CC4-5D6E-409C-BE32-E72D297353CC}">
              <c16:uniqueId val="{00000002-25FC-42BC-889A-EE529EFEBCBE}"/>
            </c:ext>
          </c:extLst>
        </c:ser>
        <c:dLbls>
          <c:dLblPos val="ctr"/>
          <c:showLegendKey val="0"/>
          <c:showVal val="1"/>
          <c:showCatName val="0"/>
          <c:showSerName val="0"/>
          <c:showPercent val="0"/>
          <c:showBubbleSize val="0"/>
        </c:dLbls>
        <c:gapWidth val="0"/>
        <c:overlap val="100"/>
        <c:axId val="104191024"/>
        <c:axId val="104191352"/>
      </c:barChart>
      <c:catAx>
        <c:axId val="1041910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crossAx val="104191352"/>
        <c:crosses val="autoZero"/>
        <c:auto val="1"/>
        <c:lblAlgn val="ctr"/>
        <c:lblOffset val="100"/>
        <c:noMultiLvlLbl val="0"/>
      </c:catAx>
      <c:valAx>
        <c:axId val="104191352"/>
        <c:scaling>
          <c:orientation val="minMax"/>
        </c:scaling>
        <c:delete val="1"/>
        <c:axPos val="l"/>
        <c:numFmt formatCode="0%" sourceLinked="1"/>
        <c:majorTickMark val="none"/>
        <c:minorTickMark val="none"/>
        <c:tickLblPos val="nextTo"/>
        <c:crossAx val="104191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baseline="0">
              <a:solidFill>
                <a:schemeClr val="lt1">
                  <a:lumMod val="95000"/>
                </a:schemeClr>
              </a:solidFill>
              <a:latin typeface="+mn-lt"/>
              <a:ea typeface="+mn-ea"/>
              <a:cs typeface="+mn-cs"/>
            </a:defRPr>
          </a:pPr>
          <a:endParaRPr lang="pt-B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Acompanhamento!$BE$2</c:f>
              <c:strCache>
                <c:ptCount val="1"/>
                <c:pt idx="0">
                  <c:v>Recebido GEM 2023</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Acompanhamento!$BF$2</c:f>
              <c:numCache>
                <c:formatCode>General</c:formatCode>
                <c:ptCount val="1"/>
                <c:pt idx="0">
                  <c:v>235</c:v>
                </c:pt>
              </c:numCache>
            </c:numRef>
          </c:val>
          <c:extLst>
            <c:ext xmlns:c16="http://schemas.microsoft.com/office/drawing/2014/chart" uri="{C3380CC4-5D6E-409C-BE32-E72D297353CC}">
              <c16:uniqueId val="{00000000-6F4C-40A3-8951-5E3402BB3CA1}"/>
            </c:ext>
          </c:extLst>
        </c:ser>
        <c:ser>
          <c:idx val="1"/>
          <c:order val="1"/>
          <c:tx>
            <c:strRef>
              <c:f>Acompanhamento!$BE$3</c:f>
              <c:strCache>
                <c:ptCount val="1"/>
                <c:pt idx="0">
                  <c:v>Respondido GEM 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Acompanhamento!$BF$3</c:f>
              <c:numCache>
                <c:formatCode>General</c:formatCode>
                <c:ptCount val="1"/>
                <c:pt idx="0">
                  <c:v>237</c:v>
                </c:pt>
              </c:numCache>
            </c:numRef>
          </c:val>
          <c:extLst>
            <c:ext xmlns:c16="http://schemas.microsoft.com/office/drawing/2014/chart" uri="{C3380CC4-5D6E-409C-BE32-E72D297353CC}">
              <c16:uniqueId val="{00000001-6F4C-40A3-8951-5E3402BB3CA1}"/>
            </c:ext>
          </c:extLst>
        </c:ser>
        <c:ser>
          <c:idx val="2"/>
          <c:order val="2"/>
          <c:tx>
            <c:strRef>
              <c:f>Acompanhamento!$BE$4</c:f>
              <c:strCache>
                <c:ptCount val="1"/>
                <c:pt idx="0">
                  <c:v>RecebidoVS30 2023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Acompanhamento!$BF$4</c:f>
              <c:numCache>
                <c:formatCode>General</c:formatCode>
                <c:ptCount val="1"/>
                <c:pt idx="0">
                  <c:v>88</c:v>
                </c:pt>
              </c:numCache>
            </c:numRef>
          </c:val>
          <c:extLst>
            <c:ext xmlns:c16="http://schemas.microsoft.com/office/drawing/2014/chart" uri="{C3380CC4-5D6E-409C-BE32-E72D297353CC}">
              <c16:uniqueId val="{00000002-6F4C-40A3-8951-5E3402BB3CA1}"/>
            </c:ext>
          </c:extLst>
        </c:ser>
        <c:ser>
          <c:idx val="3"/>
          <c:order val="3"/>
          <c:tx>
            <c:strRef>
              <c:f>Acompanhamento!$BE$5</c:f>
              <c:strCache>
                <c:ptCount val="1"/>
                <c:pt idx="0">
                  <c:v>Respondido VS30 2023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val>
            <c:numRef>
              <c:f>Acompanhamento!$BF$5</c:f>
              <c:numCache>
                <c:formatCode>General</c:formatCode>
                <c:ptCount val="1"/>
                <c:pt idx="0">
                  <c:v>88</c:v>
                </c:pt>
              </c:numCache>
            </c:numRef>
          </c:val>
          <c:extLst>
            <c:ext xmlns:c16="http://schemas.microsoft.com/office/drawing/2014/chart" uri="{C3380CC4-5D6E-409C-BE32-E72D297353CC}">
              <c16:uniqueId val="{00000003-6F4C-40A3-8951-5E3402BB3CA1}"/>
            </c:ext>
          </c:extLst>
        </c:ser>
        <c:dLbls>
          <c:dLblPos val="outEnd"/>
          <c:showLegendKey val="0"/>
          <c:showVal val="1"/>
          <c:showCatName val="0"/>
          <c:showSerName val="0"/>
          <c:showPercent val="0"/>
          <c:showBubbleSize val="0"/>
        </c:dLbls>
        <c:gapWidth val="100"/>
        <c:overlap val="-24"/>
        <c:axId val="1047343152"/>
        <c:axId val="1047346104"/>
      </c:barChart>
      <c:catAx>
        <c:axId val="1047343152"/>
        <c:scaling>
          <c:orientation val="minMax"/>
        </c:scaling>
        <c:delete val="1"/>
        <c:axPos val="b"/>
        <c:numFmt formatCode="General" sourceLinked="1"/>
        <c:majorTickMark val="none"/>
        <c:minorTickMark val="none"/>
        <c:tickLblPos val="nextTo"/>
        <c:crossAx val="1047346104"/>
        <c:crosses val="autoZero"/>
        <c:auto val="1"/>
        <c:lblAlgn val="ctr"/>
        <c:lblOffset val="100"/>
        <c:noMultiLvlLbl val="0"/>
      </c:catAx>
      <c:valAx>
        <c:axId val="1047346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1047343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476249</xdr:colOff>
      <xdr:row>17</xdr:row>
      <xdr:rowOff>157161</xdr:rowOff>
    </xdr:from>
    <xdr:to>
      <xdr:col>21</xdr:col>
      <xdr:colOff>171449</xdr:colOff>
      <xdr:row>42</xdr:row>
      <xdr:rowOff>104774</xdr:rowOff>
    </xdr:to>
    <xdr:graphicFrame macro="">
      <xdr:nvGraphicFramePr>
        <xdr:cNvPr id="8" name="Gráfico 7">
          <a:extLst>
            <a:ext uri="{FF2B5EF4-FFF2-40B4-BE49-F238E27FC236}">
              <a16:creationId xmlns:a16="http://schemas.microsoft.com/office/drawing/2014/main" id="{7BC2DF26-42B3-42C9-9B6A-B6C130A682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200025</xdr:colOff>
      <xdr:row>17</xdr:row>
      <xdr:rowOff>152401</xdr:rowOff>
    </xdr:from>
    <xdr:to>
      <xdr:col>49</xdr:col>
      <xdr:colOff>180975</xdr:colOff>
      <xdr:row>42</xdr:row>
      <xdr:rowOff>57150</xdr:rowOff>
    </xdr:to>
    <xdr:graphicFrame macro="">
      <xdr:nvGraphicFramePr>
        <xdr:cNvPr id="10" name="Gráfico 9">
          <a:extLst>
            <a:ext uri="{FF2B5EF4-FFF2-40B4-BE49-F238E27FC236}">
              <a16:creationId xmlns:a16="http://schemas.microsoft.com/office/drawing/2014/main" id="{EE3A1244-5558-422A-B3EE-94CCDBBEB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50</xdr:col>
      <xdr:colOff>200025</xdr:colOff>
      <xdr:row>17</xdr:row>
      <xdr:rowOff>152401</xdr:rowOff>
    </xdr:from>
    <xdr:to>
      <xdr:col>61</xdr:col>
      <xdr:colOff>542925</xdr:colOff>
      <xdr:row>42</xdr:row>
      <xdr:rowOff>66675</xdr:rowOff>
    </xdr:to>
    <xdr:graphicFrame macro="">
      <xdr:nvGraphicFramePr>
        <xdr:cNvPr id="11" name="Gráfico 10">
          <a:extLst>
            <a:ext uri="{FF2B5EF4-FFF2-40B4-BE49-F238E27FC236}">
              <a16:creationId xmlns:a16="http://schemas.microsoft.com/office/drawing/2014/main" id="{3523F97C-1815-4ADC-AC39-6F438E311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161925</xdr:colOff>
      <xdr:row>0</xdr:row>
      <xdr:rowOff>76200</xdr:rowOff>
    </xdr:from>
    <xdr:to>
      <xdr:col>61</xdr:col>
      <xdr:colOff>304800</xdr:colOff>
      <xdr:row>8</xdr:row>
      <xdr:rowOff>200025</xdr:rowOff>
    </xdr:to>
    <xdr:graphicFrame macro="">
      <xdr:nvGraphicFramePr>
        <xdr:cNvPr id="3" name="Gráfico 2">
          <a:extLst>
            <a:ext uri="{FF2B5EF4-FFF2-40B4-BE49-F238E27FC236}">
              <a16:creationId xmlns:a16="http://schemas.microsoft.com/office/drawing/2014/main" id="{B1706B94-D82A-47F0-B70E-5409786891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ase%20balanceamento%20com%20circuitos%20novos%20CRS/20240104%20Balanceamento%20GEM%20+%20SPIN%20+%20VS30%20circuitos%20novos%20CRSRE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3_11_2022 cOMPLETO"/>
      <sheetName val="Std pack"/>
      <sheetName val="Rates  (2)"/>
      <sheetName val="Delta"/>
      <sheetName val="Esc-equipo Geral Rev1"/>
      <sheetName val="Resumo "/>
      <sheetName val="21-12-2023"/>
      <sheetName val="Rates "/>
      <sheetName val="Planilha11"/>
      <sheetName val="Distr.Aplicadores GEM"/>
      <sheetName val="Calhas Dispon"/>
      <sheetName val="Setup"/>
      <sheetName val="Distr.Calhas de selo"/>
      <sheetName val="Aplicadores"/>
      <sheetName val="Terminal ID"/>
      <sheetName val="Planilha8"/>
      <sheetName val="Planilha6"/>
      <sheetName val="Planilha2"/>
      <sheetName val="Planilha3"/>
      <sheetName val="Planilha4"/>
      <sheetName val="Selo ID"/>
    </sheetNames>
    <sheetDataSet>
      <sheetData sheetId="0"/>
      <sheetData sheetId="1"/>
      <sheetData sheetId="2"/>
      <sheetData sheetId="3"/>
      <sheetData sheetId="4"/>
      <sheetData sheetId="5"/>
      <sheetData sheetId="6"/>
      <sheetData sheetId="7"/>
      <sheetData sheetId="8"/>
      <sheetData sheetId="9">
        <row r="1">
          <cell r="A1"/>
          <cell r="B1"/>
          <cell r="C1"/>
          <cell r="D1" t="str">
            <v>Total  delta</v>
          </cell>
          <cell r="E1">
            <v>-21</v>
          </cell>
          <cell r="F1"/>
          <cell r="G1"/>
          <cell r="H1"/>
        </row>
        <row r="2">
          <cell r="A2" t="str">
            <v>Term uso</v>
          </cell>
          <cell r="B2" t="str">
            <v>Maqs GEM</v>
          </cell>
          <cell r="C2" t="str">
            <v>Necess. GEM</v>
          </cell>
          <cell r="D2" t="str">
            <v>Disponível GEM</v>
          </cell>
          <cell r="E2" t="str">
            <v>Delta GEM</v>
          </cell>
          <cell r="F2" t="str">
            <v>comprado
spin</v>
          </cell>
          <cell r="G2" t="str">
            <v>comprado 
Par gem</v>
          </cell>
          <cell r="H2" t="str">
            <v>Carga hrs Gem</v>
          </cell>
        </row>
        <row r="3">
          <cell r="A3" t="str">
            <v>E00066800</v>
          </cell>
          <cell r="B3">
            <v>5</v>
          </cell>
          <cell r="C3">
            <v>5</v>
          </cell>
          <cell r="D3">
            <v>8</v>
          </cell>
          <cell r="E3">
            <v>3</v>
          </cell>
          <cell r="F3"/>
          <cell r="G3"/>
          <cell r="H3">
            <v>12.410639815836722</v>
          </cell>
        </row>
        <row r="4">
          <cell r="A4" t="str">
            <v>32025Y2NZ</v>
          </cell>
          <cell r="B4">
            <v>0</v>
          </cell>
          <cell r="C4">
            <v>0</v>
          </cell>
          <cell r="D4">
            <v>1</v>
          </cell>
          <cell r="E4">
            <v>1</v>
          </cell>
          <cell r="F4"/>
          <cell r="G4"/>
          <cell r="H4">
            <v>0</v>
          </cell>
        </row>
        <row r="5">
          <cell r="A5" t="str">
            <v>E05944100</v>
          </cell>
          <cell r="B5">
            <v>0</v>
          </cell>
          <cell r="C5">
            <v>0</v>
          </cell>
          <cell r="D5">
            <v>4</v>
          </cell>
          <cell r="E5">
            <v>4</v>
          </cell>
          <cell r="F5"/>
          <cell r="G5"/>
          <cell r="H5">
            <v>0</v>
          </cell>
        </row>
        <row r="6">
          <cell r="A6" t="str">
            <v>E14088800</v>
          </cell>
          <cell r="B6">
            <v>0</v>
          </cell>
          <cell r="C6">
            <v>0</v>
          </cell>
          <cell r="D6">
            <v>2</v>
          </cell>
          <cell r="E6">
            <v>2</v>
          </cell>
          <cell r="F6"/>
          <cell r="G6"/>
          <cell r="H6">
            <v>0</v>
          </cell>
        </row>
        <row r="7">
          <cell r="A7" t="str">
            <v>E08963400</v>
          </cell>
          <cell r="B7">
            <v>2</v>
          </cell>
          <cell r="C7">
            <v>2</v>
          </cell>
          <cell r="D7">
            <v>4</v>
          </cell>
          <cell r="E7">
            <v>2</v>
          </cell>
          <cell r="F7"/>
          <cell r="G7"/>
          <cell r="H7">
            <v>1.3121615687387536</v>
          </cell>
        </row>
        <row r="8">
          <cell r="A8" t="str">
            <v>3202514Z9</v>
          </cell>
          <cell r="B8">
            <v>0</v>
          </cell>
          <cell r="C8">
            <v>0</v>
          </cell>
          <cell r="D8">
            <v>3</v>
          </cell>
          <cell r="E8">
            <v>3</v>
          </cell>
          <cell r="F8"/>
          <cell r="G8"/>
          <cell r="H8">
            <v>0</v>
          </cell>
        </row>
        <row r="9">
          <cell r="A9" t="str">
            <v>3202980E2</v>
          </cell>
          <cell r="B9">
            <v>2</v>
          </cell>
          <cell r="C9">
            <v>2</v>
          </cell>
          <cell r="D9">
            <v>5</v>
          </cell>
          <cell r="E9">
            <v>3</v>
          </cell>
          <cell r="F9"/>
          <cell r="G9"/>
          <cell r="H9">
            <v>2.89468037708538</v>
          </cell>
        </row>
        <row r="10">
          <cell r="A10" t="str">
            <v>3202585Y5</v>
          </cell>
          <cell r="B10">
            <v>3</v>
          </cell>
          <cell r="C10">
            <v>3</v>
          </cell>
          <cell r="D10">
            <v>1</v>
          </cell>
          <cell r="E10">
            <v>-2</v>
          </cell>
          <cell r="F10"/>
          <cell r="G10"/>
          <cell r="H10">
            <v>2.4967011995637947</v>
          </cell>
        </row>
        <row r="11">
          <cell r="A11" t="str">
            <v>32025Y2CX</v>
          </cell>
          <cell r="B11">
            <v>2</v>
          </cell>
          <cell r="C11">
            <v>2</v>
          </cell>
          <cell r="D11">
            <v>3</v>
          </cell>
          <cell r="E11">
            <v>1</v>
          </cell>
          <cell r="F11"/>
          <cell r="G11"/>
          <cell r="H11">
            <v>6.4792877288589299</v>
          </cell>
        </row>
        <row r="12">
          <cell r="A12" t="str">
            <v>3202584Y6</v>
          </cell>
          <cell r="B12">
            <v>4</v>
          </cell>
          <cell r="C12">
            <v>4</v>
          </cell>
          <cell r="D12">
            <v>10</v>
          </cell>
          <cell r="E12">
            <v>6</v>
          </cell>
          <cell r="F12"/>
          <cell r="G12"/>
          <cell r="H12">
            <v>23.217706310020844</v>
          </cell>
        </row>
        <row r="13">
          <cell r="A13" t="str">
            <v>E00120500</v>
          </cell>
          <cell r="B13">
            <v>6</v>
          </cell>
          <cell r="C13">
            <v>6</v>
          </cell>
          <cell r="D13">
            <v>11</v>
          </cell>
          <cell r="E13">
            <v>5</v>
          </cell>
          <cell r="F13"/>
          <cell r="G13"/>
          <cell r="H13">
            <v>15.39759872463309</v>
          </cell>
        </row>
        <row r="14">
          <cell r="A14" t="str">
            <v>E03846100</v>
          </cell>
          <cell r="B14">
            <v>2</v>
          </cell>
          <cell r="C14">
            <v>2</v>
          </cell>
          <cell r="D14">
            <v>1</v>
          </cell>
          <cell r="E14">
            <v>-1</v>
          </cell>
          <cell r="F14"/>
          <cell r="G14"/>
          <cell r="H14">
            <v>3.201481462304189</v>
          </cell>
        </row>
        <row r="15">
          <cell r="A15" t="str">
            <v>3202634A1</v>
          </cell>
          <cell r="B15">
            <v>1</v>
          </cell>
          <cell r="C15">
            <v>1</v>
          </cell>
          <cell r="D15">
            <v>7</v>
          </cell>
          <cell r="E15">
            <v>6</v>
          </cell>
          <cell r="F15"/>
          <cell r="G15"/>
          <cell r="H15">
            <v>1.3158195869093376</v>
          </cell>
        </row>
        <row r="16">
          <cell r="A16" t="str">
            <v>3202664P1</v>
          </cell>
          <cell r="B16">
            <v>1</v>
          </cell>
          <cell r="C16">
            <v>1</v>
          </cell>
          <cell r="D16">
            <v>1</v>
          </cell>
          <cell r="E16">
            <v>0</v>
          </cell>
          <cell r="F16"/>
          <cell r="G16"/>
          <cell r="H16">
            <v>2.0375226077416286</v>
          </cell>
        </row>
        <row r="17">
          <cell r="A17" t="str">
            <v>3202539K5</v>
          </cell>
          <cell r="B17">
            <v>1</v>
          </cell>
          <cell r="C17">
            <v>1</v>
          </cell>
          <cell r="D17">
            <v>1</v>
          </cell>
          <cell r="E17">
            <v>0</v>
          </cell>
          <cell r="F17"/>
          <cell r="G17"/>
          <cell r="H17">
            <v>1.6404071246819338</v>
          </cell>
        </row>
        <row r="18">
          <cell r="A18" t="str">
            <v>E15395600</v>
          </cell>
          <cell r="B18">
            <v>5</v>
          </cell>
          <cell r="C18">
            <v>5</v>
          </cell>
          <cell r="D18">
            <v>3</v>
          </cell>
          <cell r="E18">
            <v>-2</v>
          </cell>
          <cell r="F18"/>
          <cell r="G18"/>
          <cell r="H18">
            <v>6.975766290692011</v>
          </cell>
        </row>
        <row r="19">
          <cell r="A19" t="str">
            <v>32025Y1PG</v>
          </cell>
          <cell r="B19">
            <v>3</v>
          </cell>
          <cell r="C19">
            <v>4</v>
          </cell>
          <cell r="D19">
            <v>6</v>
          </cell>
          <cell r="E19">
            <v>2</v>
          </cell>
          <cell r="F19"/>
          <cell r="G19"/>
          <cell r="H19">
            <v>13.200535926294021</v>
          </cell>
        </row>
        <row r="20">
          <cell r="A20" t="str">
            <v>3202539J7</v>
          </cell>
          <cell r="B20">
            <v>5</v>
          </cell>
          <cell r="C20">
            <v>5</v>
          </cell>
          <cell r="D20">
            <v>5</v>
          </cell>
          <cell r="E20">
            <v>0</v>
          </cell>
          <cell r="F20"/>
          <cell r="G20"/>
          <cell r="H20">
            <v>14.064493920070028</v>
          </cell>
        </row>
        <row r="21">
          <cell r="A21" t="str">
            <v>E09349200</v>
          </cell>
          <cell r="B21">
            <v>5</v>
          </cell>
          <cell r="C21">
            <v>5</v>
          </cell>
          <cell r="D21">
            <v>7</v>
          </cell>
          <cell r="E21">
            <v>2</v>
          </cell>
          <cell r="F21"/>
          <cell r="G21"/>
          <cell r="H21">
            <v>11.437712290878897</v>
          </cell>
        </row>
        <row r="22">
          <cell r="A22" t="str">
            <v>E15834400</v>
          </cell>
          <cell r="B22">
            <v>2</v>
          </cell>
          <cell r="C22">
            <v>2</v>
          </cell>
          <cell r="D22">
            <v>3</v>
          </cell>
          <cell r="E22">
            <v>1</v>
          </cell>
          <cell r="F22"/>
          <cell r="G22"/>
          <cell r="H22">
            <v>2.4430894308943087</v>
          </cell>
        </row>
        <row r="23">
          <cell r="A23" t="str">
            <v>E16318300</v>
          </cell>
          <cell r="B23">
            <v>8</v>
          </cell>
          <cell r="C23">
            <v>9</v>
          </cell>
          <cell r="D23">
            <v>15</v>
          </cell>
          <cell r="E23">
            <v>6</v>
          </cell>
          <cell r="F23"/>
          <cell r="G23"/>
          <cell r="H23">
            <v>41.172974559922707</v>
          </cell>
        </row>
        <row r="24">
          <cell r="A24" t="str">
            <v>E04322000</v>
          </cell>
          <cell r="B24">
            <v>1</v>
          </cell>
          <cell r="C24">
            <v>1</v>
          </cell>
          <cell r="D24">
            <v>2</v>
          </cell>
          <cell r="E24">
            <v>1</v>
          </cell>
          <cell r="F24"/>
          <cell r="G24"/>
          <cell r="H24">
            <v>1.5922969031217031</v>
          </cell>
        </row>
        <row r="25">
          <cell r="A25" t="str">
            <v>3202570F6</v>
          </cell>
          <cell r="B25">
            <v>1</v>
          </cell>
          <cell r="C25">
            <v>2</v>
          </cell>
          <cell r="D25">
            <v>6</v>
          </cell>
          <cell r="E25">
            <v>4</v>
          </cell>
          <cell r="F25"/>
          <cell r="G25"/>
          <cell r="H25">
            <v>1.7337404580152673</v>
          </cell>
        </row>
        <row r="26">
          <cell r="A26" t="str">
            <v>3202570E8</v>
          </cell>
          <cell r="B26">
            <v>5</v>
          </cell>
          <cell r="C26">
            <v>6</v>
          </cell>
          <cell r="D26">
            <v>8</v>
          </cell>
          <cell r="E26">
            <v>2</v>
          </cell>
          <cell r="F26"/>
          <cell r="G26"/>
          <cell r="H26">
            <v>10.683467858174053</v>
          </cell>
        </row>
        <row r="27">
          <cell r="A27" t="str">
            <v>E04004100</v>
          </cell>
          <cell r="B27">
            <v>1</v>
          </cell>
          <cell r="C27">
            <v>1</v>
          </cell>
          <cell r="D27">
            <v>1</v>
          </cell>
          <cell r="E27">
            <v>0</v>
          </cell>
          <cell r="F27"/>
          <cell r="G27"/>
          <cell r="H27">
            <v>5.1124481721791426</v>
          </cell>
        </row>
        <row r="28">
          <cell r="A28" t="str">
            <v>E05363600</v>
          </cell>
          <cell r="B28">
            <v>4</v>
          </cell>
          <cell r="C28">
            <v>4</v>
          </cell>
          <cell r="D28">
            <v>7</v>
          </cell>
          <cell r="E28">
            <v>3</v>
          </cell>
          <cell r="F28"/>
          <cell r="G28"/>
          <cell r="H28">
            <v>4.8504242702124163</v>
          </cell>
        </row>
        <row r="29">
          <cell r="A29" t="str">
            <v>32025Y2SR</v>
          </cell>
          <cell r="B29">
            <v>1</v>
          </cell>
          <cell r="C29">
            <v>1</v>
          </cell>
          <cell r="D29">
            <v>2</v>
          </cell>
          <cell r="E29">
            <v>1</v>
          </cell>
          <cell r="F29"/>
          <cell r="G29"/>
          <cell r="H29">
            <v>1.5945679012345679</v>
          </cell>
        </row>
        <row r="30">
          <cell r="A30" t="str">
            <v>E04410900</v>
          </cell>
          <cell r="B30">
            <v>1</v>
          </cell>
          <cell r="C30">
            <v>1</v>
          </cell>
          <cell r="D30">
            <v>6</v>
          </cell>
          <cell r="E30">
            <v>5</v>
          </cell>
          <cell r="F30"/>
          <cell r="G30"/>
          <cell r="H30">
            <v>0.80041666666666667</v>
          </cell>
        </row>
        <row r="31">
          <cell r="A31" t="str">
            <v>E08962800</v>
          </cell>
          <cell r="B31">
            <v>10</v>
          </cell>
          <cell r="C31">
            <v>10</v>
          </cell>
          <cell r="D31">
            <v>11</v>
          </cell>
          <cell r="E31">
            <v>1</v>
          </cell>
          <cell r="F31"/>
          <cell r="G31"/>
          <cell r="H31">
            <v>39.248988854898819</v>
          </cell>
        </row>
        <row r="32">
          <cell r="A32" t="str">
            <v>E08850400</v>
          </cell>
          <cell r="B32">
            <v>1</v>
          </cell>
          <cell r="C32">
            <v>1</v>
          </cell>
          <cell r="D32">
            <v>1</v>
          </cell>
          <cell r="E32">
            <v>0</v>
          </cell>
          <cell r="F32"/>
          <cell r="G32"/>
          <cell r="H32">
            <v>1.1465440723701625</v>
          </cell>
        </row>
        <row r="33">
          <cell r="A33" t="str">
            <v>E04174100</v>
          </cell>
          <cell r="B33">
            <v>12</v>
          </cell>
          <cell r="C33">
            <v>12</v>
          </cell>
          <cell r="D33">
            <v>11</v>
          </cell>
          <cell r="E33">
            <v>-1</v>
          </cell>
          <cell r="F33"/>
          <cell r="G33"/>
          <cell r="H33">
            <v>29.702832185629077</v>
          </cell>
        </row>
        <row r="34">
          <cell r="A34" t="str">
            <v>E02656000</v>
          </cell>
          <cell r="B34">
            <v>3</v>
          </cell>
          <cell r="C34">
            <v>3</v>
          </cell>
          <cell r="D34">
            <v>5</v>
          </cell>
          <cell r="E34">
            <v>2</v>
          </cell>
          <cell r="F34"/>
          <cell r="G34"/>
          <cell r="H34">
            <v>8.0712742924220695</v>
          </cell>
        </row>
        <row r="35">
          <cell r="A35" t="str">
            <v>E16318100</v>
          </cell>
          <cell r="B35">
            <v>4</v>
          </cell>
          <cell r="C35">
            <v>4</v>
          </cell>
          <cell r="D35">
            <v>0</v>
          </cell>
          <cell r="E35">
            <v>-4</v>
          </cell>
          <cell r="F35"/>
          <cell r="G35"/>
          <cell r="H35">
            <v>8.7138675873814471</v>
          </cell>
        </row>
        <row r="36">
          <cell r="A36" t="str">
            <v>32025Y3B8</v>
          </cell>
          <cell r="B36">
            <v>6</v>
          </cell>
          <cell r="C36">
            <v>6</v>
          </cell>
          <cell r="D36">
            <v>4</v>
          </cell>
          <cell r="E36">
            <v>-2</v>
          </cell>
          <cell r="F36"/>
          <cell r="G36"/>
          <cell r="H36">
            <v>20.146655967363618</v>
          </cell>
        </row>
        <row r="37">
          <cell r="A37" t="str">
            <v>3202980D5</v>
          </cell>
          <cell r="B37">
            <v>2</v>
          </cell>
          <cell r="C37">
            <v>2</v>
          </cell>
          <cell r="D37">
            <v>3</v>
          </cell>
          <cell r="E37">
            <v>1</v>
          </cell>
          <cell r="F37"/>
          <cell r="G37"/>
          <cell r="H37">
            <v>2.2834482802817115</v>
          </cell>
        </row>
        <row r="38">
          <cell r="A38">
            <v>320298268</v>
          </cell>
          <cell r="B38">
            <v>1</v>
          </cell>
          <cell r="C38">
            <v>2</v>
          </cell>
          <cell r="D38">
            <v>3</v>
          </cell>
          <cell r="E38">
            <v>1</v>
          </cell>
          <cell r="F38"/>
          <cell r="G38"/>
          <cell r="H38">
            <v>3.928275061120019</v>
          </cell>
        </row>
        <row r="39">
          <cell r="A39" t="str">
            <v>3202585H5</v>
          </cell>
          <cell r="B39">
            <v>4</v>
          </cell>
          <cell r="C39">
            <v>4</v>
          </cell>
          <cell r="D39">
            <v>7</v>
          </cell>
          <cell r="E39">
            <v>3</v>
          </cell>
          <cell r="F39"/>
          <cell r="G39"/>
          <cell r="H39">
            <v>3.7737562813746859</v>
          </cell>
        </row>
        <row r="40">
          <cell r="A40" t="str">
            <v>320257Q84</v>
          </cell>
          <cell r="B40">
            <v>1</v>
          </cell>
          <cell r="C40">
            <v>1</v>
          </cell>
          <cell r="D40">
            <v>1</v>
          </cell>
          <cell r="E40">
            <v>0</v>
          </cell>
          <cell r="F40"/>
          <cell r="G40"/>
          <cell r="H40">
            <v>0.40333333333333332</v>
          </cell>
        </row>
        <row r="41">
          <cell r="A41" t="str">
            <v>3202577Z3</v>
          </cell>
          <cell r="B41">
            <v>6</v>
          </cell>
          <cell r="C41">
            <v>6</v>
          </cell>
          <cell r="D41">
            <v>5</v>
          </cell>
          <cell r="E41">
            <v>-1</v>
          </cell>
          <cell r="F41"/>
          <cell r="G41"/>
          <cell r="H41">
            <v>24.384345063707585</v>
          </cell>
        </row>
        <row r="42">
          <cell r="A42" t="str">
            <v>E05943900</v>
          </cell>
          <cell r="B42">
            <v>5</v>
          </cell>
          <cell r="C42">
            <v>5</v>
          </cell>
          <cell r="D42">
            <v>4</v>
          </cell>
          <cell r="E42">
            <v>-1</v>
          </cell>
          <cell r="F42"/>
          <cell r="G42"/>
          <cell r="H42">
            <v>5.7299156926622796</v>
          </cell>
        </row>
        <row r="43">
          <cell r="A43">
            <v>320259138</v>
          </cell>
          <cell r="B43">
            <v>1</v>
          </cell>
          <cell r="C43">
            <v>1</v>
          </cell>
          <cell r="D43">
            <v>1</v>
          </cell>
          <cell r="E43">
            <v>0</v>
          </cell>
          <cell r="F43"/>
          <cell r="G43"/>
          <cell r="H43">
            <v>0.64717557251908397</v>
          </cell>
        </row>
        <row r="44">
          <cell r="A44" t="str">
            <v>E02842200</v>
          </cell>
          <cell r="B44">
            <v>5</v>
          </cell>
          <cell r="C44">
            <v>5</v>
          </cell>
          <cell r="D44">
            <v>7</v>
          </cell>
          <cell r="E44">
            <v>2</v>
          </cell>
          <cell r="F44"/>
          <cell r="G44"/>
          <cell r="H44">
            <v>4.4648050953376623</v>
          </cell>
        </row>
        <row r="45">
          <cell r="A45" t="str">
            <v>3202640B1</v>
          </cell>
          <cell r="B45">
            <v>1</v>
          </cell>
          <cell r="C45">
            <v>1</v>
          </cell>
          <cell r="D45">
            <v>2</v>
          </cell>
          <cell r="E45">
            <v>1</v>
          </cell>
          <cell r="F45"/>
          <cell r="G45"/>
          <cell r="H45">
            <v>0.18792636796091067</v>
          </cell>
        </row>
        <row r="46">
          <cell r="A46" t="str">
            <v>E03844600</v>
          </cell>
          <cell r="B46">
            <v>4</v>
          </cell>
          <cell r="C46">
            <v>5</v>
          </cell>
          <cell r="D46">
            <v>11</v>
          </cell>
          <cell r="E46">
            <v>6</v>
          </cell>
          <cell r="F46"/>
          <cell r="G46"/>
          <cell r="H46">
            <v>14.109346239414521</v>
          </cell>
        </row>
        <row r="47">
          <cell r="A47" t="str">
            <v>E02273600</v>
          </cell>
          <cell r="B47">
            <v>3</v>
          </cell>
          <cell r="C47">
            <v>3</v>
          </cell>
          <cell r="D47">
            <v>3</v>
          </cell>
          <cell r="E47">
            <v>0</v>
          </cell>
          <cell r="F47"/>
          <cell r="G47"/>
          <cell r="H47">
            <v>2.4492782225532181</v>
          </cell>
        </row>
        <row r="48">
          <cell r="A48" t="str">
            <v>E04092800</v>
          </cell>
          <cell r="B48">
            <v>1</v>
          </cell>
          <cell r="C48">
            <v>1</v>
          </cell>
          <cell r="D48">
            <v>1</v>
          </cell>
          <cell r="E48">
            <v>0</v>
          </cell>
          <cell r="F48"/>
          <cell r="G48"/>
          <cell r="H48">
            <v>0.21969465648854961</v>
          </cell>
        </row>
        <row r="49">
          <cell r="A49" t="str">
            <v>E05127600</v>
          </cell>
          <cell r="B49">
            <v>5</v>
          </cell>
          <cell r="C49">
            <v>5</v>
          </cell>
          <cell r="D49">
            <v>5</v>
          </cell>
          <cell r="E49">
            <v>0</v>
          </cell>
          <cell r="F49"/>
          <cell r="G49"/>
          <cell r="H49">
            <v>4.3473369941823732</v>
          </cell>
        </row>
        <row r="50">
          <cell r="A50">
            <v>320292600</v>
          </cell>
          <cell r="B50">
            <v>2</v>
          </cell>
          <cell r="C50">
            <v>2</v>
          </cell>
          <cell r="D50">
            <v>4</v>
          </cell>
          <cell r="E50">
            <v>2</v>
          </cell>
          <cell r="F50"/>
          <cell r="G50"/>
          <cell r="H50">
            <v>3.2421951219512195</v>
          </cell>
        </row>
        <row r="51">
          <cell r="A51" t="str">
            <v>E02546900</v>
          </cell>
          <cell r="B51">
            <v>2</v>
          </cell>
          <cell r="C51">
            <v>2</v>
          </cell>
          <cell r="D51">
            <v>4</v>
          </cell>
          <cell r="E51">
            <v>2</v>
          </cell>
          <cell r="F51"/>
          <cell r="G51"/>
          <cell r="H51">
            <v>4.0827498739415269</v>
          </cell>
        </row>
        <row r="52">
          <cell r="A52" t="str">
            <v>E03428900</v>
          </cell>
          <cell r="B52">
            <v>4</v>
          </cell>
          <cell r="C52">
            <v>4</v>
          </cell>
          <cell r="D52">
            <v>4</v>
          </cell>
          <cell r="E52">
            <v>0</v>
          </cell>
          <cell r="F52"/>
          <cell r="G52"/>
          <cell r="H52">
            <v>7.5578306333944187</v>
          </cell>
        </row>
        <row r="53">
          <cell r="A53" t="str">
            <v>E05127700</v>
          </cell>
          <cell r="B53">
            <v>1</v>
          </cell>
          <cell r="C53">
            <v>1</v>
          </cell>
          <cell r="D53">
            <v>1</v>
          </cell>
          <cell r="E53">
            <v>0</v>
          </cell>
          <cell r="F53"/>
          <cell r="G53"/>
          <cell r="H53">
            <v>0.60228815842402628</v>
          </cell>
        </row>
        <row r="54">
          <cell r="A54" t="str">
            <v>3202574I6</v>
          </cell>
          <cell r="B54">
            <v>1</v>
          </cell>
          <cell r="C54">
            <v>1</v>
          </cell>
          <cell r="D54">
            <v>3</v>
          </cell>
          <cell r="E54">
            <v>2</v>
          </cell>
          <cell r="F54"/>
          <cell r="G54"/>
          <cell r="H54">
            <v>1.7073175802825076</v>
          </cell>
        </row>
        <row r="55">
          <cell r="A55" t="str">
            <v>3202585A0</v>
          </cell>
          <cell r="B55">
            <v>1</v>
          </cell>
          <cell r="C55">
            <v>1</v>
          </cell>
          <cell r="D55">
            <v>2</v>
          </cell>
          <cell r="E55">
            <v>1</v>
          </cell>
          <cell r="F55"/>
          <cell r="G55"/>
          <cell r="H55">
            <v>5.1489737654320988</v>
          </cell>
        </row>
        <row r="56">
          <cell r="A56" t="str">
            <v>E01647000</v>
          </cell>
          <cell r="B56">
            <v>14</v>
          </cell>
          <cell r="C56">
            <v>14</v>
          </cell>
          <cell r="D56">
            <v>17</v>
          </cell>
          <cell r="E56">
            <v>3</v>
          </cell>
          <cell r="F56"/>
          <cell r="G56"/>
          <cell r="H56">
            <v>45.160609028884501</v>
          </cell>
        </row>
        <row r="57">
          <cell r="A57" t="str">
            <v>E10146200</v>
          </cell>
          <cell r="B57">
            <v>8</v>
          </cell>
          <cell r="C57">
            <v>8</v>
          </cell>
          <cell r="D57">
            <v>8</v>
          </cell>
          <cell r="E57">
            <v>0</v>
          </cell>
          <cell r="F57"/>
          <cell r="G57"/>
          <cell r="H57">
            <v>10.880189577746636</v>
          </cell>
        </row>
        <row r="58">
          <cell r="A58" t="str">
            <v>E10146300</v>
          </cell>
          <cell r="B58">
            <v>1</v>
          </cell>
          <cell r="C58">
            <v>1</v>
          </cell>
          <cell r="D58">
            <v>1</v>
          </cell>
          <cell r="E58">
            <v>0</v>
          </cell>
          <cell r="F58"/>
          <cell r="G58"/>
          <cell r="H58">
            <v>0.57839763958238777</v>
          </cell>
        </row>
        <row r="59">
          <cell r="A59" t="str">
            <v>E02743600</v>
          </cell>
          <cell r="B59">
            <v>1</v>
          </cell>
          <cell r="C59">
            <v>1</v>
          </cell>
          <cell r="D59">
            <v>2</v>
          </cell>
          <cell r="E59">
            <v>1</v>
          </cell>
          <cell r="F59"/>
          <cell r="G59"/>
          <cell r="H59">
            <v>0.56984075280492219</v>
          </cell>
        </row>
        <row r="60">
          <cell r="A60">
            <v>320259872</v>
          </cell>
          <cell r="B60">
            <v>1</v>
          </cell>
          <cell r="C60">
            <v>1</v>
          </cell>
          <cell r="D60">
            <v>1</v>
          </cell>
          <cell r="E60">
            <v>0</v>
          </cell>
          <cell r="F60"/>
          <cell r="G60"/>
          <cell r="H60">
            <v>1.4998803338056999</v>
          </cell>
        </row>
        <row r="61">
          <cell r="A61" t="str">
            <v>3202579V9</v>
          </cell>
          <cell r="B61">
            <v>1</v>
          </cell>
          <cell r="C61">
            <v>1</v>
          </cell>
          <cell r="D61">
            <v>1</v>
          </cell>
          <cell r="E61">
            <v>0</v>
          </cell>
          <cell r="F61"/>
          <cell r="G61"/>
          <cell r="H61">
            <v>0.9058215962441315</v>
          </cell>
        </row>
        <row r="62">
          <cell r="A62" t="str">
            <v>E08814300</v>
          </cell>
          <cell r="B62">
            <v>1</v>
          </cell>
          <cell r="C62">
            <v>2</v>
          </cell>
          <cell r="D62">
            <v>11</v>
          </cell>
          <cell r="E62">
            <v>9</v>
          </cell>
          <cell r="F62"/>
          <cell r="G62"/>
          <cell r="H62">
            <v>0.31427230046948362</v>
          </cell>
        </row>
        <row r="63">
          <cell r="A63" t="str">
            <v>3202650S8</v>
          </cell>
          <cell r="B63">
            <v>1</v>
          </cell>
          <cell r="C63">
            <v>1</v>
          </cell>
          <cell r="D63">
            <v>4</v>
          </cell>
          <cell r="E63">
            <v>3</v>
          </cell>
          <cell r="F63"/>
          <cell r="G63"/>
          <cell r="H63">
            <v>0.52666666666666673</v>
          </cell>
        </row>
        <row r="64">
          <cell r="A64" t="str">
            <v>3202574F2</v>
          </cell>
          <cell r="B64">
            <v>1</v>
          </cell>
          <cell r="C64">
            <v>1</v>
          </cell>
          <cell r="D64">
            <v>2</v>
          </cell>
          <cell r="E64">
            <v>1</v>
          </cell>
          <cell r="F64"/>
          <cell r="G64"/>
          <cell r="H64">
            <v>0.45040535649656172</v>
          </cell>
        </row>
        <row r="65">
          <cell r="A65" t="str">
            <v>320257QA9</v>
          </cell>
          <cell r="B65">
            <v>1</v>
          </cell>
          <cell r="C65">
            <v>1</v>
          </cell>
          <cell r="D65">
            <v>1</v>
          </cell>
          <cell r="E65">
            <v>0</v>
          </cell>
          <cell r="F65"/>
          <cell r="G65"/>
          <cell r="H65">
            <v>0.57346000723850887</v>
          </cell>
        </row>
        <row r="66">
          <cell r="A66" t="str">
            <v>E03355500</v>
          </cell>
          <cell r="B66">
            <v>1</v>
          </cell>
          <cell r="C66">
            <v>1</v>
          </cell>
          <cell r="D66">
            <v>1</v>
          </cell>
          <cell r="E66">
            <v>0</v>
          </cell>
          <cell r="F66"/>
          <cell r="G66"/>
          <cell r="H66">
            <v>0.57736559139784949</v>
          </cell>
        </row>
        <row r="67">
          <cell r="A67" t="str">
            <v>32025Y0X6</v>
          </cell>
          <cell r="B67">
            <v>2</v>
          </cell>
          <cell r="C67">
            <v>2</v>
          </cell>
          <cell r="D67">
            <v>3</v>
          </cell>
          <cell r="E67">
            <v>1</v>
          </cell>
          <cell r="F67"/>
          <cell r="G67"/>
          <cell r="H67">
            <v>2.4648850114772269</v>
          </cell>
        </row>
        <row r="68">
          <cell r="A68" t="str">
            <v>32025Y0VL</v>
          </cell>
          <cell r="B68">
            <v>3</v>
          </cell>
          <cell r="C68">
            <v>3</v>
          </cell>
          <cell r="D68">
            <v>10</v>
          </cell>
          <cell r="E68">
            <v>7</v>
          </cell>
          <cell r="F68"/>
          <cell r="G68"/>
          <cell r="H68">
            <v>22.265312684859182</v>
          </cell>
        </row>
        <row r="69">
          <cell r="A69" t="str">
            <v>32025Y2XV</v>
          </cell>
          <cell r="B69">
            <v>0</v>
          </cell>
          <cell r="C69">
            <v>0</v>
          </cell>
          <cell r="D69">
            <v>1</v>
          </cell>
          <cell r="E69">
            <v>1</v>
          </cell>
          <cell r="F69"/>
          <cell r="G69"/>
          <cell r="H69">
            <v>0</v>
          </cell>
        </row>
        <row r="70">
          <cell r="A70" t="str">
            <v>3202980B9</v>
          </cell>
          <cell r="B70">
            <v>2</v>
          </cell>
          <cell r="C70">
            <v>2</v>
          </cell>
          <cell r="D70">
            <v>2</v>
          </cell>
          <cell r="E70">
            <v>0</v>
          </cell>
          <cell r="F70"/>
          <cell r="G70"/>
          <cell r="H70">
            <v>1.4161120185109568</v>
          </cell>
        </row>
        <row r="71">
          <cell r="A71" t="str">
            <v>E19345700</v>
          </cell>
          <cell r="B71">
            <v>1</v>
          </cell>
          <cell r="C71">
            <v>1</v>
          </cell>
          <cell r="D71">
            <v>1</v>
          </cell>
          <cell r="E71">
            <v>0</v>
          </cell>
          <cell r="F71"/>
          <cell r="G71"/>
          <cell r="H71">
            <v>1.2514079502553854</v>
          </cell>
        </row>
        <row r="72">
          <cell r="A72" t="str">
            <v>32025Y2BJ</v>
          </cell>
          <cell r="B72">
            <v>3</v>
          </cell>
          <cell r="C72">
            <v>4</v>
          </cell>
          <cell r="D72">
            <v>4</v>
          </cell>
          <cell r="E72">
            <v>0</v>
          </cell>
          <cell r="F72"/>
          <cell r="G72"/>
          <cell r="H72">
            <v>9.3902978597726658</v>
          </cell>
        </row>
        <row r="73">
          <cell r="A73" t="str">
            <v>3202547K5</v>
          </cell>
          <cell r="B73">
            <v>1</v>
          </cell>
          <cell r="C73">
            <v>1</v>
          </cell>
          <cell r="D73">
            <v>5</v>
          </cell>
          <cell r="E73">
            <v>4</v>
          </cell>
          <cell r="F73"/>
          <cell r="G73"/>
          <cell r="H73">
            <v>2.5084482636412466</v>
          </cell>
        </row>
        <row r="74">
          <cell r="A74" t="str">
            <v>E00031625</v>
          </cell>
          <cell r="B74">
            <v>2</v>
          </cell>
          <cell r="C74">
            <v>2</v>
          </cell>
          <cell r="D74">
            <v>2</v>
          </cell>
          <cell r="E74">
            <v>0</v>
          </cell>
          <cell r="F74"/>
          <cell r="G74"/>
          <cell r="H74">
            <v>6.2488309934324686</v>
          </cell>
        </row>
        <row r="75">
          <cell r="A75" t="str">
            <v>3202553V9</v>
          </cell>
          <cell r="B75">
            <v>1</v>
          </cell>
          <cell r="C75">
            <v>1</v>
          </cell>
          <cell r="D75">
            <v>2</v>
          </cell>
          <cell r="E75">
            <v>1</v>
          </cell>
          <cell r="F75"/>
          <cell r="G75"/>
          <cell r="H75">
            <v>1.8543153242339281</v>
          </cell>
        </row>
        <row r="76">
          <cell r="A76" t="str">
            <v>32025Y192</v>
          </cell>
          <cell r="B76">
            <v>0</v>
          </cell>
          <cell r="C76">
            <v>0</v>
          </cell>
          <cell r="D76">
            <v>1</v>
          </cell>
          <cell r="E76">
            <v>1</v>
          </cell>
          <cell r="F76"/>
          <cell r="G76"/>
          <cell r="H76">
            <v>0</v>
          </cell>
        </row>
        <row r="77">
          <cell r="A77" t="str">
            <v>E06973900</v>
          </cell>
          <cell r="B77">
            <v>1</v>
          </cell>
          <cell r="C77">
            <v>1</v>
          </cell>
          <cell r="D77">
            <v>1</v>
          </cell>
          <cell r="E77">
            <v>0</v>
          </cell>
          <cell r="F77"/>
          <cell r="G77"/>
          <cell r="H77">
            <v>0.85199314939194903</v>
          </cell>
        </row>
        <row r="78">
          <cell r="A78" t="str">
            <v>E03997100</v>
          </cell>
          <cell r="B78">
            <v>3</v>
          </cell>
          <cell r="C78">
            <v>4</v>
          </cell>
          <cell r="D78">
            <v>7</v>
          </cell>
          <cell r="E78">
            <v>3</v>
          </cell>
          <cell r="F78"/>
          <cell r="G78"/>
          <cell r="H78">
            <v>5.1542366726863147</v>
          </cell>
        </row>
        <row r="79">
          <cell r="A79" t="str">
            <v>E07942800</v>
          </cell>
          <cell r="B79">
            <v>1</v>
          </cell>
          <cell r="C79">
            <v>1</v>
          </cell>
          <cell r="D79">
            <v>2</v>
          </cell>
          <cell r="E79">
            <v>1</v>
          </cell>
          <cell r="F79"/>
          <cell r="G79"/>
          <cell r="H79">
            <v>1.1036283648854439</v>
          </cell>
        </row>
        <row r="80">
          <cell r="A80" t="str">
            <v>E10332000</v>
          </cell>
          <cell r="B80">
            <v>1</v>
          </cell>
          <cell r="C80">
            <v>1</v>
          </cell>
          <cell r="D80">
            <v>1</v>
          </cell>
          <cell r="E80">
            <v>0</v>
          </cell>
          <cell r="F80"/>
          <cell r="G80"/>
          <cell r="H80">
            <v>0.5808005102488436</v>
          </cell>
        </row>
        <row r="81">
          <cell r="A81" t="str">
            <v>3202980M5</v>
          </cell>
          <cell r="B81">
            <v>1</v>
          </cell>
          <cell r="C81">
            <v>1</v>
          </cell>
          <cell r="D81">
            <v>2</v>
          </cell>
          <cell r="E81">
            <v>1</v>
          </cell>
          <cell r="F81"/>
          <cell r="G81"/>
          <cell r="H81">
            <v>0.59263157894736851</v>
          </cell>
        </row>
        <row r="82">
          <cell r="A82" t="str">
            <v>32025Y0VN</v>
          </cell>
          <cell r="B82">
            <v>1</v>
          </cell>
          <cell r="C82">
            <v>1</v>
          </cell>
          <cell r="D82">
            <v>1</v>
          </cell>
          <cell r="E82">
            <v>0</v>
          </cell>
          <cell r="F82"/>
          <cell r="G82"/>
          <cell r="H82">
            <v>0.92244406196213435</v>
          </cell>
        </row>
        <row r="83">
          <cell r="A83" t="str">
            <v>3202536X7</v>
          </cell>
          <cell r="B83">
            <v>1</v>
          </cell>
          <cell r="C83">
            <v>1</v>
          </cell>
          <cell r="D83">
            <v>1</v>
          </cell>
          <cell r="E83">
            <v>0</v>
          </cell>
          <cell r="F83"/>
          <cell r="G83"/>
          <cell r="H83">
            <v>0.63735772357723586</v>
          </cell>
        </row>
        <row r="84">
          <cell r="A84" t="str">
            <v>E05363300</v>
          </cell>
          <cell r="B84">
            <v>5</v>
          </cell>
          <cell r="C84">
            <v>5</v>
          </cell>
          <cell r="D84">
            <v>4</v>
          </cell>
          <cell r="E84">
            <v>-1</v>
          </cell>
          <cell r="F84"/>
          <cell r="G84"/>
          <cell r="H84">
            <v>2.4354108691521286</v>
          </cell>
        </row>
        <row r="85">
          <cell r="A85" t="str">
            <v>3202555A6</v>
          </cell>
          <cell r="B85">
            <v>1</v>
          </cell>
          <cell r="C85">
            <v>1</v>
          </cell>
          <cell r="D85">
            <v>2</v>
          </cell>
          <cell r="E85">
            <v>1</v>
          </cell>
          <cell r="F85"/>
          <cell r="G85"/>
          <cell r="H85">
            <v>0.61524084778420041</v>
          </cell>
        </row>
        <row r="86">
          <cell r="A86" t="str">
            <v>32025Y2P8</v>
          </cell>
          <cell r="B86">
            <v>3</v>
          </cell>
          <cell r="C86">
            <v>4</v>
          </cell>
          <cell r="D86">
            <v>5</v>
          </cell>
          <cell r="E86">
            <v>1</v>
          </cell>
          <cell r="F86"/>
          <cell r="G86"/>
          <cell r="H86">
            <v>16.105583697283663</v>
          </cell>
        </row>
        <row r="87">
          <cell r="A87" t="str">
            <v>32025Y383</v>
          </cell>
          <cell r="B87">
            <v>3</v>
          </cell>
          <cell r="C87">
            <v>3</v>
          </cell>
          <cell r="D87">
            <v>2</v>
          </cell>
          <cell r="E87">
            <v>-1</v>
          </cell>
          <cell r="F87"/>
          <cell r="G87"/>
          <cell r="H87">
            <v>3.9188402756403873</v>
          </cell>
        </row>
        <row r="88">
          <cell r="A88" t="str">
            <v>E14152600</v>
          </cell>
          <cell r="B88">
            <v>1</v>
          </cell>
          <cell r="C88">
            <v>1</v>
          </cell>
          <cell r="D88">
            <v>1</v>
          </cell>
          <cell r="E88">
            <v>0</v>
          </cell>
          <cell r="F88"/>
          <cell r="G88"/>
          <cell r="H88">
            <v>1.5448716737521653</v>
          </cell>
        </row>
        <row r="89">
          <cell r="A89" t="str">
            <v>32025Y2BL</v>
          </cell>
          <cell r="B89">
            <v>2</v>
          </cell>
          <cell r="C89">
            <v>2</v>
          </cell>
          <cell r="D89">
            <v>3</v>
          </cell>
          <cell r="E89">
            <v>1</v>
          </cell>
          <cell r="F89"/>
          <cell r="G89"/>
          <cell r="H89">
            <v>6.9008496610336572</v>
          </cell>
        </row>
        <row r="90">
          <cell r="A90" t="str">
            <v>E16681300</v>
          </cell>
          <cell r="B90">
            <v>1</v>
          </cell>
          <cell r="C90">
            <v>1</v>
          </cell>
          <cell r="D90">
            <v>0</v>
          </cell>
          <cell r="E90">
            <v>-1</v>
          </cell>
          <cell r="F90"/>
          <cell r="G90"/>
          <cell r="H90">
            <v>1.2398455352476436</v>
          </cell>
        </row>
        <row r="91">
          <cell r="A91" t="str">
            <v>3202568B9</v>
          </cell>
          <cell r="B91">
            <v>1</v>
          </cell>
          <cell r="C91">
            <v>1</v>
          </cell>
          <cell r="D91">
            <v>3</v>
          </cell>
          <cell r="E91">
            <v>2</v>
          </cell>
          <cell r="F91"/>
          <cell r="G91"/>
          <cell r="H91">
            <v>1.8099652925818757</v>
          </cell>
        </row>
        <row r="92">
          <cell r="A92" t="str">
            <v>320256A34</v>
          </cell>
          <cell r="B92">
            <v>3</v>
          </cell>
          <cell r="C92">
            <v>4</v>
          </cell>
          <cell r="D92">
            <v>5</v>
          </cell>
          <cell r="E92">
            <v>1</v>
          </cell>
          <cell r="F92"/>
          <cell r="G92"/>
          <cell r="H92">
            <v>9.4014290222857753</v>
          </cell>
        </row>
        <row r="93">
          <cell r="A93" t="str">
            <v>3202573M8</v>
          </cell>
          <cell r="B93">
            <v>2</v>
          </cell>
          <cell r="C93">
            <v>2</v>
          </cell>
          <cell r="D93">
            <v>2</v>
          </cell>
          <cell r="E93">
            <v>0</v>
          </cell>
          <cell r="F93"/>
          <cell r="G93"/>
          <cell r="H93">
            <v>0.60524202583393283</v>
          </cell>
        </row>
        <row r="94">
          <cell r="A94" t="str">
            <v>32025Y2BC</v>
          </cell>
          <cell r="B94">
            <v>1</v>
          </cell>
          <cell r="C94">
            <v>1</v>
          </cell>
          <cell r="D94">
            <v>1</v>
          </cell>
          <cell r="E94">
            <v>0</v>
          </cell>
          <cell r="F94"/>
          <cell r="G94"/>
          <cell r="H94">
            <v>0.83073791348600501</v>
          </cell>
        </row>
        <row r="95">
          <cell r="A95" t="str">
            <v>32025Y2NB</v>
          </cell>
          <cell r="B95">
            <v>1</v>
          </cell>
          <cell r="C95">
            <v>1</v>
          </cell>
          <cell r="D95">
            <v>1</v>
          </cell>
          <cell r="E95">
            <v>0</v>
          </cell>
          <cell r="F95"/>
          <cell r="G95"/>
          <cell r="H95">
            <v>1.6833666182493099</v>
          </cell>
        </row>
        <row r="96">
          <cell r="A96" t="str">
            <v>E04848200</v>
          </cell>
          <cell r="B96">
            <v>2</v>
          </cell>
          <cell r="C96">
            <v>2</v>
          </cell>
          <cell r="D96">
            <v>1</v>
          </cell>
          <cell r="E96">
            <v>-1</v>
          </cell>
          <cell r="F96"/>
          <cell r="G96"/>
          <cell r="H96">
            <v>1.1839537044694439</v>
          </cell>
        </row>
        <row r="97">
          <cell r="A97" t="str">
            <v>E02086500</v>
          </cell>
          <cell r="B97">
            <v>1</v>
          </cell>
          <cell r="C97">
            <v>1</v>
          </cell>
          <cell r="D97">
            <v>1</v>
          </cell>
          <cell r="E97">
            <v>0</v>
          </cell>
          <cell r="F97"/>
          <cell r="G97"/>
          <cell r="H97">
            <v>0.24121803601149952</v>
          </cell>
        </row>
        <row r="98">
          <cell r="A98" t="str">
            <v>3202587B6</v>
          </cell>
          <cell r="B98">
            <v>3</v>
          </cell>
          <cell r="C98">
            <v>3</v>
          </cell>
          <cell r="D98">
            <v>3</v>
          </cell>
          <cell r="E98">
            <v>0</v>
          </cell>
          <cell r="F98"/>
          <cell r="G98"/>
          <cell r="H98">
            <v>1.9920065046241109</v>
          </cell>
        </row>
        <row r="99">
          <cell r="A99" t="str">
            <v>E16092000</v>
          </cell>
          <cell r="B99">
            <v>0</v>
          </cell>
          <cell r="C99">
            <v>0</v>
          </cell>
          <cell r="D99">
            <v>0</v>
          </cell>
          <cell r="E99">
            <v>0</v>
          </cell>
          <cell r="F99"/>
          <cell r="G99"/>
          <cell r="H99">
            <v>0</v>
          </cell>
        </row>
        <row r="100">
          <cell r="A100" t="str">
            <v>E03365800</v>
          </cell>
          <cell r="B100">
            <v>1</v>
          </cell>
          <cell r="C100">
            <v>1</v>
          </cell>
          <cell r="D100">
            <v>1</v>
          </cell>
          <cell r="E100">
            <v>0</v>
          </cell>
          <cell r="F100"/>
          <cell r="G100"/>
          <cell r="H100">
            <v>1.4799531156544661</v>
          </cell>
        </row>
        <row r="101">
          <cell r="A101" t="str">
            <v>E00309500</v>
          </cell>
          <cell r="B101">
            <v>2</v>
          </cell>
          <cell r="C101">
            <v>2</v>
          </cell>
          <cell r="D101">
            <v>2</v>
          </cell>
          <cell r="E101">
            <v>0</v>
          </cell>
          <cell r="F101"/>
          <cell r="G101"/>
          <cell r="H101">
            <v>1.0075248825882113</v>
          </cell>
        </row>
        <row r="102">
          <cell r="A102" t="str">
            <v>3202549H0</v>
          </cell>
          <cell r="B102">
            <v>1</v>
          </cell>
          <cell r="C102">
            <v>1</v>
          </cell>
          <cell r="D102">
            <v>1</v>
          </cell>
          <cell r="E102">
            <v>0</v>
          </cell>
          <cell r="F102"/>
          <cell r="G102"/>
          <cell r="H102">
            <v>0.41943548387096774</v>
          </cell>
        </row>
        <row r="103">
          <cell r="A103" t="str">
            <v>E08964700</v>
          </cell>
          <cell r="B103">
            <v>2</v>
          </cell>
          <cell r="C103">
            <v>2</v>
          </cell>
          <cell r="D103">
            <v>3</v>
          </cell>
          <cell r="E103">
            <v>1</v>
          </cell>
          <cell r="F103"/>
          <cell r="G103"/>
          <cell r="H103">
            <v>1.5515202439908957</v>
          </cell>
        </row>
        <row r="104">
          <cell r="A104" t="str">
            <v>E13250800</v>
          </cell>
          <cell r="B104">
            <v>3</v>
          </cell>
          <cell r="C104">
            <v>3</v>
          </cell>
          <cell r="D104">
            <v>6</v>
          </cell>
          <cell r="E104">
            <v>3</v>
          </cell>
          <cell r="F104"/>
          <cell r="G104"/>
          <cell r="H104">
            <v>7.065798080595691</v>
          </cell>
        </row>
        <row r="105">
          <cell r="A105" t="str">
            <v>32025Y3AX</v>
          </cell>
          <cell r="B105">
            <v>3</v>
          </cell>
          <cell r="C105">
            <v>3</v>
          </cell>
          <cell r="D105">
            <v>4</v>
          </cell>
          <cell r="E105">
            <v>1</v>
          </cell>
          <cell r="F105"/>
          <cell r="G105"/>
          <cell r="H105">
            <v>1.4626929713564605</v>
          </cell>
        </row>
        <row r="106">
          <cell r="A106" t="str">
            <v>32025Y2CK</v>
          </cell>
          <cell r="B106">
            <v>1</v>
          </cell>
          <cell r="C106">
            <v>1</v>
          </cell>
          <cell r="D106">
            <v>2</v>
          </cell>
          <cell r="E106">
            <v>1</v>
          </cell>
          <cell r="F106"/>
          <cell r="G106"/>
          <cell r="H106">
            <v>0.7400000000000001</v>
          </cell>
        </row>
        <row r="107">
          <cell r="A107" t="str">
            <v>E04289300</v>
          </cell>
          <cell r="B107">
            <v>1</v>
          </cell>
          <cell r="C107">
            <v>1</v>
          </cell>
          <cell r="D107">
            <v>6</v>
          </cell>
          <cell r="E107">
            <v>5</v>
          </cell>
          <cell r="F107"/>
          <cell r="G107"/>
          <cell r="H107">
            <v>0.33189781021897813</v>
          </cell>
        </row>
        <row r="108">
          <cell r="A108" t="str">
            <v>E13250300</v>
          </cell>
          <cell r="B108">
            <v>2</v>
          </cell>
          <cell r="C108">
            <v>2</v>
          </cell>
          <cell r="D108">
            <v>1</v>
          </cell>
          <cell r="E108">
            <v>-1</v>
          </cell>
          <cell r="F108"/>
          <cell r="G108"/>
          <cell r="H108">
            <v>0.89049381351047352</v>
          </cell>
        </row>
        <row r="109">
          <cell r="A109">
            <v>320298219</v>
          </cell>
          <cell r="B109">
            <v>1</v>
          </cell>
          <cell r="C109">
            <v>1</v>
          </cell>
          <cell r="D109">
            <v>5</v>
          </cell>
          <cell r="E109">
            <v>4</v>
          </cell>
          <cell r="F109"/>
          <cell r="G109"/>
          <cell r="H109">
            <v>0.18019607843137256</v>
          </cell>
        </row>
        <row r="110">
          <cell r="A110" t="str">
            <v>3202539B5</v>
          </cell>
          <cell r="B110">
            <v>3</v>
          </cell>
          <cell r="C110">
            <v>3</v>
          </cell>
          <cell r="D110">
            <v>3</v>
          </cell>
          <cell r="E110">
            <v>0</v>
          </cell>
          <cell r="F110"/>
          <cell r="G110"/>
          <cell r="H110">
            <v>1.2565440734055358</v>
          </cell>
        </row>
        <row r="111">
          <cell r="A111" t="str">
            <v>32025Y2PT</v>
          </cell>
          <cell r="B111">
            <v>6</v>
          </cell>
          <cell r="C111">
            <v>6</v>
          </cell>
          <cell r="D111">
            <v>7</v>
          </cell>
          <cell r="E111">
            <v>1</v>
          </cell>
          <cell r="F111"/>
          <cell r="G111"/>
          <cell r="H111">
            <v>9.3566418543020689</v>
          </cell>
        </row>
        <row r="112">
          <cell r="A112" t="str">
            <v>E01800300</v>
          </cell>
          <cell r="B112">
            <v>8</v>
          </cell>
          <cell r="C112">
            <v>8</v>
          </cell>
          <cell r="D112">
            <v>10</v>
          </cell>
          <cell r="E112">
            <v>2</v>
          </cell>
          <cell r="F112"/>
          <cell r="G112"/>
          <cell r="H112">
            <v>15.651099355506101</v>
          </cell>
        </row>
        <row r="113">
          <cell r="A113" t="str">
            <v>3202551X7</v>
          </cell>
          <cell r="B113">
            <v>1</v>
          </cell>
          <cell r="C113">
            <v>1</v>
          </cell>
          <cell r="D113">
            <v>2</v>
          </cell>
          <cell r="E113">
            <v>1</v>
          </cell>
          <cell r="F113"/>
          <cell r="G113"/>
          <cell r="H113">
            <v>0.77419472034221082</v>
          </cell>
        </row>
        <row r="114">
          <cell r="A114" t="str">
            <v>32025Y1PB</v>
          </cell>
          <cell r="B114">
            <v>1</v>
          </cell>
          <cell r="C114">
            <v>1</v>
          </cell>
          <cell r="D114">
            <v>2</v>
          </cell>
          <cell r="E114">
            <v>1</v>
          </cell>
          <cell r="F114"/>
          <cell r="G114"/>
          <cell r="H114">
            <v>2.0766982578319899</v>
          </cell>
        </row>
        <row r="115">
          <cell r="A115" t="str">
            <v>3202537A9</v>
          </cell>
          <cell r="B115">
            <v>2</v>
          </cell>
          <cell r="C115">
            <v>2</v>
          </cell>
          <cell r="D115">
            <v>2</v>
          </cell>
          <cell r="E115">
            <v>0</v>
          </cell>
          <cell r="F115"/>
          <cell r="G115"/>
          <cell r="H115">
            <v>1.0269300972623048</v>
          </cell>
        </row>
        <row r="116">
          <cell r="A116" t="str">
            <v>32025Y2SV</v>
          </cell>
          <cell r="B116">
            <v>2</v>
          </cell>
          <cell r="C116">
            <v>2</v>
          </cell>
          <cell r="D116">
            <v>1</v>
          </cell>
          <cell r="E116">
            <v>-1</v>
          </cell>
          <cell r="F116"/>
          <cell r="G116"/>
          <cell r="H116">
            <v>2.1553250168010218</v>
          </cell>
        </row>
        <row r="117">
          <cell r="A117" t="str">
            <v>32025Y0X5</v>
          </cell>
          <cell r="B117">
            <v>2</v>
          </cell>
          <cell r="C117">
            <v>2</v>
          </cell>
          <cell r="D117">
            <v>5</v>
          </cell>
          <cell r="E117">
            <v>3</v>
          </cell>
          <cell r="F117"/>
          <cell r="G117"/>
          <cell r="H117">
            <v>2.0235522930920093</v>
          </cell>
        </row>
        <row r="118">
          <cell r="A118" t="str">
            <v>3202578I2</v>
          </cell>
          <cell r="B118">
            <v>1</v>
          </cell>
          <cell r="C118">
            <v>1</v>
          </cell>
          <cell r="D118">
            <v>1</v>
          </cell>
          <cell r="E118">
            <v>0</v>
          </cell>
          <cell r="F118"/>
          <cell r="G118"/>
          <cell r="H118">
            <v>0.36885558583106265</v>
          </cell>
        </row>
        <row r="119">
          <cell r="A119" t="str">
            <v>E03355600</v>
          </cell>
          <cell r="B119">
            <v>2</v>
          </cell>
          <cell r="C119">
            <v>2</v>
          </cell>
          <cell r="D119">
            <v>2</v>
          </cell>
          <cell r="E119">
            <v>0</v>
          </cell>
          <cell r="F119"/>
          <cell r="G119"/>
          <cell r="H119">
            <v>0.18642397820163489</v>
          </cell>
        </row>
        <row r="120">
          <cell r="A120" t="str">
            <v>32025Y2JX</v>
          </cell>
          <cell r="B120">
            <v>1</v>
          </cell>
          <cell r="C120">
            <v>1</v>
          </cell>
          <cell r="D120">
            <v>2</v>
          </cell>
          <cell r="E120">
            <v>1</v>
          </cell>
          <cell r="F120"/>
          <cell r="G120"/>
          <cell r="H120">
            <v>4.0224187761726311</v>
          </cell>
        </row>
        <row r="121">
          <cell r="A121" t="str">
            <v>3202566I6</v>
          </cell>
          <cell r="B121">
            <v>1</v>
          </cell>
          <cell r="C121">
            <v>1</v>
          </cell>
          <cell r="D121">
            <v>2</v>
          </cell>
          <cell r="E121">
            <v>1</v>
          </cell>
          <cell r="F121"/>
          <cell r="G121"/>
          <cell r="H121">
            <v>0.57759822448800202</v>
          </cell>
        </row>
        <row r="122">
          <cell r="A122">
            <v>320261498</v>
          </cell>
          <cell r="B122">
            <v>1</v>
          </cell>
          <cell r="C122">
            <v>1</v>
          </cell>
          <cell r="D122">
            <v>1</v>
          </cell>
          <cell r="E122">
            <v>0</v>
          </cell>
          <cell r="F122"/>
          <cell r="G122"/>
          <cell r="H122">
            <v>0.81481709389907275</v>
          </cell>
        </row>
        <row r="123">
          <cell r="A123" t="str">
            <v>32025Y2MU</v>
          </cell>
          <cell r="B123">
            <v>1</v>
          </cell>
          <cell r="C123">
            <v>1</v>
          </cell>
          <cell r="D123">
            <v>2</v>
          </cell>
          <cell r="E123">
            <v>1</v>
          </cell>
          <cell r="F123"/>
          <cell r="G123"/>
          <cell r="H123">
            <v>0.59339738993259716</v>
          </cell>
        </row>
        <row r="124">
          <cell r="A124" t="str">
            <v>3202559W1</v>
          </cell>
          <cell r="B124">
            <v>0</v>
          </cell>
          <cell r="C124">
            <v>0</v>
          </cell>
          <cell r="D124">
            <v>4</v>
          </cell>
          <cell r="E124">
            <v>4</v>
          </cell>
          <cell r="F124"/>
          <cell r="G124"/>
          <cell r="H124">
            <v>0</v>
          </cell>
        </row>
        <row r="125">
          <cell r="A125">
            <v>320292667</v>
          </cell>
          <cell r="B125">
            <v>0</v>
          </cell>
          <cell r="C125">
            <v>0</v>
          </cell>
          <cell r="D125">
            <v>1</v>
          </cell>
          <cell r="E125">
            <v>1</v>
          </cell>
          <cell r="F125"/>
          <cell r="G125"/>
          <cell r="H125">
            <v>0</v>
          </cell>
        </row>
        <row r="126">
          <cell r="A126" t="str">
            <v>3202571C2</v>
          </cell>
          <cell r="B126">
            <v>1</v>
          </cell>
          <cell r="C126">
            <v>1</v>
          </cell>
          <cell r="D126">
            <v>1</v>
          </cell>
          <cell r="E126">
            <v>0</v>
          </cell>
          <cell r="F126"/>
          <cell r="G126"/>
          <cell r="H126">
            <v>0.67480852743782083</v>
          </cell>
        </row>
        <row r="127">
          <cell r="A127" t="str">
            <v>E00008901</v>
          </cell>
          <cell r="B127">
            <v>2</v>
          </cell>
          <cell r="C127">
            <v>2</v>
          </cell>
          <cell r="D127">
            <v>2</v>
          </cell>
          <cell r="E127">
            <v>0</v>
          </cell>
          <cell r="F127"/>
          <cell r="G127"/>
          <cell r="H127">
            <v>0.55404935574204095</v>
          </cell>
        </row>
        <row r="128">
          <cell r="A128">
            <v>320298250</v>
          </cell>
          <cell r="B128">
            <v>1</v>
          </cell>
          <cell r="C128">
            <v>1</v>
          </cell>
          <cell r="D128">
            <v>2</v>
          </cell>
          <cell r="E128">
            <v>1</v>
          </cell>
          <cell r="F128"/>
          <cell r="G128"/>
          <cell r="H128">
            <v>1.1999053622510159</v>
          </cell>
        </row>
        <row r="129">
          <cell r="A129" t="str">
            <v>E05650100</v>
          </cell>
          <cell r="B129">
            <v>0</v>
          </cell>
          <cell r="C129">
            <v>0</v>
          </cell>
          <cell r="D129">
            <v>2</v>
          </cell>
          <cell r="E129">
            <v>2</v>
          </cell>
          <cell r="F129"/>
          <cell r="G129"/>
          <cell r="H129">
            <v>0</v>
          </cell>
        </row>
        <row r="130">
          <cell r="A130" t="str">
            <v>32025Y3CM</v>
          </cell>
          <cell r="B130">
            <v>2</v>
          </cell>
          <cell r="C130">
            <v>2</v>
          </cell>
          <cell r="D130">
            <v>1</v>
          </cell>
          <cell r="E130">
            <v>-1</v>
          </cell>
          <cell r="F130"/>
          <cell r="G130"/>
          <cell r="H130">
            <v>2.0783174459070963</v>
          </cell>
        </row>
        <row r="131">
          <cell r="A131" t="str">
            <v>E00030027</v>
          </cell>
          <cell r="B131">
            <v>1</v>
          </cell>
          <cell r="C131">
            <v>1</v>
          </cell>
          <cell r="D131">
            <v>1</v>
          </cell>
          <cell r="E131">
            <v>0</v>
          </cell>
          <cell r="F131"/>
          <cell r="G131"/>
          <cell r="H131">
            <v>1.6883075335397315</v>
          </cell>
        </row>
        <row r="132">
          <cell r="A132" t="str">
            <v>E14073300</v>
          </cell>
          <cell r="B132">
            <v>0</v>
          </cell>
          <cell r="C132">
            <v>0</v>
          </cell>
          <cell r="D132">
            <v>0</v>
          </cell>
          <cell r="E132">
            <v>0</v>
          </cell>
          <cell r="F132"/>
          <cell r="G132"/>
          <cell r="H132">
            <v>0</v>
          </cell>
        </row>
        <row r="133">
          <cell r="A133" t="str">
            <v>320257A16</v>
          </cell>
          <cell r="B133">
            <v>0</v>
          </cell>
          <cell r="C133">
            <v>0</v>
          </cell>
          <cell r="D133">
            <v>0</v>
          </cell>
          <cell r="E133">
            <v>0</v>
          </cell>
          <cell r="F133"/>
          <cell r="G133"/>
          <cell r="H133">
            <v>0</v>
          </cell>
        </row>
        <row r="134">
          <cell r="A134" t="str">
            <v>E00006853</v>
          </cell>
          <cell r="B134">
            <v>0</v>
          </cell>
          <cell r="C134">
            <v>0</v>
          </cell>
          <cell r="D134">
            <v>0</v>
          </cell>
          <cell r="E134">
            <v>0</v>
          </cell>
          <cell r="F134"/>
          <cell r="G134"/>
          <cell r="H134">
            <v>0</v>
          </cell>
        </row>
        <row r="135">
          <cell r="A135" t="str">
            <v>E11866500</v>
          </cell>
          <cell r="B135">
            <v>0</v>
          </cell>
          <cell r="C135">
            <v>0</v>
          </cell>
          <cell r="D135">
            <v>1</v>
          </cell>
          <cell r="E135">
            <v>1</v>
          </cell>
          <cell r="F135"/>
          <cell r="G135"/>
          <cell r="H135">
            <v>0</v>
          </cell>
        </row>
        <row r="136">
          <cell r="A136" t="str">
            <v>E08814500</v>
          </cell>
          <cell r="B136">
            <v>0</v>
          </cell>
          <cell r="C136">
            <v>0</v>
          </cell>
          <cell r="D136">
            <v>1</v>
          </cell>
          <cell r="E136">
            <v>1</v>
          </cell>
          <cell r="F136"/>
          <cell r="G136"/>
          <cell r="H136">
            <v>0</v>
          </cell>
        </row>
        <row r="137">
          <cell r="A137" t="str">
            <v>E39012300</v>
          </cell>
          <cell r="B137">
            <v>0</v>
          </cell>
          <cell r="C137">
            <v>0</v>
          </cell>
          <cell r="D137">
            <v>1</v>
          </cell>
          <cell r="E137">
            <v>1</v>
          </cell>
          <cell r="F137"/>
          <cell r="G137"/>
          <cell r="H137">
            <v>0</v>
          </cell>
        </row>
        <row r="138">
          <cell r="A138" t="str">
            <v>E01188000</v>
          </cell>
          <cell r="B138">
            <v>0</v>
          </cell>
          <cell r="C138">
            <v>0</v>
          </cell>
          <cell r="D138">
            <v>0</v>
          </cell>
          <cell r="E138">
            <v>0</v>
          </cell>
          <cell r="F138"/>
          <cell r="G138"/>
          <cell r="H138">
            <v>0</v>
          </cell>
        </row>
        <row r="139">
          <cell r="A139" t="str">
            <v>E03732200</v>
          </cell>
          <cell r="B139">
            <v>1</v>
          </cell>
          <cell r="C139">
            <v>1</v>
          </cell>
          <cell r="D139">
            <v>3</v>
          </cell>
          <cell r="E139">
            <v>2</v>
          </cell>
          <cell r="F139"/>
          <cell r="G139"/>
          <cell r="H139">
            <v>0.29341991341991347</v>
          </cell>
        </row>
        <row r="140">
          <cell r="A140" t="str">
            <v>3202544K8</v>
          </cell>
          <cell r="B140">
            <v>0</v>
          </cell>
          <cell r="C140">
            <v>0</v>
          </cell>
          <cell r="D140">
            <v>1</v>
          </cell>
          <cell r="E140">
            <v>1</v>
          </cell>
          <cell r="F140"/>
          <cell r="G140"/>
          <cell r="H140">
            <v>0</v>
          </cell>
        </row>
        <row r="141">
          <cell r="A141" t="str">
            <v>E16768500</v>
          </cell>
          <cell r="B141">
            <v>0</v>
          </cell>
          <cell r="C141">
            <v>0</v>
          </cell>
          <cell r="D141">
            <v>2</v>
          </cell>
          <cell r="E141">
            <v>2</v>
          </cell>
          <cell r="F141"/>
          <cell r="G141"/>
          <cell r="H141">
            <v>0</v>
          </cell>
        </row>
        <row r="142">
          <cell r="A142" t="str">
            <v>3202543F0</v>
          </cell>
          <cell r="B142">
            <v>0</v>
          </cell>
          <cell r="C142">
            <v>0</v>
          </cell>
          <cell r="D142">
            <v>2</v>
          </cell>
          <cell r="E142">
            <v>2</v>
          </cell>
          <cell r="F142"/>
          <cell r="G142"/>
          <cell r="H142">
            <v>0</v>
          </cell>
        </row>
        <row r="143">
          <cell r="A143" t="str">
            <v>E08814100</v>
          </cell>
          <cell r="B143">
            <v>0</v>
          </cell>
          <cell r="C143">
            <v>0</v>
          </cell>
          <cell r="D143">
            <v>5</v>
          </cell>
          <cell r="E143">
            <v>5</v>
          </cell>
          <cell r="F143"/>
          <cell r="G143"/>
          <cell r="H143">
            <v>0</v>
          </cell>
        </row>
        <row r="144">
          <cell r="A144" t="str">
            <v>3202546L4</v>
          </cell>
          <cell r="B144">
            <v>0</v>
          </cell>
          <cell r="C144">
            <v>0</v>
          </cell>
          <cell r="D144">
            <v>1</v>
          </cell>
          <cell r="E144">
            <v>1</v>
          </cell>
          <cell r="F144"/>
          <cell r="G144"/>
          <cell r="H144">
            <v>0</v>
          </cell>
        </row>
        <row r="145">
          <cell r="A145" t="str">
            <v>3202532V5</v>
          </cell>
          <cell r="B145">
            <v>0</v>
          </cell>
          <cell r="C145">
            <v>0</v>
          </cell>
          <cell r="D145">
            <v>4</v>
          </cell>
          <cell r="E145">
            <v>4</v>
          </cell>
          <cell r="F145"/>
          <cell r="G145"/>
          <cell r="H145">
            <v>0</v>
          </cell>
        </row>
        <row r="146">
          <cell r="A146" t="str">
            <v>3202586Y4</v>
          </cell>
          <cell r="B146">
            <v>0</v>
          </cell>
          <cell r="C146">
            <v>0</v>
          </cell>
          <cell r="D146">
            <v>0</v>
          </cell>
          <cell r="E146">
            <v>0</v>
          </cell>
          <cell r="F146"/>
          <cell r="G146"/>
          <cell r="H146">
            <v>0</v>
          </cell>
        </row>
        <row r="147">
          <cell r="A147">
            <v>320292543</v>
          </cell>
          <cell r="B147">
            <v>0</v>
          </cell>
          <cell r="C147">
            <v>0</v>
          </cell>
          <cell r="D147">
            <v>0</v>
          </cell>
          <cell r="E147">
            <v>0</v>
          </cell>
          <cell r="F147"/>
          <cell r="G147"/>
          <cell r="H147">
            <v>0</v>
          </cell>
        </row>
        <row r="148">
          <cell r="A148" t="str">
            <v>E03437600</v>
          </cell>
          <cell r="B148">
            <v>0</v>
          </cell>
          <cell r="C148">
            <v>0</v>
          </cell>
          <cell r="D148">
            <v>0</v>
          </cell>
          <cell r="E148">
            <v>0</v>
          </cell>
          <cell r="F148"/>
          <cell r="G148"/>
          <cell r="H148">
            <v>0</v>
          </cell>
        </row>
        <row r="149">
          <cell r="A149" t="str">
            <v>3202573K2</v>
          </cell>
          <cell r="B149">
            <v>0</v>
          </cell>
          <cell r="C149">
            <v>0</v>
          </cell>
          <cell r="D149">
            <v>2</v>
          </cell>
          <cell r="E149">
            <v>2</v>
          </cell>
          <cell r="F149"/>
          <cell r="G149"/>
          <cell r="H149">
            <v>0</v>
          </cell>
        </row>
        <row r="150">
          <cell r="A150" t="str">
            <v>E04384500</v>
          </cell>
          <cell r="B150">
            <v>0</v>
          </cell>
          <cell r="C150">
            <v>0</v>
          </cell>
          <cell r="D150">
            <v>1</v>
          </cell>
          <cell r="E150">
            <v>1</v>
          </cell>
          <cell r="F150"/>
          <cell r="G150"/>
          <cell r="H150">
            <v>0</v>
          </cell>
        </row>
        <row r="151">
          <cell r="A151" t="str">
            <v>3202664N5</v>
          </cell>
          <cell r="B151">
            <v>0</v>
          </cell>
          <cell r="C151">
            <v>0</v>
          </cell>
          <cell r="D151">
            <v>0</v>
          </cell>
          <cell r="E151">
            <v>0</v>
          </cell>
          <cell r="F151"/>
          <cell r="G151"/>
          <cell r="H151">
            <v>0</v>
          </cell>
        </row>
        <row r="152">
          <cell r="A152" t="str">
            <v>3202586Z2</v>
          </cell>
          <cell r="B152">
            <v>0</v>
          </cell>
          <cell r="C152">
            <v>0</v>
          </cell>
          <cell r="D152">
            <v>0</v>
          </cell>
          <cell r="E152">
            <v>0</v>
          </cell>
          <cell r="F152"/>
          <cell r="G152"/>
          <cell r="H152">
            <v>0</v>
          </cell>
        </row>
        <row r="153">
          <cell r="A153" t="str">
            <v>3202586X6</v>
          </cell>
          <cell r="B153">
            <v>0</v>
          </cell>
          <cell r="C153">
            <v>0</v>
          </cell>
          <cell r="D153">
            <v>0</v>
          </cell>
          <cell r="E153">
            <v>0</v>
          </cell>
          <cell r="F153"/>
          <cell r="G153"/>
          <cell r="H153">
            <v>0</v>
          </cell>
        </row>
        <row r="154">
          <cell r="A154" t="str">
            <v>32025Y16W</v>
          </cell>
          <cell r="B154">
            <v>0</v>
          </cell>
          <cell r="C154">
            <v>0</v>
          </cell>
          <cell r="D154">
            <v>0</v>
          </cell>
          <cell r="E154">
            <v>0</v>
          </cell>
          <cell r="F154"/>
          <cell r="G154"/>
          <cell r="H154">
            <v>0</v>
          </cell>
        </row>
        <row r="155">
          <cell r="A155" t="str">
            <v>E27713500</v>
          </cell>
          <cell r="B155">
            <v>0</v>
          </cell>
          <cell r="C155">
            <v>0</v>
          </cell>
          <cell r="D155">
            <v>2</v>
          </cell>
          <cell r="E155">
            <v>2</v>
          </cell>
          <cell r="F155"/>
          <cell r="G155"/>
          <cell r="H155">
            <v>0</v>
          </cell>
        </row>
        <row r="156">
          <cell r="A156" t="str">
            <v>3202541X0</v>
          </cell>
          <cell r="B156">
            <v>0</v>
          </cell>
          <cell r="C156">
            <v>0</v>
          </cell>
          <cell r="D156">
            <v>1</v>
          </cell>
          <cell r="E156">
            <v>1</v>
          </cell>
          <cell r="F156"/>
          <cell r="G156"/>
          <cell r="H156">
            <v>0</v>
          </cell>
        </row>
        <row r="157">
          <cell r="A157" t="str">
            <v>3202549A5</v>
          </cell>
          <cell r="B157">
            <v>0</v>
          </cell>
          <cell r="C157">
            <v>0</v>
          </cell>
          <cell r="D157">
            <v>1</v>
          </cell>
          <cell r="E157">
            <v>1</v>
          </cell>
          <cell r="F157"/>
          <cell r="G157"/>
          <cell r="H157">
            <v>0</v>
          </cell>
        </row>
        <row r="158">
          <cell r="A158" t="str">
            <v>32025Y1CK</v>
          </cell>
          <cell r="B158">
            <v>0</v>
          </cell>
          <cell r="C158">
            <v>0</v>
          </cell>
          <cell r="D158">
            <v>0</v>
          </cell>
          <cell r="E158">
            <v>0</v>
          </cell>
          <cell r="F158"/>
          <cell r="G158"/>
          <cell r="H158">
            <v>0</v>
          </cell>
        </row>
        <row r="159">
          <cell r="A159" t="str">
            <v>3202618H6</v>
          </cell>
          <cell r="B159">
            <v>1</v>
          </cell>
          <cell r="C159">
            <v>1</v>
          </cell>
          <cell r="D159">
            <v>2</v>
          </cell>
          <cell r="E159">
            <v>1</v>
          </cell>
          <cell r="F159"/>
          <cell r="G159"/>
          <cell r="H159">
            <v>2.044244692127632</v>
          </cell>
        </row>
        <row r="160">
          <cell r="A160" t="str">
            <v>3202511N0</v>
          </cell>
          <cell r="B160">
            <v>0</v>
          </cell>
          <cell r="C160">
            <v>0</v>
          </cell>
          <cell r="D160">
            <v>1</v>
          </cell>
          <cell r="E160">
            <v>1</v>
          </cell>
          <cell r="F160"/>
          <cell r="G160"/>
          <cell r="H160">
            <v>0</v>
          </cell>
        </row>
        <row r="161">
          <cell r="A161" t="str">
            <v>320257AA6</v>
          </cell>
          <cell r="B161">
            <v>1</v>
          </cell>
          <cell r="C161">
            <v>1</v>
          </cell>
          <cell r="D161">
            <v>2</v>
          </cell>
          <cell r="E161">
            <v>1</v>
          </cell>
          <cell r="F161"/>
          <cell r="G161"/>
          <cell r="H161">
            <v>1.6598373983739836</v>
          </cell>
        </row>
        <row r="162">
          <cell r="A162" t="str">
            <v>320257A81</v>
          </cell>
          <cell r="B162">
            <v>0</v>
          </cell>
          <cell r="C162">
            <v>0</v>
          </cell>
          <cell r="D162">
            <v>1</v>
          </cell>
          <cell r="E162">
            <v>1</v>
          </cell>
          <cell r="F162"/>
          <cell r="G162"/>
          <cell r="H162">
            <v>0</v>
          </cell>
        </row>
        <row r="163">
          <cell r="A163" t="str">
            <v>E08814400</v>
          </cell>
          <cell r="B163">
            <v>0</v>
          </cell>
          <cell r="C163">
            <v>0</v>
          </cell>
          <cell r="D163">
            <v>0</v>
          </cell>
          <cell r="E163">
            <v>0</v>
          </cell>
          <cell r="F163"/>
          <cell r="G163"/>
          <cell r="H163">
            <v>0</v>
          </cell>
        </row>
        <row r="164">
          <cell r="A164" t="str">
            <v>32025Y112</v>
          </cell>
          <cell r="B164">
            <v>0</v>
          </cell>
          <cell r="C164">
            <v>0</v>
          </cell>
          <cell r="D164">
            <v>5</v>
          </cell>
          <cell r="E164">
            <v>5</v>
          </cell>
          <cell r="F164"/>
          <cell r="G164"/>
          <cell r="H164">
            <v>0</v>
          </cell>
        </row>
        <row r="165">
          <cell r="A165">
            <v>320259948</v>
          </cell>
          <cell r="B165">
            <v>0</v>
          </cell>
          <cell r="C165">
            <v>0</v>
          </cell>
          <cell r="D165">
            <v>0</v>
          </cell>
          <cell r="E165">
            <v>0</v>
          </cell>
          <cell r="F165"/>
          <cell r="G165"/>
          <cell r="H165">
            <v>0</v>
          </cell>
        </row>
        <row r="166">
          <cell r="A166" t="str">
            <v>3202587A8</v>
          </cell>
          <cell r="B166">
            <v>0</v>
          </cell>
          <cell r="C166">
            <v>0</v>
          </cell>
          <cell r="D166">
            <v>1</v>
          </cell>
          <cell r="E166">
            <v>1</v>
          </cell>
          <cell r="F166"/>
          <cell r="G166"/>
          <cell r="H166">
            <v>0</v>
          </cell>
        </row>
        <row r="167">
          <cell r="A167" t="str">
            <v>3202519N2</v>
          </cell>
          <cell r="B167">
            <v>0</v>
          </cell>
          <cell r="C167">
            <v>0</v>
          </cell>
          <cell r="D167">
            <v>1</v>
          </cell>
          <cell r="E167">
            <v>1</v>
          </cell>
          <cell r="F167"/>
          <cell r="G167"/>
          <cell r="H167">
            <v>0</v>
          </cell>
        </row>
        <row r="168">
          <cell r="A168" t="str">
            <v>E09325200</v>
          </cell>
          <cell r="B168">
            <v>0</v>
          </cell>
          <cell r="C168">
            <v>1</v>
          </cell>
          <cell r="D168">
            <v>2</v>
          </cell>
          <cell r="E168">
            <v>1</v>
          </cell>
          <cell r="F168"/>
          <cell r="G168"/>
          <cell r="H168">
            <v>0</v>
          </cell>
        </row>
        <row r="169">
          <cell r="A169">
            <v>320264716</v>
          </cell>
          <cell r="B169">
            <v>0</v>
          </cell>
          <cell r="C169">
            <v>0</v>
          </cell>
          <cell r="D169">
            <v>7</v>
          </cell>
          <cell r="E169">
            <v>7</v>
          </cell>
          <cell r="F169"/>
          <cell r="G169"/>
          <cell r="H169">
            <v>0</v>
          </cell>
        </row>
        <row r="170">
          <cell r="A170" t="str">
            <v>E19613900</v>
          </cell>
          <cell r="B170">
            <v>0</v>
          </cell>
          <cell r="C170">
            <v>0</v>
          </cell>
          <cell r="D170">
            <v>0</v>
          </cell>
          <cell r="E170">
            <v>0</v>
          </cell>
          <cell r="F170"/>
          <cell r="G170"/>
          <cell r="H170">
            <v>0</v>
          </cell>
        </row>
        <row r="171">
          <cell r="A171" t="str">
            <v>E00010692</v>
          </cell>
          <cell r="B171">
            <v>0</v>
          </cell>
          <cell r="C171">
            <v>0</v>
          </cell>
          <cell r="D171">
            <v>0</v>
          </cell>
          <cell r="E171">
            <v>0</v>
          </cell>
          <cell r="F171"/>
          <cell r="G171"/>
          <cell r="H171">
            <v>0</v>
          </cell>
        </row>
        <row r="172">
          <cell r="A172" t="str">
            <v>320258JN5</v>
          </cell>
          <cell r="B172">
            <v>0</v>
          </cell>
          <cell r="C172">
            <v>0</v>
          </cell>
          <cell r="D172">
            <v>0</v>
          </cell>
          <cell r="E172">
            <v>0</v>
          </cell>
          <cell r="F172"/>
          <cell r="G172"/>
          <cell r="H172">
            <v>0</v>
          </cell>
        </row>
        <row r="173">
          <cell r="A173" t="str">
            <v>3202536L6</v>
          </cell>
          <cell r="B173">
            <v>0</v>
          </cell>
          <cell r="C173">
            <v>0</v>
          </cell>
          <cell r="D173">
            <v>1</v>
          </cell>
          <cell r="E173">
            <v>1</v>
          </cell>
          <cell r="F173"/>
          <cell r="G173"/>
          <cell r="H173">
            <v>0</v>
          </cell>
        </row>
        <row r="174">
          <cell r="A174" t="str">
            <v>E02493700</v>
          </cell>
          <cell r="B174">
            <v>0</v>
          </cell>
          <cell r="C174">
            <v>0</v>
          </cell>
          <cell r="D174">
            <v>0</v>
          </cell>
          <cell r="E174">
            <v>0</v>
          </cell>
          <cell r="F174"/>
          <cell r="G174"/>
          <cell r="H174">
            <v>0</v>
          </cell>
        </row>
        <row r="175">
          <cell r="A175" t="str">
            <v>3202581Y9</v>
          </cell>
          <cell r="B175">
            <v>0</v>
          </cell>
          <cell r="C175">
            <v>0</v>
          </cell>
          <cell r="D175">
            <v>1</v>
          </cell>
          <cell r="E175">
            <v>1</v>
          </cell>
          <cell r="F175"/>
          <cell r="G175"/>
          <cell r="H175">
            <v>0</v>
          </cell>
        </row>
        <row r="176">
          <cell r="A176" t="str">
            <v>E14329500</v>
          </cell>
          <cell r="B176">
            <v>0</v>
          </cell>
          <cell r="C176">
            <v>0</v>
          </cell>
          <cell r="D176">
            <v>3</v>
          </cell>
          <cell r="E176">
            <v>3</v>
          </cell>
          <cell r="F176"/>
          <cell r="G176"/>
          <cell r="H176">
            <v>0</v>
          </cell>
        </row>
        <row r="177">
          <cell r="A177" t="str">
            <v>E32673300</v>
          </cell>
          <cell r="B177">
            <v>0</v>
          </cell>
          <cell r="C177">
            <v>0</v>
          </cell>
          <cell r="D177">
            <v>0</v>
          </cell>
          <cell r="E177">
            <v>0</v>
          </cell>
          <cell r="F177"/>
          <cell r="G177"/>
          <cell r="H177">
            <v>0</v>
          </cell>
        </row>
        <row r="178">
          <cell r="A178" t="str">
            <v>3202573R7</v>
          </cell>
          <cell r="B178">
            <v>0</v>
          </cell>
          <cell r="C178">
            <v>0</v>
          </cell>
          <cell r="D178">
            <v>0</v>
          </cell>
          <cell r="E178">
            <v>0</v>
          </cell>
          <cell r="F178"/>
          <cell r="G178"/>
          <cell r="H178">
            <v>0</v>
          </cell>
        </row>
        <row r="179">
          <cell r="A179" t="str">
            <v>3202581I7</v>
          </cell>
          <cell r="B179">
            <v>0</v>
          </cell>
          <cell r="C179">
            <v>0</v>
          </cell>
          <cell r="D179">
            <v>0</v>
          </cell>
          <cell r="E179">
            <v>0</v>
          </cell>
          <cell r="F179"/>
          <cell r="G179"/>
          <cell r="H179">
            <v>0</v>
          </cell>
        </row>
        <row r="180">
          <cell r="A180" t="str">
            <v>E25434100</v>
          </cell>
          <cell r="B180">
            <v>0</v>
          </cell>
          <cell r="C180">
            <v>0</v>
          </cell>
          <cell r="D180">
            <v>1</v>
          </cell>
          <cell r="E180">
            <v>1</v>
          </cell>
          <cell r="F180"/>
          <cell r="G180"/>
          <cell r="H180">
            <v>0</v>
          </cell>
        </row>
        <row r="181">
          <cell r="A181" t="str">
            <v>320257BP2</v>
          </cell>
          <cell r="B181">
            <v>0</v>
          </cell>
          <cell r="C181">
            <v>0</v>
          </cell>
          <cell r="D181">
            <v>1</v>
          </cell>
          <cell r="E181">
            <v>1</v>
          </cell>
          <cell r="F181"/>
          <cell r="G181"/>
          <cell r="H181">
            <v>0</v>
          </cell>
        </row>
        <row r="182">
          <cell r="A182">
            <v>320263130</v>
          </cell>
          <cell r="B182">
            <v>0</v>
          </cell>
          <cell r="C182">
            <v>0</v>
          </cell>
          <cell r="D182">
            <v>0</v>
          </cell>
          <cell r="E182">
            <v>0</v>
          </cell>
          <cell r="F182"/>
          <cell r="G182"/>
          <cell r="H182">
            <v>0</v>
          </cell>
        </row>
        <row r="183">
          <cell r="A183" t="str">
            <v>E33551600</v>
          </cell>
          <cell r="B183">
            <v>0</v>
          </cell>
          <cell r="C183">
            <v>0</v>
          </cell>
          <cell r="D183">
            <v>1</v>
          </cell>
          <cell r="E183">
            <v>1</v>
          </cell>
          <cell r="F183"/>
          <cell r="G183"/>
          <cell r="H183">
            <v>0</v>
          </cell>
        </row>
        <row r="184">
          <cell r="A184" t="str">
            <v>32025Y36A</v>
          </cell>
          <cell r="B184">
            <v>0</v>
          </cell>
          <cell r="C184">
            <v>0</v>
          </cell>
          <cell r="D184">
            <v>1</v>
          </cell>
          <cell r="E184">
            <v>1</v>
          </cell>
          <cell r="F184"/>
          <cell r="G184"/>
          <cell r="H184">
            <v>0</v>
          </cell>
        </row>
        <row r="185">
          <cell r="A185" t="str">
            <v>E06484300</v>
          </cell>
          <cell r="B185">
            <v>0</v>
          </cell>
          <cell r="C185">
            <v>0</v>
          </cell>
          <cell r="D185">
            <v>0</v>
          </cell>
          <cell r="E185">
            <v>0</v>
          </cell>
          <cell r="F185"/>
          <cell r="G185"/>
          <cell r="H185">
            <v>0</v>
          </cell>
        </row>
        <row r="186">
          <cell r="A186" t="str">
            <v>3202605P3</v>
          </cell>
          <cell r="B186">
            <v>0</v>
          </cell>
          <cell r="C186">
            <v>0</v>
          </cell>
          <cell r="D186">
            <v>0</v>
          </cell>
          <cell r="E186">
            <v>0</v>
          </cell>
          <cell r="F186"/>
          <cell r="G186"/>
          <cell r="H186">
            <v>0</v>
          </cell>
        </row>
        <row r="187">
          <cell r="A187" t="str">
            <v>32025Y2CS</v>
          </cell>
          <cell r="B187">
            <v>0</v>
          </cell>
          <cell r="C187">
            <v>0</v>
          </cell>
          <cell r="D187">
            <v>0</v>
          </cell>
          <cell r="E187">
            <v>0</v>
          </cell>
          <cell r="F187"/>
          <cell r="G187"/>
          <cell r="H187">
            <v>0</v>
          </cell>
        </row>
        <row r="188">
          <cell r="A188" t="str">
            <v>3202608N4</v>
          </cell>
          <cell r="B188">
            <v>0</v>
          </cell>
          <cell r="C188">
            <v>0</v>
          </cell>
          <cell r="D188">
            <v>0</v>
          </cell>
          <cell r="E188">
            <v>0</v>
          </cell>
          <cell r="F188"/>
          <cell r="G188"/>
          <cell r="H188">
            <v>0</v>
          </cell>
        </row>
        <row r="189">
          <cell r="A189" t="str">
            <v>3202608G0</v>
          </cell>
          <cell r="B189">
            <v>0</v>
          </cell>
          <cell r="C189">
            <v>0</v>
          </cell>
          <cell r="D189">
            <v>0</v>
          </cell>
          <cell r="E189">
            <v>0</v>
          </cell>
          <cell r="F189"/>
          <cell r="G189"/>
          <cell r="H189">
            <v>0</v>
          </cell>
        </row>
        <row r="190">
          <cell r="A190" t="str">
            <v>3202582I6</v>
          </cell>
          <cell r="B190">
            <v>0</v>
          </cell>
          <cell r="C190">
            <v>0</v>
          </cell>
          <cell r="D190">
            <v>2</v>
          </cell>
          <cell r="E190">
            <v>2</v>
          </cell>
          <cell r="F190"/>
          <cell r="G190"/>
          <cell r="H190">
            <v>0</v>
          </cell>
        </row>
        <row r="191">
          <cell r="A191" t="str">
            <v>3202573U8</v>
          </cell>
          <cell r="B191">
            <v>0</v>
          </cell>
          <cell r="C191">
            <v>0</v>
          </cell>
          <cell r="D191">
            <v>1</v>
          </cell>
          <cell r="E191">
            <v>1</v>
          </cell>
          <cell r="F191"/>
          <cell r="G191"/>
          <cell r="H191">
            <v>0</v>
          </cell>
        </row>
        <row r="192">
          <cell r="A192" t="str">
            <v>3202537J9</v>
          </cell>
          <cell r="B192">
            <v>0</v>
          </cell>
          <cell r="C192">
            <v>0</v>
          </cell>
          <cell r="D192">
            <v>1</v>
          </cell>
          <cell r="E192">
            <v>1</v>
          </cell>
          <cell r="F192"/>
          <cell r="G192"/>
          <cell r="H192">
            <v>0</v>
          </cell>
        </row>
        <row r="193">
          <cell r="A193" t="str">
            <v>3202566X0</v>
          </cell>
          <cell r="B193">
            <v>0</v>
          </cell>
          <cell r="C193">
            <v>0</v>
          </cell>
          <cell r="D193">
            <v>1</v>
          </cell>
          <cell r="E193">
            <v>1</v>
          </cell>
          <cell r="F193"/>
          <cell r="G193"/>
          <cell r="H193">
            <v>0</v>
          </cell>
        </row>
        <row r="194">
          <cell r="A194" t="str">
            <v>3202515Q0</v>
          </cell>
          <cell r="B194">
            <v>0</v>
          </cell>
          <cell r="C194">
            <v>0</v>
          </cell>
          <cell r="D194">
            <v>2</v>
          </cell>
          <cell r="E194">
            <v>2</v>
          </cell>
          <cell r="F194"/>
          <cell r="G194"/>
          <cell r="H194">
            <v>0</v>
          </cell>
        </row>
        <row r="195">
          <cell r="A195" t="str">
            <v>3202563D0</v>
          </cell>
          <cell r="B195">
            <v>0</v>
          </cell>
          <cell r="C195">
            <v>0</v>
          </cell>
          <cell r="D195">
            <v>2</v>
          </cell>
          <cell r="E195">
            <v>2</v>
          </cell>
          <cell r="F195"/>
          <cell r="G195"/>
          <cell r="H195">
            <v>0</v>
          </cell>
        </row>
        <row r="196">
          <cell r="A196" t="str">
            <v>3202565W3</v>
          </cell>
          <cell r="B196">
            <v>0</v>
          </cell>
          <cell r="C196">
            <v>0</v>
          </cell>
          <cell r="D196">
            <v>1</v>
          </cell>
          <cell r="E196">
            <v>1</v>
          </cell>
          <cell r="F196"/>
          <cell r="G196"/>
          <cell r="H196">
            <v>0</v>
          </cell>
        </row>
        <row r="197">
          <cell r="A197">
            <v>320280951</v>
          </cell>
          <cell r="B197">
            <v>0</v>
          </cell>
          <cell r="C197">
            <v>0</v>
          </cell>
          <cell r="D197">
            <v>2</v>
          </cell>
          <cell r="E197">
            <v>2</v>
          </cell>
          <cell r="F197"/>
          <cell r="G197"/>
          <cell r="H197">
            <v>0</v>
          </cell>
        </row>
        <row r="198">
          <cell r="A198" t="str">
            <v>E06107900</v>
          </cell>
          <cell r="B198">
            <v>0</v>
          </cell>
          <cell r="C198">
            <v>0</v>
          </cell>
          <cell r="D198">
            <v>1</v>
          </cell>
          <cell r="E198">
            <v>1</v>
          </cell>
          <cell r="F198"/>
          <cell r="G198"/>
          <cell r="H198">
            <v>0</v>
          </cell>
        </row>
        <row r="199">
          <cell r="A199" t="str">
            <v>3202577J0</v>
          </cell>
          <cell r="B199">
            <v>0</v>
          </cell>
          <cell r="C199">
            <v>0</v>
          </cell>
          <cell r="D199">
            <v>0</v>
          </cell>
          <cell r="E199">
            <v>0</v>
          </cell>
          <cell r="F199"/>
          <cell r="G199"/>
          <cell r="H199">
            <v>0</v>
          </cell>
        </row>
        <row r="200">
          <cell r="A200" t="str">
            <v>3202555D0</v>
          </cell>
          <cell r="B200">
            <v>0</v>
          </cell>
          <cell r="C200">
            <v>0</v>
          </cell>
          <cell r="D200">
            <v>0</v>
          </cell>
          <cell r="E200">
            <v>0</v>
          </cell>
          <cell r="F200"/>
          <cell r="G200"/>
          <cell r="H200">
            <v>0</v>
          </cell>
        </row>
        <row r="201">
          <cell r="A201" t="str">
            <v>3202565V5</v>
          </cell>
          <cell r="B201">
            <v>0</v>
          </cell>
          <cell r="C201">
            <v>0</v>
          </cell>
          <cell r="D201">
            <v>1</v>
          </cell>
          <cell r="E201">
            <v>1</v>
          </cell>
          <cell r="F201"/>
          <cell r="G201"/>
          <cell r="H201">
            <v>0</v>
          </cell>
        </row>
        <row r="202">
          <cell r="A202" t="str">
            <v>3202501M5</v>
          </cell>
          <cell r="B202">
            <v>0</v>
          </cell>
          <cell r="C202">
            <v>0</v>
          </cell>
          <cell r="D202">
            <v>0</v>
          </cell>
          <cell r="E202">
            <v>0</v>
          </cell>
          <cell r="F202"/>
          <cell r="G202"/>
          <cell r="H202">
            <v>0</v>
          </cell>
        </row>
        <row r="203">
          <cell r="A203" t="str">
            <v>3202552X6</v>
          </cell>
          <cell r="B203">
            <v>0</v>
          </cell>
          <cell r="C203">
            <v>0</v>
          </cell>
          <cell r="D203">
            <v>0</v>
          </cell>
          <cell r="E203">
            <v>0</v>
          </cell>
          <cell r="F203"/>
          <cell r="G203"/>
          <cell r="H203">
            <v>0</v>
          </cell>
        </row>
        <row r="204">
          <cell r="A204" t="str">
            <v>3202559I5</v>
          </cell>
          <cell r="B204">
            <v>0</v>
          </cell>
          <cell r="C204">
            <v>0</v>
          </cell>
          <cell r="D204">
            <v>6</v>
          </cell>
          <cell r="E204">
            <v>6</v>
          </cell>
          <cell r="F204"/>
          <cell r="G204"/>
          <cell r="H204">
            <v>0</v>
          </cell>
        </row>
        <row r="205">
          <cell r="A205" t="str">
            <v>320258H25</v>
          </cell>
          <cell r="B205">
            <v>0</v>
          </cell>
          <cell r="C205">
            <v>0</v>
          </cell>
          <cell r="D205">
            <v>1</v>
          </cell>
          <cell r="E205">
            <v>1</v>
          </cell>
          <cell r="F205"/>
          <cell r="G205"/>
          <cell r="H205">
            <v>0</v>
          </cell>
        </row>
        <row r="206">
          <cell r="A206" t="str">
            <v>320260AB8</v>
          </cell>
          <cell r="B206">
            <v>0</v>
          </cell>
          <cell r="C206">
            <v>0</v>
          </cell>
          <cell r="D206">
            <v>1</v>
          </cell>
          <cell r="E206">
            <v>1</v>
          </cell>
          <cell r="F206"/>
          <cell r="G206"/>
          <cell r="H206">
            <v>0</v>
          </cell>
        </row>
        <row r="207">
          <cell r="A207" t="str">
            <v>3202656Q9</v>
          </cell>
          <cell r="B207">
            <v>0</v>
          </cell>
          <cell r="C207">
            <v>0</v>
          </cell>
          <cell r="D207">
            <v>6</v>
          </cell>
          <cell r="E207">
            <v>6</v>
          </cell>
          <cell r="F207"/>
          <cell r="G207"/>
          <cell r="H207">
            <v>0</v>
          </cell>
        </row>
        <row r="208">
          <cell r="A208" t="str">
            <v>3202575D6</v>
          </cell>
          <cell r="B208">
            <v>0</v>
          </cell>
          <cell r="C208">
            <v>0</v>
          </cell>
          <cell r="D208">
            <v>0</v>
          </cell>
          <cell r="E208">
            <v>0</v>
          </cell>
          <cell r="F208"/>
          <cell r="G208"/>
          <cell r="H208">
            <v>0</v>
          </cell>
        </row>
        <row r="209">
          <cell r="A209" t="str">
            <v>E09096400</v>
          </cell>
          <cell r="B209">
            <v>0</v>
          </cell>
          <cell r="C209">
            <v>0</v>
          </cell>
          <cell r="D209">
            <v>0</v>
          </cell>
          <cell r="E209">
            <v>0</v>
          </cell>
          <cell r="F209"/>
          <cell r="G209"/>
          <cell r="H209">
            <v>0</v>
          </cell>
        </row>
        <row r="210">
          <cell r="A210" t="str">
            <v>320257WX8</v>
          </cell>
          <cell r="B210">
            <v>1</v>
          </cell>
          <cell r="C210">
            <v>1</v>
          </cell>
          <cell r="D210">
            <v>1</v>
          </cell>
          <cell r="E210">
            <v>0</v>
          </cell>
          <cell r="F210"/>
          <cell r="G210"/>
          <cell r="H210">
            <v>0.78325203252032527</v>
          </cell>
        </row>
        <row r="211">
          <cell r="A211" t="str">
            <v>3202573P1</v>
          </cell>
          <cell r="B211">
            <v>0</v>
          </cell>
          <cell r="C211">
            <v>0</v>
          </cell>
          <cell r="D211">
            <v>0</v>
          </cell>
          <cell r="E211">
            <v>0</v>
          </cell>
          <cell r="F211"/>
          <cell r="G211"/>
          <cell r="H211">
            <v>0</v>
          </cell>
        </row>
        <row r="212">
          <cell r="A212" t="str">
            <v>E16491700</v>
          </cell>
          <cell r="B212">
            <v>0</v>
          </cell>
          <cell r="C212">
            <v>0</v>
          </cell>
          <cell r="D212">
            <v>0</v>
          </cell>
          <cell r="E212">
            <v>0</v>
          </cell>
          <cell r="F212"/>
          <cell r="G212"/>
          <cell r="H212">
            <v>0</v>
          </cell>
        </row>
        <row r="213">
          <cell r="A213" t="str">
            <v>3202581H9</v>
          </cell>
          <cell r="B213">
            <v>0</v>
          </cell>
          <cell r="C213">
            <v>0</v>
          </cell>
          <cell r="D213">
            <v>1</v>
          </cell>
          <cell r="E213">
            <v>1</v>
          </cell>
          <cell r="F213"/>
          <cell r="G213"/>
          <cell r="H213">
            <v>0</v>
          </cell>
        </row>
        <row r="214">
          <cell r="A214" t="str">
            <v>32025Y1CW</v>
          </cell>
          <cell r="B214">
            <v>0</v>
          </cell>
          <cell r="C214">
            <v>0</v>
          </cell>
          <cell r="D214">
            <v>1</v>
          </cell>
          <cell r="E214">
            <v>1</v>
          </cell>
          <cell r="F214"/>
          <cell r="G214"/>
          <cell r="H214">
            <v>0</v>
          </cell>
        </row>
        <row r="215">
          <cell r="A215" t="str">
            <v>E18488700</v>
          </cell>
          <cell r="B215">
            <v>0</v>
          </cell>
          <cell r="C215">
            <v>0</v>
          </cell>
          <cell r="D215">
            <v>0</v>
          </cell>
          <cell r="E215">
            <v>0</v>
          </cell>
          <cell r="F215"/>
          <cell r="G215"/>
          <cell r="H215">
            <v>0</v>
          </cell>
        </row>
        <row r="216">
          <cell r="A216" t="str">
            <v>E17580100</v>
          </cell>
          <cell r="B216">
            <v>0</v>
          </cell>
          <cell r="C216">
            <v>0</v>
          </cell>
          <cell r="D216">
            <v>0</v>
          </cell>
          <cell r="E216">
            <v>0</v>
          </cell>
          <cell r="F216"/>
          <cell r="G216"/>
          <cell r="H216">
            <v>0</v>
          </cell>
        </row>
        <row r="217">
          <cell r="A217" t="str">
            <v>3202618R4</v>
          </cell>
          <cell r="B217">
            <v>0</v>
          </cell>
          <cell r="C217">
            <v>0</v>
          </cell>
          <cell r="D217">
            <v>1</v>
          </cell>
          <cell r="E217">
            <v>1</v>
          </cell>
          <cell r="F217"/>
          <cell r="G217"/>
          <cell r="H217">
            <v>0</v>
          </cell>
        </row>
        <row r="218">
          <cell r="A218" t="str">
            <v>3202547L3</v>
          </cell>
          <cell r="B218">
            <v>0</v>
          </cell>
          <cell r="C218">
            <v>0</v>
          </cell>
          <cell r="D218">
            <v>1</v>
          </cell>
          <cell r="E218">
            <v>1</v>
          </cell>
          <cell r="F218"/>
          <cell r="G218"/>
          <cell r="H218">
            <v>0</v>
          </cell>
        </row>
        <row r="219">
          <cell r="A219" t="str">
            <v>3202572I8</v>
          </cell>
          <cell r="B219">
            <v>0</v>
          </cell>
          <cell r="C219">
            <v>0</v>
          </cell>
          <cell r="D219">
            <v>0</v>
          </cell>
          <cell r="E219">
            <v>0</v>
          </cell>
          <cell r="F219"/>
          <cell r="G219"/>
          <cell r="H219">
            <v>0</v>
          </cell>
        </row>
        <row r="220">
          <cell r="A220" t="str">
            <v>32025Y3FC</v>
          </cell>
          <cell r="B220">
            <v>0</v>
          </cell>
          <cell r="C220">
            <v>0</v>
          </cell>
          <cell r="D220">
            <v>2</v>
          </cell>
          <cell r="E220">
            <v>2</v>
          </cell>
          <cell r="F220"/>
          <cell r="G220"/>
          <cell r="H220">
            <v>0</v>
          </cell>
        </row>
        <row r="221">
          <cell r="A221" t="str">
            <v>32025Y20B</v>
          </cell>
          <cell r="B221">
            <v>0</v>
          </cell>
          <cell r="C221">
            <v>0</v>
          </cell>
          <cell r="D221">
            <v>1</v>
          </cell>
          <cell r="E221">
            <v>1</v>
          </cell>
          <cell r="F221"/>
          <cell r="G221"/>
          <cell r="H221">
            <v>0</v>
          </cell>
        </row>
        <row r="222">
          <cell r="A222">
            <v>320260961</v>
          </cell>
          <cell r="B222">
            <v>0</v>
          </cell>
          <cell r="C222">
            <v>0</v>
          </cell>
          <cell r="D222">
            <v>0</v>
          </cell>
          <cell r="E222">
            <v>0</v>
          </cell>
          <cell r="F222"/>
          <cell r="G222"/>
          <cell r="H222">
            <v>0</v>
          </cell>
        </row>
        <row r="223">
          <cell r="A223" t="str">
            <v>E05917200</v>
          </cell>
          <cell r="B223">
            <v>0</v>
          </cell>
          <cell r="C223">
            <v>0</v>
          </cell>
          <cell r="D223">
            <v>0</v>
          </cell>
          <cell r="E223">
            <v>0</v>
          </cell>
          <cell r="F223"/>
          <cell r="G223"/>
          <cell r="H223">
            <v>0</v>
          </cell>
        </row>
        <row r="224">
          <cell r="A224" t="str">
            <v>E05917100</v>
          </cell>
          <cell r="B224">
            <v>0</v>
          </cell>
          <cell r="C224">
            <v>0</v>
          </cell>
          <cell r="D224">
            <v>0</v>
          </cell>
          <cell r="E224">
            <v>0</v>
          </cell>
          <cell r="F224"/>
          <cell r="G224"/>
          <cell r="H224">
            <v>0</v>
          </cell>
        </row>
        <row r="225">
          <cell r="A225" t="str">
            <v>E13402500</v>
          </cell>
          <cell r="B225">
            <v>0</v>
          </cell>
          <cell r="C225">
            <v>0</v>
          </cell>
          <cell r="D225">
            <v>0</v>
          </cell>
          <cell r="E225">
            <v>0</v>
          </cell>
          <cell r="F225"/>
          <cell r="G225"/>
          <cell r="H225">
            <v>0</v>
          </cell>
        </row>
        <row r="226">
          <cell r="A226" t="str">
            <v>3202581G1</v>
          </cell>
          <cell r="B226">
            <v>0</v>
          </cell>
          <cell r="C226">
            <v>0</v>
          </cell>
          <cell r="D226">
            <v>0</v>
          </cell>
          <cell r="E226">
            <v>0</v>
          </cell>
          <cell r="F226"/>
          <cell r="G226"/>
          <cell r="H226">
            <v>0</v>
          </cell>
        </row>
        <row r="227">
          <cell r="A227" t="str">
            <v>E13167500</v>
          </cell>
          <cell r="B227">
            <v>0</v>
          </cell>
          <cell r="C227">
            <v>0</v>
          </cell>
          <cell r="D227">
            <v>0</v>
          </cell>
          <cell r="E227">
            <v>0</v>
          </cell>
          <cell r="F227"/>
          <cell r="G227"/>
          <cell r="H227">
            <v>0</v>
          </cell>
        </row>
        <row r="228">
          <cell r="A228" t="str">
            <v>E03999200</v>
          </cell>
          <cell r="B228">
            <v>0</v>
          </cell>
          <cell r="C228">
            <v>0</v>
          </cell>
          <cell r="D228">
            <v>0</v>
          </cell>
          <cell r="E228">
            <v>0</v>
          </cell>
          <cell r="F228"/>
          <cell r="G228"/>
          <cell r="H228">
            <v>0</v>
          </cell>
        </row>
        <row r="229">
          <cell r="A229" t="str">
            <v>E25687400</v>
          </cell>
          <cell r="B229">
            <v>0</v>
          </cell>
          <cell r="C229">
            <v>0</v>
          </cell>
          <cell r="D229">
            <v>0</v>
          </cell>
          <cell r="E229">
            <v>0</v>
          </cell>
          <cell r="F229"/>
          <cell r="G229"/>
          <cell r="H229">
            <v>0</v>
          </cell>
        </row>
        <row r="230">
          <cell r="A230" t="str">
            <v>E06921800</v>
          </cell>
          <cell r="B230">
            <v>0</v>
          </cell>
          <cell r="C230">
            <v>0</v>
          </cell>
          <cell r="D230">
            <v>0</v>
          </cell>
          <cell r="E230">
            <v>0</v>
          </cell>
          <cell r="F230"/>
          <cell r="G230"/>
          <cell r="H230">
            <v>0</v>
          </cell>
        </row>
        <row r="231">
          <cell r="A231" t="str">
            <v>E07771100</v>
          </cell>
          <cell r="B231">
            <v>0</v>
          </cell>
          <cell r="C231">
            <v>0</v>
          </cell>
          <cell r="D231">
            <v>0</v>
          </cell>
          <cell r="E231">
            <v>0</v>
          </cell>
          <cell r="F231"/>
          <cell r="G231"/>
          <cell r="H231">
            <v>0</v>
          </cell>
        </row>
        <row r="232">
          <cell r="A232" t="str">
            <v>E06867300</v>
          </cell>
          <cell r="B232">
            <v>0</v>
          </cell>
          <cell r="C232">
            <v>0</v>
          </cell>
          <cell r="D232">
            <v>0</v>
          </cell>
          <cell r="E232">
            <v>0</v>
          </cell>
          <cell r="F232"/>
          <cell r="G232"/>
          <cell r="H232">
            <v>0</v>
          </cell>
        </row>
        <row r="233">
          <cell r="A233" t="str">
            <v>320258FW8</v>
          </cell>
          <cell r="B233">
            <v>0</v>
          </cell>
          <cell r="C233">
            <v>0</v>
          </cell>
          <cell r="D233">
            <v>0</v>
          </cell>
          <cell r="E233">
            <v>0</v>
          </cell>
          <cell r="F233"/>
          <cell r="G233"/>
          <cell r="H233">
            <v>0</v>
          </cell>
        </row>
        <row r="234">
          <cell r="A234" t="str">
            <v>D_MULTICRIMP</v>
          </cell>
          <cell r="B234">
            <v>0</v>
          </cell>
          <cell r="C234">
            <v>0</v>
          </cell>
          <cell r="D234">
            <v>0</v>
          </cell>
          <cell r="E234">
            <v>0</v>
          </cell>
          <cell r="F234"/>
          <cell r="G234"/>
          <cell r="H234">
            <v>0</v>
          </cell>
        </row>
        <row r="235">
          <cell r="A235">
            <v>320151285</v>
          </cell>
          <cell r="B235">
            <v>0</v>
          </cell>
          <cell r="C235">
            <v>0</v>
          </cell>
          <cell r="D235">
            <v>0</v>
          </cell>
          <cell r="E235">
            <v>0</v>
          </cell>
          <cell r="F235"/>
          <cell r="G235"/>
          <cell r="H235">
            <v>0</v>
          </cell>
        </row>
        <row r="236">
          <cell r="A236" t="str">
            <v>32025Y154</v>
          </cell>
          <cell r="B236">
            <v>0</v>
          </cell>
          <cell r="C236">
            <v>0</v>
          </cell>
          <cell r="D236">
            <v>0</v>
          </cell>
          <cell r="E236">
            <v>0</v>
          </cell>
          <cell r="F236"/>
          <cell r="G236"/>
          <cell r="H236">
            <v>0</v>
          </cell>
        </row>
        <row r="237">
          <cell r="A237" t="str">
            <v>32025Y1FV</v>
          </cell>
          <cell r="B237">
            <v>0</v>
          </cell>
          <cell r="C237">
            <v>0</v>
          </cell>
          <cell r="D237">
            <v>0</v>
          </cell>
          <cell r="E237">
            <v>0</v>
          </cell>
          <cell r="F237"/>
          <cell r="G237"/>
          <cell r="H237">
            <v>0</v>
          </cell>
        </row>
        <row r="238">
          <cell r="A238" t="str">
            <v>E22513200</v>
          </cell>
          <cell r="B238">
            <v>0</v>
          </cell>
          <cell r="C238">
            <v>0</v>
          </cell>
          <cell r="D238">
            <v>0</v>
          </cell>
          <cell r="E238">
            <v>0</v>
          </cell>
          <cell r="F238"/>
          <cell r="G238"/>
          <cell r="H238">
            <v>0</v>
          </cell>
        </row>
        <row r="239">
          <cell r="A239" t="str">
            <v>E04648500</v>
          </cell>
          <cell r="B239">
            <v>0</v>
          </cell>
          <cell r="C239">
            <v>0</v>
          </cell>
          <cell r="D239">
            <v>0</v>
          </cell>
          <cell r="E239">
            <v>0</v>
          </cell>
          <cell r="F239"/>
          <cell r="G239"/>
          <cell r="H239">
            <v>0</v>
          </cell>
        </row>
        <row r="240">
          <cell r="A240" t="str">
            <v>E02911900</v>
          </cell>
          <cell r="B240">
            <v>0</v>
          </cell>
          <cell r="C240">
            <v>0</v>
          </cell>
          <cell r="D240">
            <v>0</v>
          </cell>
          <cell r="E240">
            <v>0</v>
          </cell>
          <cell r="F240"/>
          <cell r="G240"/>
          <cell r="H240">
            <v>0</v>
          </cell>
        </row>
        <row r="241">
          <cell r="A241" t="str">
            <v>E00029139</v>
          </cell>
          <cell r="B241">
            <v>0</v>
          </cell>
          <cell r="C241">
            <v>0</v>
          </cell>
          <cell r="D241">
            <v>0</v>
          </cell>
          <cell r="E241">
            <v>0</v>
          </cell>
          <cell r="F241"/>
          <cell r="G241"/>
          <cell r="H241">
            <v>0</v>
          </cell>
        </row>
        <row r="242">
          <cell r="A242">
            <v>320261175</v>
          </cell>
          <cell r="B242">
            <v>0</v>
          </cell>
          <cell r="C242">
            <v>0</v>
          </cell>
          <cell r="D242">
            <v>0</v>
          </cell>
          <cell r="E242">
            <v>0</v>
          </cell>
          <cell r="F242"/>
          <cell r="G242"/>
          <cell r="H242">
            <v>0</v>
          </cell>
        </row>
        <row r="243">
          <cell r="A243" t="str">
            <v>E07763200</v>
          </cell>
          <cell r="B243">
            <v>0</v>
          </cell>
          <cell r="C243">
            <v>0</v>
          </cell>
          <cell r="D243">
            <v>0</v>
          </cell>
          <cell r="E243">
            <v>0</v>
          </cell>
          <cell r="F243"/>
          <cell r="G243"/>
          <cell r="H243">
            <v>0</v>
          </cell>
        </row>
        <row r="244">
          <cell r="A244" t="str">
            <v>E25482900</v>
          </cell>
          <cell r="B244">
            <v>0</v>
          </cell>
          <cell r="C244">
            <v>0</v>
          </cell>
          <cell r="D244">
            <v>0</v>
          </cell>
          <cell r="E244">
            <v>0</v>
          </cell>
          <cell r="F244"/>
          <cell r="G244"/>
          <cell r="H244">
            <v>0</v>
          </cell>
        </row>
        <row r="245">
          <cell r="A245" t="str">
            <v>E10005600</v>
          </cell>
          <cell r="B245">
            <v>0</v>
          </cell>
          <cell r="C245">
            <v>0</v>
          </cell>
          <cell r="D245">
            <v>0</v>
          </cell>
          <cell r="E245">
            <v>0</v>
          </cell>
          <cell r="F245"/>
          <cell r="G245"/>
          <cell r="H245">
            <v>0</v>
          </cell>
        </row>
        <row r="246">
          <cell r="A246">
            <v>320151111</v>
          </cell>
          <cell r="B246">
            <v>0</v>
          </cell>
          <cell r="C246">
            <v>0</v>
          </cell>
          <cell r="D246">
            <v>0</v>
          </cell>
          <cell r="E246">
            <v>0</v>
          </cell>
          <cell r="F246"/>
          <cell r="G246"/>
          <cell r="H246">
            <v>0</v>
          </cell>
        </row>
        <row r="247">
          <cell r="A247" t="str">
            <v>3202633P9</v>
          </cell>
          <cell r="B247">
            <v>0</v>
          </cell>
          <cell r="C247">
            <v>0</v>
          </cell>
          <cell r="D247">
            <v>0</v>
          </cell>
          <cell r="E247">
            <v>0</v>
          </cell>
          <cell r="F247"/>
          <cell r="G247"/>
          <cell r="H247">
            <v>0</v>
          </cell>
        </row>
        <row r="248">
          <cell r="A248" t="str">
            <v>E10106600</v>
          </cell>
          <cell r="B248">
            <v>0</v>
          </cell>
          <cell r="C248">
            <v>0</v>
          </cell>
          <cell r="D248">
            <v>0</v>
          </cell>
          <cell r="E248">
            <v>0</v>
          </cell>
          <cell r="F248"/>
          <cell r="G248"/>
          <cell r="H248">
            <v>0</v>
          </cell>
        </row>
        <row r="249">
          <cell r="A249" t="str">
            <v>3202633V3</v>
          </cell>
          <cell r="B249">
            <v>0</v>
          </cell>
          <cell r="C249">
            <v>0</v>
          </cell>
          <cell r="D249">
            <v>0</v>
          </cell>
          <cell r="E249">
            <v>0</v>
          </cell>
          <cell r="F249"/>
          <cell r="G249"/>
          <cell r="H249">
            <v>0</v>
          </cell>
        </row>
        <row r="250">
          <cell r="A250" t="str">
            <v>3202520S6</v>
          </cell>
          <cell r="B250">
            <v>0</v>
          </cell>
          <cell r="C250">
            <v>0</v>
          </cell>
          <cell r="D250">
            <v>0</v>
          </cell>
          <cell r="E250">
            <v>0</v>
          </cell>
          <cell r="F250"/>
          <cell r="G250"/>
          <cell r="H250">
            <v>0</v>
          </cell>
        </row>
        <row r="251">
          <cell r="A251" t="str">
            <v>3202554K5</v>
          </cell>
          <cell r="B251">
            <v>0</v>
          </cell>
          <cell r="C251">
            <v>0</v>
          </cell>
          <cell r="D251">
            <v>0</v>
          </cell>
          <cell r="E251">
            <v>0</v>
          </cell>
          <cell r="F251"/>
          <cell r="G251"/>
          <cell r="H251">
            <v>0</v>
          </cell>
        </row>
        <row r="252">
          <cell r="A252" t="str">
            <v>32025Y18Z</v>
          </cell>
          <cell r="B252">
            <v>0</v>
          </cell>
          <cell r="C252">
            <v>0</v>
          </cell>
          <cell r="D252">
            <v>0</v>
          </cell>
          <cell r="E252">
            <v>0</v>
          </cell>
          <cell r="F252"/>
          <cell r="G252"/>
          <cell r="H252">
            <v>0</v>
          </cell>
        </row>
        <row r="253">
          <cell r="A253" t="str">
            <v>E07893700</v>
          </cell>
          <cell r="B253">
            <v>0</v>
          </cell>
          <cell r="C253">
            <v>0</v>
          </cell>
          <cell r="D253">
            <v>0</v>
          </cell>
          <cell r="E253">
            <v>0</v>
          </cell>
          <cell r="F253"/>
          <cell r="G253"/>
          <cell r="H253">
            <v>0</v>
          </cell>
        </row>
        <row r="254">
          <cell r="A254" t="str">
            <v>3202563F5</v>
          </cell>
          <cell r="B254">
            <v>0</v>
          </cell>
          <cell r="C254">
            <v>0</v>
          </cell>
          <cell r="D254">
            <v>0</v>
          </cell>
          <cell r="E254">
            <v>0</v>
          </cell>
          <cell r="F254"/>
          <cell r="G254"/>
          <cell r="H254">
            <v>0</v>
          </cell>
        </row>
        <row r="255">
          <cell r="A255" t="str">
            <v>E09796300</v>
          </cell>
          <cell r="B255">
            <v>0</v>
          </cell>
          <cell r="C255">
            <v>0</v>
          </cell>
          <cell r="D255">
            <v>0</v>
          </cell>
          <cell r="E255">
            <v>0</v>
          </cell>
          <cell r="F255"/>
          <cell r="G255"/>
          <cell r="H255">
            <v>0</v>
          </cell>
        </row>
        <row r="256">
          <cell r="A256" t="str">
            <v>3202609Y7</v>
          </cell>
          <cell r="B256">
            <v>0</v>
          </cell>
          <cell r="C256">
            <v>0</v>
          </cell>
          <cell r="D256">
            <v>0</v>
          </cell>
          <cell r="E256">
            <v>0</v>
          </cell>
          <cell r="F256"/>
          <cell r="G256"/>
          <cell r="H256">
            <v>0</v>
          </cell>
        </row>
        <row r="257">
          <cell r="A257" t="str">
            <v>3202588J7</v>
          </cell>
          <cell r="B257">
            <v>0</v>
          </cell>
          <cell r="C257">
            <v>0</v>
          </cell>
          <cell r="D257">
            <v>0</v>
          </cell>
          <cell r="E257">
            <v>0</v>
          </cell>
          <cell r="F257"/>
          <cell r="G257"/>
          <cell r="H257">
            <v>0</v>
          </cell>
        </row>
        <row r="258">
          <cell r="A258" t="str">
            <v>E04720500</v>
          </cell>
          <cell r="B258">
            <v>0</v>
          </cell>
          <cell r="C258">
            <v>0</v>
          </cell>
          <cell r="D258">
            <v>0</v>
          </cell>
          <cell r="E258">
            <v>0</v>
          </cell>
          <cell r="F258"/>
          <cell r="G258"/>
          <cell r="H258">
            <v>0</v>
          </cell>
        </row>
        <row r="259">
          <cell r="A259" t="str">
            <v>E02156700</v>
          </cell>
          <cell r="B259">
            <v>0</v>
          </cell>
          <cell r="C259">
            <v>0</v>
          </cell>
          <cell r="D259">
            <v>0</v>
          </cell>
          <cell r="E259">
            <v>0</v>
          </cell>
          <cell r="F259"/>
          <cell r="G259"/>
          <cell r="H259">
            <v>0</v>
          </cell>
        </row>
        <row r="260">
          <cell r="A260" t="str">
            <v>3202578J9</v>
          </cell>
          <cell r="B260">
            <v>0</v>
          </cell>
          <cell r="C260">
            <v>0</v>
          </cell>
          <cell r="D260">
            <v>0</v>
          </cell>
          <cell r="E260">
            <v>0</v>
          </cell>
          <cell r="F260"/>
          <cell r="G260"/>
          <cell r="H260">
            <v>0</v>
          </cell>
        </row>
        <row r="261">
          <cell r="A261" t="str">
            <v>E08830900</v>
          </cell>
          <cell r="B261">
            <v>0</v>
          </cell>
          <cell r="C261">
            <v>0</v>
          </cell>
          <cell r="D261">
            <v>0</v>
          </cell>
          <cell r="E261">
            <v>0</v>
          </cell>
          <cell r="F261"/>
          <cell r="G261"/>
          <cell r="H261">
            <v>0</v>
          </cell>
        </row>
        <row r="262">
          <cell r="A262">
            <v>320261050</v>
          </cell>
          <cell r="B262">
            <v>0</v>
          </cell>
          <cell r="C262">
            <v>0</v>
          </cell>
          <cell r="D262">
            <v>0</v>
          </cell>
          <cell r="E262">
            <v>0</v>
          </cell>
          <cell r="F262"/>
          <cell r="G262"/>
          <cell r="H262">
            <v>0</v>
          </cell>
        </row>
        <row r="263">
          <cell r="A263">
            <v>320263098</v>
          </cell>
          <cell r="B263">
            <v>0</v>
          </cell>
          <cell r="C263">
            <v>0</v>
          </cell>
          <cell r="D263">
            <v>0</v>
          </cell>
          <cell r="E263">
            <v>0</v>
          </cell>
          <cell r="F263"/>
          <cell r="G263"/>
          <cell r="H263">
            <v>0</v>
          </cell>
        </row>
        <row r="264">
          <cell r="A264" t="str">
            <v>3202511S7</v>
          </cell>
          <cell r="B264">
            <v>0</v>
          </cell>
          <cell r="C264">
            <v>0</v>
          </cell>
          <cell r="D264">
            <v>0</v>
          </cell>
          <cell r="E264">
            <v>0</v>
          </cell>
          <cell r="F264"/>
          <cell r="G264"/>
          <cell r="H264">
            <v>0</v>
          </cell>
        </row>
        <row r="265">
          <cell r="A265" t="str">
            <v>32025Y1FX</v>
          </cell>
          <cell r="B265">
            <v>0</v>
          </cell>
          <cell r="C265">
            <v>0</v>
          </cell>
          <cell r="D265">
            <v>0</v>
          </cell>
          <cell r="E265">
            <v>0</v>
          </cell>
          <cell r="F265"/>
          <cell r="G265"/>
          <cell r="H265">
            <v>0</v>
          </cell>
        </row>
        <row r="266">
          <cell r="A266" t="str">
            <v>E18773700</v>
          </cell>
          <cell r="B266">
            <v>0</v>
          </cell>
          <cell r="C266">
            <v>0</v>
          </cell>
          <cell r="D266">
            <v>0</v>
          </cell>
          <cell r="E266">
            <v>0</v>
          </cell>
          <cell r="F266"/>
          <cell r="G266"/>
          <cell r="H266">
            <v>0</v>
          </cell>
        </row>
        <row r="267">
          <cell r="A267" t="str">
            <v>E09197900</v>
          </cell>
          <cell r="B267">
            <v>0</v>
          </cell>
          <cell r="C267">
            <v>0</v>
          </cell>
          <cell r="D267">
            <v>0</v>
          </cell>
          <cell r="E267">
            <v>0</v>
          </cell>
          <cell r="F267"/>
          <cell r="G267"/>
          <cell r="H267">
            <v>0</v>
          </cell>
        </row>
        <row r="268">
          <cell r="A268" t="str">
            <v>E11467200</v>
          </cell>
          <cell r="B268">
            <v>0</v>
          </cell>
          <cell r="C268">
            <v>0</v>
          </cell>
          <cell r="D268">
            <v>0</v>
          </cell>
          <cell r="E268">
            <v>0</v>
          </cell>
          <cell r="F268"/>
          <cell r="G268"/>
          <cell r="H268">
            <v>0</v>
          </cell>
        </row>
        <row r="269">
          <cell r="A269" t="str">
            <v>E16142700</v>
          </cell>
          <cell r="B269">
            <v>0</v>
          </cell>
          <cell r="C269">
            <v>0</v>
          </cell>
          <cell r="D269">
            <v>0</v>
          </cell>
          <cell r="E269">
            <v>0</v>
          </cell>
          <cell r="F269"/>
          <cell r="G269"/>
          <cell r="H269">
            <v>0</v>
          </cell>
        </row>
        <row r="270">
          <cell r="A270" t="str">
            <v>E07029500</v>
          </cell>
          <cell r="B270">
            <v>0</v>
          </cell>
          <cell r="C270">
            <v>0</v>
          </cell>
          <cell r="D270">
            <v>0</v>
          </cell>
          <cell r="E270">
            <v>0</v>
          </cell>
          <cell r="F270"/>
          <cell r="G270"/>
          <cell r="H270">
            <v>0</v>
          </cell>
        </row>
        <row r="271">
          <cell r="A271" t="str">
            <v>3202633U6</v>
          </cell>
          <cell r="B271">
            <v>0</v>
          </cell>
          <cell r="C271">
            <v>0</v>
          </cell>
          <cell r="D271">
            <v>0</v>
          </cell>
          <cell r="E271">
            <v>0</v>
          </cell>
          <cell r="F271"/>
          <cell r="G271"/>
          <cell r="H271">
            <v>0</v>
          </cell>
        </row>
        <row r="272">
          <cell r="A272" t="str">
            <v>E15005900</v>
          </cell>
          <cell r="B272">
            <v>0</v>
          </cell>
          <cell r="C272">
            <v>0</v>
          </cell>
          <cell r="D272">
            <v>0</v>
          </cell>
          <cell r="E272">
            <v>0</v>
          </cell>
          <cell r="F272"/>
          <cell r="G272"/>
          <cell r="H272">
            <v>0</v>
          </cell>
        </row>
        <row r="273">
          <cell r="A273" t="str">
            <v>3201512V1</v>
          </cell>
          <cell r="B273">
            <v>0</v>
          </cell>
          <cell r="C273">
            <v>0</v>
          </cell>
          <cell r="D273">
            <v>0</v>
          </cell>
          <cell r="E273">
            <v>0</v>
          </cell>
          <cell r="F273"/>
          <cell r="G273"/>
          <cell r="H273">
            <v>0</v>
          </cell>
        </row>
        <row r="274">
          <cell r="A274">
            <v>320151418</v>
          </cell>
          <cell r="B274">
            <v>0</v>
          </cell>
          <cell r="C274">
            <v>0</v>
          </cell>
          <cell r="D274">
            <v>0</v>
          </cell>
          <cell r="E274">
            <v>0</v>
          </cell>
          <cell r="F274"/>
          <cell r="G274"/>
          <cell r="H274">
            <v>0</v>
          </cell>
        </row>
        <row r="275">
          <cell r="A275" t="str">
            <v>E10904900</v>
          </cell>
          <cell r="B275">
            <v>0</v>
          </cell>
          <cell r="C275">
            <v>0</v>
          </cell>
          <cell r="D275">
            <v>0</v>
          </cell>
          <cell r="E275">
            <v>0</v>
          </cell>
          <cell r="F275"/>
          <cell r="G275"/>
          <cell r="H275">
            <v>0</v>
          </cell>
        </row>
        <row r="276">
          <cell r="A276" t="str">
            <v>E11478700</v>
          </cell>
          <cell r="B276">
            <v>0</v>
          </cell>
          <cell r="C276">
            <v>0</v>
          </cell>
          <cell r="D276">
            <v>0</v>
          </cell>
          <cell r="E276">
            <v>0</v>
          </cell>
          <cell r="F276"/>
          <cell r="G276"/>
          <cell r="H276">
            <v>0</v>
          </cell>
        </row>
        <row r="277">
          <cell r="A277" t="str">
            <v>3202581Z7</v>
          </cell>
          <cell r="B277">
            <v>0</v>
          </cell>
          <cell r="C277">
            <v>0</v>
          </cell>
          <cell r="D277">
            <v>0</v>
          </cell>
          <cell r="E277">
            <v>0</v>
          </cell>
          <cell r="F277"/>
          <cell r="G277"/>
          <cell r="H277">
            <v>0</v>
          </cell>
        </row>
        <row r="278">
          <cell r="A278" t="str">
            <v>E07763300</v>
          </cell>
          <cell r="B278">
            <v>0</v>
          </cell>
          <cell r="C278">
            <v>0</v>
          </cell>
          <cell r="D278">
            <v>0</v>
          </cell>
          <cell r="E278">
            <v>0</v>
          </cell>
          <cell r="F278"/>
          <cell r="G278"/>
          <cell r="H278">
            <v>0</v>
          </cell>
        </row>
        <row r="279">
          <cell r="A279">
            <v>320260128</v>
          </cell>
          <cell r="B279">
            <v>0</v>
          </cell>
          <cell r="C279">
            <v>0</v>
          </cell>
          <cell r="D279">
            <v>0</v>
          </cell>
          <cell r="E279">
            <v>0</v>
          </cell>
          <cell r="F279"/>
          <cell r="G279"/>
          <cell r="H279">
            <v>0</v>
          </cell>
        </row>
        <row r="280">
          <cell r="A280" t="str">
            <v>3202633R5</v>
          </cell>
          <cell r="B280">
            <v>0</v>
          </cell>
          <cell r="C280">
            <v>0</v>
          </cell>
          <cell r="D280">
            <v>0</v>
          </cell>
          <cell r="E280">
            <v>0</v>
          </cell>
          <cell r="F280"/>
          <cell r="G280"/>
          <cell r="H280">
            <v>0</v>
          </cell>
        </row>
        <row r="281">
          <cell r="A281" t="str">
            <v>E05120900</v>
          </cell>
          <cell r="B281">
            <v>0</v>
          </cell>
          <cell r="C281">
            <v>0</v>
          </cell>
          <cell r="D281">
            <v>0</v>
          </cell>
          <cell r="E281">
            <v>0</v>
          </cell>
          <cell r="F281"/>
          <cell r="G281"/>
          <cell r="H281">
            <v>0</v>
          </cell>
        </row>
        <row r="282">
          <cell r="A282" t="str">
            <v>E11495000</v>
          </cell>
          <cell r="B282">
            <v>0</v>
          </cell>
          <cell r="C282">
            <v>0</v>
          </cell>
          <cell r="D282">
            <v>0</v>
          </cell>
          <cell r="E282">
            <v>0</v>
          </cell>
          <cell r="F282"/>
          <cell r="G282"/>
          <cell r="H282">
            <v>0</v>
          </cell>
        </row>
        <row r="283">
          <cell r="A283" t="str">
            <v>32025Y0X7</v>
          </cell>
          <cell r="B283">
            <v>0</v>
          </cell>
          <cell r="C283">
            <v>0</v>
          </cell>
          <cell r="D283">
            <v>0</v>
          </cell>
          <cell r="E283">
            <v>0</v>
          </cell>
          <cell r="F283"/>
          <cell r="G283"/>
          <cell r="H283">
            <v>0</v>
          </cell>
        </row>
        <row r="284">
          <cell r="A284" t="str">
            <v>E11467400</v>
          </cell>
          <cell r="B284">
            <v>0</v>
          </cell>
          <cell r="C284">
            <v>0</v>
          </cell>
          <cell r="D284">
            <v>0</v>
          </cell>
          <cell r="E284">
            <v>0</v>
          </cell>
          <cell r="F284"/>
          <cell r="G284"/>
          <cell r="H284">
            <v>0</v>
          </cell>
        </row>
        <row r="285">
          <cell r="A285" t="str">
            <v>E09184200</v>
          </cell>
          <cell r="B285">
            <v>0</v>
          </cell>
          <cell r="C285">
            <v>0</v>
          </cell>
          <cell r="D285">
            <v>0</v>
          </cell>
          <cell r="E285">
            <v>0</v>
          </cell>
          <cell r="F285"/>
          <cell r="G285"/>
          <cell r="H285">
            <v>0</v>
          </cell>
        </row>
        <row r="286">
          <cell r="A286" t="str">
            <v>E19973500</v>
          </cell>
          <cell r="B286">
            <v>0</v>
          </cell>
          <cell r="C286">
            <v>0</v>
          </cell>
          <cell r="D286">
            <v>0</v>
          </cell>
          <cell r="E286">
            <v>0</v>
          </cell>
          <cell r="F286"/>
          <cell r="G286"/>
          <cell r="H286">
            <v>0</v>
          </cell>
        </row>
        <row r="287">
          <cell r="A287" t="str">
            <v>E24570700</v>
          </cell>
          <cell r="B287">
            <v>0</v>
          </cell>
          <cell r="C287">
            <v>0</v>
          </cell>
          <cell r="D287">
            <v>1</v>
          </cell>
          <cell r="E287">
            <v>1</v>
          </cell>
          <cell r="F287"/>
          <cell r="G287"/>
          <cell r="H287">
            <v>0</v>
          </cell>
        </row>
        <row r="288">
          <cell r="A288" t="str">
            <v>E11494800</v>
          </cell>
          <cell r="B288">
            <v>0</v>
          </cell>
          <cell r="C288">
            <v>0</v>
          </cell>
          <cell r="D288">
            <v>0</v>
          </cell>
          <cell r="E288">
            <v>0</v>
          </cell>
          <cell r="F288"/>
          <cell r="G288"/>
          <cell r="H288">
            <v>0</v>
          </cell>
        </row>
        <row r="289">
          <cell r="A289" t="str">
            <v>E10313300</v>
          </cell>
          <cell r="B289">
            <v>0</v>
          </cell>
          <cell r="C289">
            <v>0</v>
          </cell>
          <cell r="D289">
            <v>0</v>
          </cell>
          <cell r="E289">
            <v>0</v>
          </cell>
          <cell r="F289"/>
          <cell r="G289"/>
          <cell r="H289">
            <v>0</v>
          </cell>
        </row>
        <row r="290">
          <cell r="A290" t="str">
            <v>E03240400</v>
          </cell>
          <cell r="B290">
            <v>0</v>
          </cell>
          <cell r="C290">
            <v>0</v>
          </cell>
          <cell r="D290">
            <v>0</v>
          </cell>
          <cell r="E290">
            <v>0</v>
          </cell>
          <cell r="F290"/>
          <cell r="G290"/>
          <cell r="H290">
            <v>0</v>
          </cell>
        </row>
        <row r="291">
          <cell r="A291" t="str">
            <v>32025Y0X3</v>
          </cell>
          <cell r="B291">
            <v>0</v>
          </cell>
          <cell r="C291">
            <v>0</v>
          </cell>
          <cell r="D291">
            <v>0</v>
          </cell>
          <cell r="E291">
            <v>0</v>
          </cell>
          <cell r="F291"/>
          <cell r="G291"/>
          <cell r="H291">
            <v>0</v>
          </cell>
        </row>
        <row r="292">
          <cell r="A292" t="str">
            <v>E13669100</v>
          </cell>
          <cell r="B292">
            <v>0</v>
          </cell>
          <cell r="C292">
            <v>0</v>
          </cell>
          <cell r="D292">
            <v>0</v>
          </cell>
          <cell r="E292">
            <v>0</v>
          </cell>
          <cell r="F292"/>
          <cell r="G292"/>
          <cell r="H292">
            <v>0</v>
          </cell>
        </row>
        <row r="293">
          <cell r="A293" t="str">
            <v>E11250800</v>
          </cell>
          <cell r="B293">
            <v>0</v>
          </cell>
          <cell r="C293">
            <v>0</v>
          </cell>
          <cell r="D293">
            <v>0</v>
          </cell>
          <cell r="E293">
            <v>0</v>
          </cell>
          <cell r="F293"/>
          <cell r="G293"/>
          <cell r="H293">
            <v>0</v>
          </cell>
        </row>
        <row r="294">
          <cell r="A294" t="str">
            <v>E08920000</v>
          </cell>
          <cell r="B294">
            <v>0</v>
          </cell>
          <cell r="C294">
            <v>0</v>
          </cell>
          <cell r="D294">
            <v>0</v>
          </cell>
          <cell r="E294">
            <v>0</v>
          </cell>
          <cell r="F294"/>
          <cell r="G294"/>
          <cell r="H294">
            <v>0</v>
          </cell>
        </row>
        <row r="295">
          <cell r="A295" t="str">
            <v>3202554P4</v>
          </cell>
          <cell r="B295">
            <v>0</v>
          </cell>
          <cell r="C295">
            <v>0</v>
          </cell>
          <cell r="D295">
            <v>0</v>
          </cell>
          <cell r="E295">
            <v>0</v>
          </cell>
          <cell r="F295"/>
          <cell r="G295"/>
          <cell r="H295">
            <v>0</v>
          </cell>
        </row>
        <row r="296">
          <cell r="A296" t="str">
            <v>3202510C6</v>
          </cell>
          <cell r="B296">
            <v>0</v>
          </cell>
          <cell r="C296">
            <v>0</v>
          </cell>
          <cell r="D296">
            <v>0</v>
          </cell>
          <cell r="E296">
            <v>0</v>
          </cell>
          <cell r="F296"/>
          <cell r="G296"/>
          <cell r="H296">
            <v>0</v>
          </cell>
        </row>
        <row r="297">
          <cell r="A297" t="str">
            <v>32025Y2T8</v>
          </cell>
          <cell r="B297">
            <v>0</v>
          </cell>
          <cell r="C297">
            <v>0</v>
          </cell>
          <cell r="D297">
            <v>0</v>
          </cell>
          <cell r="E297">
            <v>0</v>
          </cell>
          <cell r="F297"/>
          <cell r="G297"/>
          <cell r="H297">
            <v>0</v>
          </cell>
        </row>
        <row r="298">
          <cell r="A298" t="str">
            <v>32025Y2SY</v>
          </cell>
          <cell r="B298">
            <v>0</v>
          </cell>
          <cell r="C298">
            <v>0</v>
          </cell>
          <cell r="D298">
            <v>0</v>
          </cell>
          <cell r="E298">
            <v>0</v>
          </cell>
          <cell r="F298"/>
          <cell r="G298"/>
          <cell r="H298">
            <v>0</v>
          </cell>
        </row>
        <row r="299">
          <cell r="A299" t="str">
            <v>32025Y29U</v>
          </cell>
          <cell r="B299">
            <v>0</v>
          </cell>
          <cell r="C299">
            <v>0</v>
          </cell>
          <cell r="D299">
            <v>0</v>
          </cell>
          <cell r="E299">
            <v>0</v>
          </cell>
          <cell r="F299"/>
          <cell r="G299"/>
          <cell r="H299">
            <v>0</v>
          </cell>
        </row>
        <row r="300">
          <cell r="A300" t="str">
            <v>32025Y3CP</v>
          </cell>
          <cell r="B300">
            <v>0</v>
          </cell>
          <cell r="C300">
            <v>0</v>
          </cell>
          <cell r="D300">
            <v>0</v>
          </cell>
          <cell r="E300">
            <v>0</v>
          </cell>
          <cell r="F300"/>
          <cell r="G300"/>
          <cell r="H300">
            <v>0</v>
          </cell>
        </row>
        <row r="301">
          <cell r="A301" t="str">
            <v>3202505N8</v>
          </cell>
          <cell r="B301">
            <v>0</v>
          </cell>
          <cell r="C301">
            <v>0</v>
          </cell>
          <cell r="D301">
            <v>0</v>
          </cell>
          <cell r="E301">
            <v>0</v>
          </cell>
          <cell r="F301"/>
          <cell r="G301"/>
          <cell r="H301">
            <v>0</v>
          </cell>
        </row>
        <row r="302">
          <cell r="A302" t="str">
            <v>E11206000</v>
          </cell>
          <cell r="B302">
            <v>0</v>
          </cell>
          <cell r="C302">
            <v>0</v>
          </cell>
          <cell r="D302">
            <v>0</v>
          </cell>
          <cell r="E302">
            <v>0</v>
          </cell>
          <cell r="F302"/>
          <cell r="G302"/>
          <cell r="H302">
            <v>0</v>
          </cell>
        </row>
        <row r="303">
          <cell r="A303" t="str">
            <v>3202510D4</v>
          </cell>
          <cell r="B303">
            <v>0</v>
          </cell>
          <cell r="C303">
            <v>0</v>
          </cell>
          <cell r="D303">
            <v>0</v>
          </cell>
          <cell r="E303">
            <v>0</v>
          </cell>
          <cell r="F303"/>
          <cell r="G303"/>
          <cell r="H303">
            <v>0</v>
          </cell>
        </row>
        <row r="304">
          <cell r="A304" t="str">
            <v>E09198000</v>
          </cell>
          <cell r="B304">
            <v>0</v>
          </cell>
          <cell r="C304">
            <v>0</v>
          </cell>
          <cell r="D304">
            <v>0</v>
          </cell>
          <cell r="E304">
            <v>0</v>
          </cell>
          <cell r="F304"/>
          <cell r="G304"/>
          <cell r="H304">
            <v>0</v>
          </cell>
        </row>
        <row r="305">
          <cell r="A305" t="str">
            <v>E11424400</v>
          </cell>
          <cell r="B305">
            <v>0</v>
          </cell>
          <cell r="C305">
            <v>0</v>
          </cell>
          <cell r="D305">
            <v>0</v>
          </cell>
          <cell r="E305">
            <v>0</v>
          </cell>
          <cell r="F305"/>
          <cell r="G305"/>
          <cell r="H305">
            <v>0</v>
          </cell>
        </row>
        <row r="306">
          <cell r="A306" t="str">
            <v>3202578F8</v>
          </cell>
          <cell r="B306">
            <v>0</v>
          </cell>
          <cell r="C306">
            <v>0</v>
          </cell>
          <cell r="D306">
            <v>0</v>
          </cell>
          <cell r="E306">
            <v>0</v>
          </cell>
          <cell r="F306"/>
          <cell r="G306"/>
          <cell r="H306">
            <v>0</v>
          </cell>
        </row>
        <row r="307">
          <cell r="A307" t="str">
            <v>3201510P9</v>
          </cell>
          <cell r="B307">
            <v>0</v>
          </cell>
          <cell r="C307">
            <v>0</v>
          </cell>
          <cell r="D307">
            <v>0</v>
          </cell>
          <cell r="E307">
            <v>0</v>
          </cell>
          <cell r="F307"/>
          <cell r="G307"/>
          <cell r="H307">
            <v>0</v>
          </cell>
        </row>
        <row r="308">
          <cell r="A308" t="str">
            <v>3201510U6</v>
          </cell>
          <cell r="B308">
            <v>0</v>
          </cell>
          <cell r="C308">
            <v>0</v>
          </cell>
          <cell r="D308">
            <v>0</v>
          </cell>
          <cell r="E308">
            <v>0</v>
          </cell>
          <cell r="F308"/>
          <cell r="G308"/>
          <cell r="H308">
            <v>0</v>
          </cell>
        </row>
        <row r="309">
          <cell r="A309" t="str">
            <v>E07995600</v>
          </cell>
          <cell r="B309">
            <v>0</v>
          </cell>
          <cell r="C309">
            <v>0</v>
          </cell>
          <cell r="D309">
            <v>0</v>
          </cell>
          <cell r="E309">
            <v>0</v>
          </cell>
          <cell r="F309"/>
          <cell r="G309"/>
          <cell r="H309">
            <v>0</v>
          </cell>
        </row>
        <row r="310">
          <cell r="A310" t="str">
            <v>3202533F2</v>
          </cell>
          <cell r="B310">
            <v>0</v>
          </cell>
          <cell r="C310">
            <v>0</v>
          </cell>
          <cell r="D310">
            <v>0</v>
          </cell>
          <cell r="E310">
            <v>0</v>
          </cell>
          <cell r="F310"/>
          <cell r="G310"/>
          <cell r="H310">
            <v>0</v>
          </cell>
        </row>
        <row r="311">
          <cell r="A311" t="str">
            <v>E05713900</v>
          </cell>
          <cell r="B311">
            <v>0</v>
          </cell>
          <cell r="C311">
            <v>0</v>
          </cell>
          <cell r="D311">
            <v>0</v>
          </cell>
          <cell r="E311">
            <v>0</v>
          </cell>
          <cell r="F311"/>
          <cell r="G311"/>
          <cell r="H311">
            <v>0</v>
          </cell>
        </row>
        <row r="312">
          <cell r="A312" t="str">
            <v/>
          </cell>
          <cell r="B312">
            <v>0</v>
          </cell>
          <cell r="C312">
            <v>0</v>
          </cell>
          <cell r="D312">
            <v>1047810</v>
          </cell>
          <cell r="E312">
            <v>1047810</v>
          </cell>
          <cell r="F312"/>
          <cell r="G312"/>
          <cell r="H312">
            <v>0</v>
          </cell>
        </row>
        <row r="313">
          <cell r="A313" t="str">
            <v>E03887200</v>
          </cell>
          <cell r="B313">
            <v>0</v>
          </cell>
          <cell r="C313">
            <v>0</v>
          </cell>
          <cell r="D313">
            <v>0</v>
          </cell>
          <cell r="E313">
            <v>0</v>
          </cell>
          <cell r="F313"/>
          <cell r="G313"/>
          <cell r="H313">
            <v>0</v>
          </cell>
        </row>
        <row r="314">
          <cell r="A314" t="str">
            <v>E00164500</v>
          </cell>
          <cell r="B314">
            <v>0</v>
          </cell>
          <cell r="C314">
            <v>0</v>
          </cell>
          <cell r="D314">
            <v>0</v>
          </cell>
          <cell r="E314">
            <v>0</v>
          </cell>
          <cell r="F314"/>
          <cell r="G314"/>
          <cell r="H314">
            <v>0</v>
          </cell>
        </row>
        <row r="315">
          <cell r="A315" t="str">
            <v>E00026764</v>
          </cell>
          <cell r="B315">
            <v>0</v>
          </cell>
          <cell r="C315">
            <v>0</v>
          </cell>
          <cell r="D315">
            <v>3</v>
          </cell>
          <cell r="E315">
            <v>3</v>
          </cell>
          <cell r="F315"/>
          <cell r="G315"/>
          <cell r="H315">
            <v>0</v>
          </cell>
        </row>
        <row r="316">
          <cell r="A316" t="str">
            <v>320263VT6</v>
          </cell>
          <cell r="B316">
            <v>0</v>
          </cell>
          <cell r="C316">
            <v>0</v>
          </cell>
          <cell r="D316">
            <v>0</v>
          </cell>
          <cell r="E316">
            <v>0</v>
          </cell>
          <cell r="F316"/>
          <cell r="G316"/>
          <cell r="H316">
            <v>0</v>
          </cell>
        </row>
        <row r="317">
          <cell r="A317">
            <v>320298235</v>
          </cell>
          <cell r="B317">
            <v>0</v>
          </cell>
          <cell r="C317">
            <v>0</v>
          </cell>
          <cell r="D317">
            <v>1</v>
          </cell>
          <cell r="E317">
            <v>1</v>
          </cell>
          <cell r="F317"/>
          <cell r="G317"/>
          <cell r="H317">
            <v>0</v>
          </cell>
        </row>
        <row r="318">
          <cell r="A318" t="str">
            <v>3202502F9</v>
          </cell>
          <cell r="B318">
            <v>0</v>
          </cell>
          <cell r="C318">
            <v>0</v>
          </cell>
          <cell r="D318">
            <v>0</v>
          </cell>
          <cell r="E318">
            <v>0</v>
          </cell>
          <cell r="F318"/>
          <cell r="G318"/>
          <cell r="H318">
            <v>0</v>
          </cell>
        </row>
        <row r="319">
          <cell r="A319" t="str">
            <v>E00004964</v>
          </cell>
          <cell r="B319">
            <v>0</v>
          </cell>
          <cell r="C319">
            <v>0</v>
          </cell>
          <cell r="D319">
            <v>0</v>
          </cell>
          <cell r="E319">
            <v>0</v>
          </cell>
          <cell r="F319"/>
          <cell r="G319"/>
          <cell r="H319">
            <v>0</v>
          </cell>
        </row>
        <row r="320">
          <cell r="A320" t="str">
            <v>3202576Q6</v>
          </cell>
          <cell r="B320">
            <v>0</v>
          </cell>
          <cell r="C320">
            <v>0</v>
          </cell>
          <cell r="D320">
            <v>0</v>
          </cell>
          <cell r="E320">
            <v>0</v>
          </cell>
          <cell r="F320"/>
          <cell r="G320"/>
          <cell r="H320">
            <v>0</v>
          </cell>
        </row>
        <row r="321">
          <cell r="A321" t="str">
            <v>E15132900</v>
          </cell>
          <cell r="B321">
            <v>0</v>
          </cell>
          <cell r="C321">
            <v>0</v>
          </cell>
          <cell r="D321">
            <v>0</v>
          </cell>
          <cell r="E321">
            <v>0</v>
          </cell>
          <cell r="F321"/>
          <cell r="G321"/>
          <cell r="H321">
            <v>0</v>
          </cell>
        </row>
        <row r="322">
          <cell r="A322" t="str">
            <v>E02655900</v>
          </cell>
          <cell r="B322">
            <v>0</v>
          </cell>
          <cell r="C322">
            <v>0</v>
          </cell>
          <cell r="D322">
            <v>6</v>
          </cell>
          <cell r="E322">
            <v>6</v>
          </cell>
          <cell r="F322"/>
          <cell r="G322"/>
          <cell r="H322">
            <v>0</v>
          </cell>
        </row>
        <row r="323">
          <cell r="A323" t="str">
            <v>E00734600</v>
          </cell>
          <cell r="B323">
            <v>1</v>
          </cell>
          <cell r="C323">
            <v>1</v>
          </cell>
          <cell r="D323">
            <v>1</v>
          </cell>
          <cell r="E323">
            <v>0</v>
          </cell>
          <cell r="F323"/>
          <cell r="G323"/>
          <cell r="H323">
            <v>3.3741475826972014</v>
          </cell>
        </row>
        <row r="324">
          <cell r="A324" t="str">
            <v>320257WZ4</v>
          </cell>
          <cell r="B324">
            <v>1</v>
          </cell>
          <cell r="C324">
            <v>1</v>
          </cell>
          <cell r="D324">
            <v>1</v>
          </cell>
          <cell r="E324">
            <v>0</v>
          </cell>
          <cell r="F324"/>
          <cell r="G324"/>
          <cell r="H324">
            <v>0.78813008130081308</v>
          </cell>
        </row>
        <row r="325">
          <cell r="A325" t="str">
            <v>E08698300</v>
          </cell>
          <cell r="B325">
            <v>4</v>
          </cell>
          <cell r="C325">
            <v>4</v>
          </cell>
          <cell r="D325">
            <v>3</v>
          </cell>
          <cell r="E325">
            <v>-1</v>
          </cell>
          <cell r="F325"/>
          <cell r="G325"/>
          <cell r="H325">
            <v>1.1117810965718826</v>
          </cell>
        </row>
        <row r="326">
          <cell r="A326">
            <v>320277247</v>
          </cell>
          <cell r="B326">
            <v>1</v>
          </cell>
          <cell r="C326">
            <v>1</v>
          </cell>
          <cell r="D326">
            <v>1</v>
          </cell>
          <cell r="E326">
            <v>0</v>
          </cell>
          <cell r="F326"/>
          <cell r="G326"/>
          <cell r="H326">
            <v>0.42576912893831081</v>
          </cell>
        </row>
        <row r="327">
          <cell r="A327" t="str">
            <v>E15142100</v>
          </cell>
          <cell r="B327">
            <v>0</v>
          </cell>
          <cell r="C327">
            <v>0</v>
          </cell>
          <cell r="D327">
            <v>0</v>
          </cell>
          <cell r="E327">
            <v>0</v>
          </cell>
          <cell r="F327"/>
          <cell r="G327"/>
          <cell r="H327">
            <v>0</v>
          </cell>
        </row>
        <row r="328">
          <cell r="A328" t="str">
            <v>E02741500</v>
          </cell>
          <cell r="B328">
            <v>3</v>
          </cell>
          <cell r="C328">
            <v>3</v>
          </cell>
          <cell r="D328">
            <v>2</v>
          </cell>
          <cell r="E328">
            <v>-1</v>
          </cell>
          <cell r="F328"/>
          <cell r="G328"/>
          <cell r="H328">
            <v>1.1684663609578876</v>
          </cell>
        </row>
        <row r="329">
          <cell r="A329" t="str">
            <v>E02719100</v>
          </cell>
          <cell r="B329">
            <v>3</v>
          </cell>
          <cell r="C329">
            <v>3</v>
          </cell>
          <cell r="D329">
            <v>1</v>
          </cell>
          <cell r="E329">
            <v>-2</v>
          </cell>
          <cell r="F329"/>
          <cell r="G329"/>
          <cell r="H329">
            <v>1.6787340341617503</v>
          </cell>
        </row>
        <row r="330">
          <cell r="A330" t="str">
            <v>E04282000</v>
          </cell>
          <cell r="B330">
            <v>1</v>
          </cell>
          <cell r="C330">
            <v>1</v>
          </cell>
          <cell r="D330">
            <v>1</v>
          </cell>
          <cell r="E330">
            <v>0</v>
          </cell>
          <cell r="F330"/>
          <cell r="G330"/>
          <cell r="H330">
            <v>1.4998803338056999</v>
          </cell>
        </row>
        <row r="331">
          <cell r="A331" t="str">
            <v>32025Y291</v>
          </cell>
          <cell r="B331">
            <v>1</v>
          </cell>
          <cell r="C331">
            <v>1</v>
          </cell>
          <cell r="D331">
            <v>1</v>
          </cell>
          <cell r="E331">
            <v>0</v>
          </cell>
          <cell r="F331"/>
          <cell r="G331"/>
          <cell r="H331">
            <v>2.1734272300469484</v>
          </cell>
        </row>
        <row r="332">
          <cell r="A332" t="str">
            <v>E01265300</v>
          </cell>
          <cell r="B332">
            <v>1</v>
          </cell>
          <cell r="C332">
            <v>1</v>
          </cell>
          <cell r="D332">
            <v>1</v>
          </cell>
          <cell r="E332">
            <v>0</v>
          </cell>
          <cell r="F332"/>
          <cell r="G332"/>
          <cell r="H332">
            <v>4.5345098039215692</v>
          </cell>
        </row>
        <row r="333">
          <cell r="A333" t="str">
            <v>E02493100</v>
          </cell>
          <cell r="B333">
            <v>1</v>
          </cell>
          <cell r="C333">
            <v>1</v>
          </cell>
          <cell r="D333">
            <v>1</v>
          </cell>
          <cell r="E333">
            <v>0</v>
          </cell>
          <cell r="F333"/>
          <cell r="G333"/>
          <cell r="H333">
            <v>0.29114994704191255</v>
          </cell>
        </row>
        <row r="334">
          <cell r="A334" t="str">
            <v>3202547S5</v>
          </cell>
          <cell r="B334">
            <v>2</v>
          </cell>
          <cell r="C334">
            <v>2</v>
          </cell>
          <cell r="D334">
            <v>1</v>
          </cell>
          <cell r="E334">
            <v>-1</v>
          </cell>
          <cell r="F334"/>
          <cell r="G334"/>
          <cell r="H334">
            <v>0.71616417597652782</v>
          </cell>
        </row>
        <row r="335">
          <cell r="A335" t="str">
            <v>E02742700</v>
          </cell>
          <cell r="B335">
            <v>0</v>
          </cell>
          <cell r="C335">
            <v>0</v>
          </cell>
          <cell r="D335">
            <v>1</v>
          </cell>
          <cell r="E335">
            <v>1</v>
          </cell>
          <cell r="F335"/>
          <cell r="G335"/>
          <cell r="H335">
            <v>0</v>
          </cell>
        </row>
        <row r="336">
          <cell r="A336" t="str">
            <v>E37621700</v>
          </cell>
          <cell r="B336">
            <v>0</v>
          </cell>
          <cell r="C336">
            <v>0</v>
          </cell>
          <cell r="D336">
            <v>0</v>
          </cell>
          <cell r="E336">
            <v>0</v>
          </cell>
          <cell r="F336"/>
          <cell r="G336"/>
          <cell r="H336">
            <v>0</v>
          </cell>
        </row>
        <row r="337">
          <cell r="A337" t="str">
            <v>E16092200</v>
          </cell>
          <cell r="B337">
            <v>0</v>
          </cell>
          <cell r="C337">
            <v>0</v>
          </cell>
          <cell r="D337">
            <v>0</v>
          </cell>
          <cell r="E337">
            <v>0</v>
          </cell>
          <cell r="F337"/>
          <cell r="G337"/>
          <cell r="H337">
            <v>0</v>
          </cell>
        </row>
        <row r="338">
          <cell r="A338" t="str">
            <v>E02200700</v>
          </cell>
          <cell r="B338">
            <v>2</v>
          </cell>
          <cell r="C338">
            <v>2</v>
          </cell>
          <cell r="D338">
            <v>1</v>
          </cell>
          <cell r="E338">
            <v>-1</v>
          </cell>
          <cell r="F338"/>
          <cell r="G338"/>
          <cell r="H338">
            <v>4.7398245614035091</v>
          </cell>
        </row>
        <row r="339">
          <cell r="A339" t="str">
            <v>E10244200</v>
          </cell>
          <cell r="B339">
            <v>1</v>
          </cell>
          <cell r="C339">
            <v>1</v>
          </cell>
          <cell r="D339">
            <v>0</v>
          </cell>
          <cell r="E339">
            <v>-1</v>
          </cell>
          <cell r="F339"/>
          <cell r="G339"/>
          <cell r="H339">
            <v>0.28702094158400254</v>
          </cell>
        </row>
        <row r="340">
          <cell r="A340" t="str">
            <v>E21821100</v>
          </cell>
          <cell r="B340">
            <v>0</v>
          </cell>
          <cell r="C340">
            <v>0</v>
          </cell>
          <cell r="D340">
            <v>0</v>
          </cell>
          <cell r="E340">
            <v>0</v>
          </cell>
          <cell r="F340"/>
          <cell r="G340"/>
          <cell r="H340">
            <v>0</v>
          </cell>
        </row>
        <row r="341">
          <cell r="A341" t="str">
            <v>320151FMY</v>
          </cell>
          <cell r="B341">
            <v>1</v>
          </cell>
          <cell r="C341">
            <v>1</v>
          </cell>
          <cell r="D341">
            <v>1</v>
          </cell>
          <cell r="E341">
            <v>0</v>
          </cell>
          <cell r="F341"/>
          <cell r="G341"/>
          <cell r="H341">
            <v>6.215853343661245E-2</v>
          </cell>
        </row>
        <row r="342">
          <cell r="A342" t="str">
            <v>E05363400</v>
          </cell>
          <cell r="B342">
            <v>1</v>
          </cell>
          <cell r="C342">
            <v>1</v>
          </cell>
          <cell r="D342">
            <v>1</v>
          </cell>
          <cell r="E342">
            <v>0</v>
          </cell>
          <cell r="F342"/>
          <cell r="G342"/>
          <cell r="H342">
            <v>0.29298378208156201</v>
          </cell>
        </row>
        <row r="343">
          <cell r="A343" t="str">
            <v>E16092100</v>
          </cell>
          <cell r="B343">
            <v>0</v>
          </cell>
          <cell r="C343">
            <v>0</v>
          </cell>
          <cell r="D343">
            <v>0</v>
          </cell>
          <cell r="E343">
            <v>0</v>
          </cell>
          <cell r="F343"/>
          <cell r="G343"/>
          <cell r="H343">
            <v>0</v>
          </cell>
        </row>
        <row r="344">
          <cell r="A344" t="str">
            <v>E20198400</v>
          </cell>
          <cell r="B344">
            <v>2</v>
          </cell>
          <cell r="C344">
            <v>2</v>
          </cell>
          <cell r="D344">
            <v>3</v>
          </cell>
          <cell r="E344">
            <v>1</v>
          </cell>
          <cell r="F344"/>
          <cell r="G344"/>
          <cell r="H344">
            <v>11.269651401230352</v>
          </cell>
        </row>
        <row r="345">
          <cell r="A345" t="str">
            <v>E16092400</v>
          </cell>
          <cell r="B345">
            <v>0</v>
          </cell>
          <cell r="C345">
            <v>0</v>
          </cell>
          <cell r="D345">
            <v>0</v>
          </cell>
          <cell r="E345">
            <v>0</v>
          </cell>
          <cell r="F345"/>
          <cell r="G345"/>
          <cell r="H345">
            <v>0</v>
          </cell>
        </row>
        <row r="346">
          <cell r="A346" t="str">
            <v>E16092600</v>
          </cell>
          <cell r="B346">
            <v>0</v>
          </cell>
          <cell r="C346">
            <v>0</v>
          </cell>
          <cell r="D346">
            <v>0</v>
          </cell>
          <cell r="E346">
            <v>0</v>
          </cell>
          <cell r="F346"/>
          <cell r="G346"/>
          <cell r="H346">
            <v>0</v>
          </cell>
        </row>
        <row r="347">
          <cell r="A347" t="str">
            <v>3202557N5</v>
          </cell>
          <cell r="B347">
            <v>1</v>
          </cell>
          <cell r="C347">
            <v>1</v>
          </cell>
          <cell r="D347">
            <v>1</v>
          </cell>
          <cell r="E347">
            <v>0</v>
          </cell>
          <cell r="F347"/>
          <cell r="G347"/>
          <cell r="H347">
            <v>0.36885558583106265</v>
          </cell>
        </row>
        <row r="348">
          <cell r="A348" t="str">
            <v>E05464400</v>
          </cell>
          <cell r="B348">
            <v>1</v>
          </cell>
          <cell r="C348">
            <v>1</v>
          </cell>
          <cell r="D348">
            <v>1</v>
          </cell>
          <cell r="E348">
            <v>0</v>
          </cell>
          <cell r="F348"/>
          <cell r="G348"/>
          <cell r="H348">
            <v>0.26623031241931322</v>
          </cell>
        </row>
        <row r="349">
          <cell r="A349" t="str">
            <v>E16092300</v>
          </cell>
          <cell r="B349">
            <v>0</v>
          </cell>
          <cell r="C349">
            <v>0</v>
          </cell>
          <cell r="D349">
            <v>0</v>
          </cell>
          <cell r="E349">
            <v>0</v>
          </cell>
          <cell r="F349"/>
          <cell r="G349"/>
          <cell r="H349">
            <v>0</v>
          </cell>
        </row>
        <row r="350">
          <cell r="A350" t="str">
            <v>E16092500</v>
          </cell>
          <cell r="B350">
            <v>0</v>
          </cell>
          <cell r="C350">
            <v>0</v>
          </cell>
          <cell r="D350">
            <v>0</v>
          </cell>
          <cell r="E350">
            <v>0</v>
          </cell>
          <cell r="F350"/>
          <cell r="G350"/>
          <cell r="H350">
            <v>0</v>
          </cell>
        </row>
        <row r="351">
          <cell r="A351" t="str">
            <v>3202515R8</v>
          </cell>
          <cell r="B351">
            <v>1</v>
          </cell>
          <cell r="C351">
            <v>1</v>
          </cell>
          <cell r="D351">
            <v>2</v>
          </cell>
          <cell r="E351">
            <v>1</v>
          </cell>
          <cell r="F351"/>
          <cell r="G351"/>
          <cell r="H351">
            <v>1.0179944729569681</v>
          </cell>
        </row>
        <row r="352">
          <cell r="A352" t="str">
            <v>E14929200</v>
          </cell>
          <cell r="B352">
            <v>1</v>
          </cell>
          <cell r="C352">
            <v>1</v>
          </cell>
          <cell r="D352">
            <v>1</v>
          </cell>
          <cell r="E352">
            <v>0</v>
          </cell>
          <cell r="F352"/>
          <cell r="G352"/>
          <cell r="H352">
            <v>3.4199999999999995</v>
          </cell>
        </row>
        <row r="353">
          <cell r="A353" t="str">
            <v>E36802300</v>
          </cell>
          <cell r="B353">
            <v>0</v>
          </cell>
          <cell r="C353">
            <v>0</v>
          </cell>
          <cell r="D353">
            <v>0</v>
          </cell>
          <cell r="E353">
            <v>0</v>
          </cell>
          <cell r="F353"/>
          <cell r="G353"/>
          <cell r="H353">
            <v>0</v>
          </cell>
        </row>
        <row r="354">
          <cell r="A354" t="str">
            <v>E36801200</v>
          </cell>
          <cell r="B354">
            <v>0</v>
          </cell>
          <cell r="C354">
            <v>0</v>
          </cell>
          <cell r="D354">
            <v>0</v>
          </cell>
          <cell r="E354">
            <v>0</v>
          </cell>
          <cell r="F354"/>
          <cell r="G354"/>
          <cell r="H354">
            <v>0</v>
          </cell>
        </row>
        <row r="355">
          <cell r="A355" t="str">
            <v>E36836000</v>
          </cell>
          <cell r="B355">
            <v>0</v>
          </cell>
          <cell r="C355">
            <v>0</v>
          </cell>
          <cell r="D355">
            <v>0</v>
          </cell>
          <cell r="E355">
            <v>0</v>
          </cell>
          <cell r="F355"/>
          <cell r="G355"/>
          <cell r="H355">
            <v>0</v>
          </cell>
        </row>
        <row r="356">
          <cell r="A356" t="str">
            <v>32025Y1LX</v>
          </cell>
          <cell r="B356">
            <v>0</v>
          </cell>
          <cell r="C356">
            <v>0</v>
          </cell>
          <cell r="D356">
            <v>0</v>
          </cell>
          <cell r="E356">
            <v>0</v>
          </cell>
          <cell r="F356"/>
          <cell r="G356"/>
          <cell r="H356">
            <v>0</v>
          </cell>
        </row>
        <row r="357">
          <cell r="A357" t="str">
            <v>3202574H8</v>
          </cell>
          <cell r="B357">
            <v>0</v>
          </cell>
          <cell r="C357">
            <v>0</v>
          </cell>
          <cell r="D357">
            <v>1</v>
          </cell>
          <cell r="E357">
            <v>1</v>
          </cell>
          <cell r="F357"/>
          <cell r="G357"/>
          <cell r="H357">
            <v>0</v>
          </cell>
        </row>
        <row r="358">
          <cell r="A358" t="str">
            <v>E00309700</v>
          </cell>
          <cell r="B358">
            <v>0</v>
          </cell>
          <cell r="C358">
            <v>0</v>
          </cell>
          <cell r="D358">
            <v>1</v>
          </cell>
          <cell r="E358">
            <v>1</v>
          </cell>
          <cell r="F358"/>
          <cell r="G358"/>
          <cell r="H358">
            <v>0</v>
          </cell>
        </row>
        <row r="359">
          <cell r="A359" t="str">
            <v>320151FH4</v>
          </cell>
          <cell r="B359">
            <v>0</v>
          </cell>
          <cell r="C359">
            <v>0</v>
          </cell>
          <cell r="D359">
            <v>1</v>
          </cell>
          <cell r="E359">
            <v>1</v>
          </cell>
          <cell r="F359"/>
          <cell r="G359"/>
          <cell r="H359">
            <v>0</v>
          </cell>
        </row>
        <row r="360">
          <cell r="A360" t="str">
            <v>E00004334</v>
          </cell>
          <cell r="B360">
            <v>0</v>
          </cell>
          <cell r="C360">
            <v>0</v>
          </cell>
          <cell r="D360">
            <v>0</v>
          </cell>
          <cell r="E360">
            <v>0</v>
          </cell>
          <cell r="F360"/>
          <cell r="G360"/>
          <cell r="H360">
            <v>0</v>
          </cell>
        </row>
        <row r="361">
          <cell r="A361" t="str">
            <v>E05231900</v>
          </cell>
          <cell r="B361">
            <v>0</v>
          </cell>
          <cell r="C361">
            <v>0</v>
          </cell>
          <cell r="D361">
            <v>1</v>
          </cell>
          <cell r="E361">
            <v>1</v>
          </cell>
          <cell r="F361"/>
          <cell r="G361"/>
          <cell r="H361">
            <v>0</v>
          </cell>
        </row>
        <row r="362">
          <cell r="A362" t="str">
            <v>E10878600</v>
          </cell>
          <cell r="B362">
            <v>0</v>
          </cell>
          <cell r="C362">
            <v>0</v>
          </cell>
          <cell r="D362">
            <v>0</v>
          </cell>
          <cell r="E362">
            <v>0</v>
          </cell>
          <cell r="F362"/>
          <cell r="G362"/>
          <cell r="H362">
            <v>0</v>
          </cell>
        </row>
        <row r="363">
          <cell r="A363" t="str">
            <v>32025Y293</v>
          </cell>
          <cell r="B363">
            <v>0</v>
          </cell>
          <cell r="C363">
            <v>0</v>
          </cell>
          <cell r="D363">
            <v>0</v>
          </cell>
          <cell r="E363">
            <v>0</v>
          </cell>
          <cell r="F363"/>
          <cell r="G363"/>
          <cell r="H363">
            <v>0</v>
          </cell>
        </row>
        <row r="364">
          <cell r="A364">
            <v>320251895</v>
          </cell>
          <cell r="B364">
            <v>0</v>
          </cell>
          <cell r="C364">
            <v>0</v>
          </cell>
          <cell r="D364">
            <v>1</v>
          </cell>
          <cell r="E364">
            <v>1</v>
          </cell>
          <cell r="F364"/>
          <cell r="G364"/>
          <cell r="H364">
            <v>0</v>
          </cell>
        </row>
        <row r="365">
          <cell r="A365" t="str">
            <v>3202573L0</v>
          </cell>
          <cell r="B365">
            <v>0</v>
          </cell>
          <cell r="C365">
            <v>0</v>
          </cell>
          <cell r="D365">
            <v>1</v>
          </cell>
          <cell r="E365">
            <v>1</v>
          </cell>
          <cell r="F365"/>
          <cell r="G365"/>
          <cell r="H365">
            <v>0</v>
          </cell>
        </row>
        <row r="366">
          <cell r="A366" t="str">
            <v>3201517M9</v>
          </cell>
          <cell r="B366">
            <v>0</v>
          </cell>
          <cell r="C366">
            <v>0</v>
          </cell>
          <cell r="D366">
            <v>1</v>
          </cell>
          <cell r="E366">
            <v>1</v>
          </cell>
          <cell r="F366"/>
          <cell r="G366"/>
          <cell r="H366">
            <v>0</v>
          </cell>
        </row>
        <row r="367">
          <cell r="A367" t="str">
            <v>320257A99</v>
          </cell>
          <cell r="B367">
            <v>0</v>
          </cell>
          <cell r="C367">
            <v>0</v>
          </cell>
          <cell r="D367">
            <v>1</v>
          </cell>
          <cell r="E367">
            <v>1</v>
          </cell>
          <cell r="F367"/>
          <cell r="G367"/>
          <cell r="H367">
            <v>0</v>
          </cell>
        </row>
        <row r="368">
          <cell r="A368" t="str">
            <v>320257CL0</v>
          </cell>
          <cell r="B368">
            <v>0</v>
          </cell>
          <cell r="C368">
            <v>0</v>
          </cell>
          <cell r="D368">
            <v>1</v>
          </cell>
          <cell r="E368">
            <v>1</v>
          </cell>
          <cell r="F368"/>
          <cell r="G368"/>
          <cell r="H368">
            <v>0</v>
          </cell>
        </row>
        <row r="369">
          <cell r="A369" t="str">
            <v>320258AQ9</v>
          </cell>
          <cell r="B369">
            <v>0</v>
          </cell>
          <cell r="C369">
            <v>0</v>
          </cell>
          <cell r="D369">
            <v>1</v>
          </cell>
          <cell r="E369">
            <v>1</v>
          </cell>
          <cell r="F369"/>
          <cell r="G369"/>
          <cell r="H369">
            <v>0</v>
          </cell>
        </row>
        <row r="370">
          <cell r="A370" t="str">
            <v>E01491100</v>
          </cell>
          <cell r="B370">
            <v>0</v>
          </cell>
          <cell r="C370">
            <v>0</v>
          </cell>
          <cell r="D370">
            <v>0</v>
          </cell>
          <cell r="E370">
            <v>0</v>
          </cell>
          <cell r="F370"/>
          <cell r="G370"/>
          <cell r="H370">
            <v>0</v>
          </cell>
        </row>
        <row r="371">
          <cell r="A371">
            <v>320258148</v>
          </cell>
          <cell r="B371">
            <v>0</v>
          </cell>
          <cell r="C371">
            <v>0</v>
          </cell>
          <cell r="D371">
            <v>2</v>
          </cell>
          <cell r="E371">
            <v>2</v>
          </cell>
          <cell r="F371"/>
          <cell r="G371"/>
          <cell r="H371">
            <v>0</v>
          </cell>
        </row>
        <row r="372">
          <cell r="A372" t="str">
            <v>E11731500</v>
          </cell>
          <cell r="B372">
            <v>0</v>
          </cell>
          <cell r="C372">
            <v>0</v>
          </cell>
          <cell r="D372">
            <v>2</v>
          </cell>
          <cell r="E372">
            <v>2</v>
          </cell>
          <cell r="F372"/>
          <cell r="G372"/>
          <cell r="H372">
            <v>0</v>
          </cell>
        </row>
        <row r="373">
          <cell r="A373" t="str">
            <v>320151FH5</v>
          </cell>
          <cell r="B373">
            <v>0</v>
          </cell>
          <cell r="C373">
            <v>0</v>
          </cell>
          <cell r="D373">
            <v>1</v>
          </cell>
          <cell r="E373">
            <v>1</v>
          </cell>
          <cell r="F373"/>
          <cell r="G373"/>
          <cell r="H373">
            <v>0</v>
          </cell>
        </row>
        <row r="374">
          <cell r="A374">
            <v>320255391</v>
          </cell>
          <cell r="B374">
            <v>0</v>
          </cell>
          <cell r="C374">
            <v>0</v>
          </cell>
          <cell r="D374">
            <v>0</v>
          </cell>
          <cell r="E374">
            <v>0</v>
          </cell>
          <cell r="F374"/>
          <cell r="G374"/>
          <cell r="H374">
            <v>0</v>
          </cell>
        </row>
        <row r="375">
          <cell r="A375" t="str">
            <v>3202573T0</v>
          </cell>
          <cell r="B375">
            <v>0</v>
          </cell>
          <cell r="C375">
            <v>0</v>
          </cell>
          <cell r="D375">
            <v>1</v>
          </cell>
          <cell r="E375">
            <v>1</v>
          </cell>
          <cell r="F375"/>
          <cell r="G375"/>
          <cell r="H375">
            <v>0</v>
          </cell>
        </row>
        <row r="376">
          <cell r="A376" t="str">
            <v>32025Y2AU</v>
          </cell>
          <cell r="B376">
            <v>0</v>
          </cell>
          <cell r="C376">
            <v>0</v>
          </cell>
          <cell r="D376">
            <v>1</v>
          </cell>
          <cell r="E376">
            <v>1</v>
          </cell>
          <cell r="F376"/>
          <cell r="G376"/>
          <cell r="H376">
            <v>0</v>
          </cell>
        </row>
        <row r="377">
          <cell r="A377" t="str">
            <v>320257CD8</v>
          </cell>
          <cell r="B377">
            <v>0</v>
          </cell>
          <cell r="C377">
            <v>0</v>
          </cell>
          <cell r="D377">
            <v>0</v>
          </cell>
          <cell r="E377">
            <v>0</v>
          </cell>
          <cell r="F377"/>
          <cell r="G377"/>
          <cell r="H377">
            <v>0</v>
          </cell>
        </row>
        <row r="378">
          <cell r="A378" t="str">
            <v>3202577I3</v>
          </cell>
          <cell r="B378">
            <v>0</v>
          </cell>
          <cell r="C378">
            <v>0</v>
          </cell>
          <cell r="D378">
            <v>1</v>
          </cell>
          <cell r="E378">
            <v>1</v>
          </cell>
          <cell r="F378"/>
          <cell r="G378"/>
          <cell r="H378">
            <v>0</v>
          </cell>
        </row>
        <row r="379">
          <cell r="A379" t="str">
            <v>E00020698</v>
          </cell>
          <cell r="B379">
            <v>0</v>
          </cell>
          <cell r="C379">
            <v>0</v>
          </cell>
          <cell r="D379">
            <v>2</v>
          </cell>
          <cell r="E379">
            <v>2</v>
          </cell>
          <cell r="F379"/>
          <cell r="G379"/>
          <cell r="H379">
            <v>0</v>
          </cell>
        </row>
        <row r="380">
          <cell r="A380" t="str">
            <v>E37297900</v>
          </cell>
          <cell r="B380">
            <v>0</v>
          </cell>
          <cell r="C380">
            <v>0</v>
          </cell>
          <cell r="D380">
            <v>0</v>
          </cell>
          <cell r="E380">
            <v>0</v>
          </cell>
          <cell r="F380"/>
          <cell r="G380"/>
          <cell r="H380">
            <v>0</v>
          </cell>
        </row>
        <row r="381">
          <cell r="A381">
            <v>320251887</v>
          </cell>
          <cell r="B381">
            <v>0</v>
          </cell>
          <cell r="C381">
            <v>0</v>
          </cell>
          <cell r="D381">
            <v>1</v>
          </cell>
          <cell r="E381">
            <v>1</v>
          </cell>
          <cell r="F381"/>
          <cell r="G381"/>
          <cell r="H381">
            <v>0</v>
          </cell>
        </row>
        <row r="382">
          <cell r="A382" t="str">
            <v>3202536F9</v>
          </cell>
          <cell r="B382">
            <v>0</v>
          </cell>
          <cell r="C382">
            <v>0</v>
          </cell>
          <cell r="D382">
            <v>1</v>
          </cell>
          <cell r="E382">
            <v>1</v>
          </cell>
          <cell r="F382"/>
          <cell r="G382"/>
          <cell r="H382">
            <v>0</v>
          </cell>
        </row>
        <row r="383">
          <cell r="A383" t="str">
            <v>32025Y342</v>
          </cell>
          <cell r="B383">
            <v>0</v>
          </cell>
          <cell r="C383">
            <v>0</v>
          </cell>
          <cell r="D383">
            <v>1</v>
          </cell>
          <cell r="E383">
            <v>1</v>
          </cell>
          <cell r="F383"/>
          <cell r="G383"/>
          <cell r="H383">
            <v>0</v>
          </cell>
        </row>
        <row r="384">
          <cell r="A384" t="str">
            <v>3202578G6</v>
          </cell>
          <cell r="B384">
            <v>0</v>
          </cell>
          <cell r="C384">
            <v>0</v>
          </cell>
          <cell r="D384">
            <v>1</v>
          </cell>
          <cell r="E384">
            <v>1</v>
          </cell>
          <cell r="F384"/>
          <cell r="G384"/>
          <cell r="H384">
            <v>0</v>
          </cell>
        </row>
        <row r="385">
          <cell r="A385" t="str">
            <v>E36837000</v>
          </cell>
          <cell r="B385">
            <v>0</v>
          </cell>
          <cell r="C385">
            <v>0</v>
          </cell>
          <cell r="D385">
            <v>1</v>
          </cell>
          <cell r="E385">
            <v>1</v>
          </cell>
          <cell r="F385"/>
          <cell r="G385"/>
          <cell r="H385">
            <v>0</v>
          </cell>
        </row>
        <row r="386">
          <cell r="A386" t="str">
            <v>3202552T5</v>
          </cell>
          <cell r="B386">
            <v>0</v>
          </cell>
          <cell r="C386">
            <v>0</v>
          </cell>
          <cell r="D386">
            <v>1</v>
          </cell>
          <cell r="E386">
            <v>1</v>
          </cell>
          <cell r="F386"/>
          <cell r="G386"/>
          <cell r="H386">
            <v>0</v>
          </cell>
        </row>
        <row r="387">
          <cell r="A387">
            <v>320262553</v>
          </cell>
          <cell r="B387">
            <v>0</v>
          </cell>
          <cell r="C387">
            <v>0</v>
          </cell>
          <cell r="D387">
            <v>1</v>
          </cell>
          <cell r="E387">
            <v>1</v>
          </cell>
          <cell r="F387"/>
          <cell r="G387"/>
          <cell r="H387">
            <v>0</v>
          </cell>
        </row>
        <row r="388">
          <cell r="A388" t="str">
            <v>3202541W2</v>
          </cell>
          <cell r="B388">
            <v>0</v>
          </cell>
          <cell r="C388">
            <v>0</v>
          </cell>
          <cell r="D388">
            <v>1</v>
          </cell>
          <cell r="E388">
            <v>1</v>
          </cell>
          <cell r="F388"/>
          <cell r="G388"/>
          <cell r="H388">
            <v>0</v>
          </cell>
        </row>
        <row r="389">
          <cell r="A389" t="str">
            <v>3202547I0</v>
          </cell>
          <cell r="B389">
            <v>0</v>
          </cell>
          <cell r="C389">
            <v>0</v>
          </cell>
          <cell r="D389">
            <v>1</v>
          </cell>
          <cell r="E389">
            <v>1</v>
          </cell>
          <cell r="F389"/>
          <cell r="G389"/>
          <cell r="H389">
            <v>0</v>
          </cell>
        </row>
        <row r="390">
          <cell r="A390" t="str">
            <v>E00000963</v>
          </cell>
          <cell r="B390">
            <v>0</v>
          </cell>
          <cell r="C390">
            <v>0</v>
          </cell>
          <cell r="D390">
            <v>1</v>
          </cell>
          <cell r="E390">
            <v>1</v>
          </cell>
          <cell r="F390"/>
          <cell r="G390"/>
          <cell r="H390">
            <v>0</v>
          </cell>
        </row>
        <row r="391">
          <cell r="A391" t="str">
            <v>E10394400</v>
          </cell>
          <cell r="B391">
            <v>0</v>
          </cell>
          <cell r="C391">
            <v>0</v>
          </cell>
          <cell r="D391">
            <v>0</v>
          </cell>
          <cell r="E391">
            <v>0</v>
          </cell>
          <cell r="F391"/>
          <cell r="G391"/>
          <cell r="H391">
            <v>0</v>
          </cell>
        </row>
        <row r="392">
          <cell r="A392">
            <v>320261381</v>
          </cell>
          <cell r="B392">
            <v>0</v>
          </cell>
          <cell r="C392">
            <v>0</v>
          </cell>
          <cell r="D392">
            <v>0</v>
          </cell>
          <cell r="E392">
            <v>0</v>
          </cell>
          <cell r="F392"/>
          <cell r="G392"/>
          <cell r="H392">
            <v>0</v>
          </cell>
        </row>
        <row r="393">
          <cell r="A393" t="str">
            <v>E05911200</v>
          </cell>
          <cell r="B393">
            <v>0</v>
          </cell>
          <cell r="C393">
            <v>0</v>
          </cell>
          <cell r="D393">
            <v>0</v>
          </cell>
          <cell r="E393">
            <v>0</v>
          </cell>
          <cell r="F393"/>
          <cell r="G393"/>
          <cell r="H393">
            <v>0</v>
          </cell>
        </row>
        <row r="394">
          <cell r="A394" t="str">
            <v>E01080600</v>
          </cell>
          <cell r="B394">
            <v>0</v>
          </cell>
          <cell r="C394">
            <v>0</v>
          </cell>
          <cell r="D394">
            <v>0</v>
          </cell>
          <cell r="E394">
            <v>0</v>
          </cell>
          <cell r="F394"/>
          <cell r="G394"/>
          <cell r="H394">
            <v>0</v>
          </cell>
        </row>
        <row r="395">
          <cell r="A395" t="str">
            <v>32025Y3FU</v>
          </cell>
          <cell r="B395">
            <v>0</v>
          </cell>
          <cell r="C395">
            <v>0</v>
          </cell>
          <cell r="D395">
            <v>0</v>
          </cell>
          <cell r="E395">
            <v>0</v>
          </cell>
          <cell r="F395"/>
          <cell r="G395"/>
          <cell r="H395">
            <v>0</v>
          </cell>
        </row>
        <row r="396">
          <cell r="A396" t="str">
            <v>E00029155</v>
          </cell>
          <cell r="B396">
            <v>0</v>
          </cell>
          <cell r="C396">
            <v>0</v>
          </cell>
          <cell r="D396">
            <v>0</v>
          </cell>
          <cell r="E396">
            <v>0</v>
          </cell>
          <cell r="F396"/>
          <cell r="G396"/>
          <cell r="H396">
            <v>0</v>
          </cell>
        </row>
        <row r="397">
          <cell r="A397" t="str">
            <v>E10304600</v>
          </cell>
          <cell r="B397">
            <v>0</v>
          </cell>
          <cell r="C397">
            <v>0</v>
          </cell>
          <cell r="D397">
            <v>0</v>
          </cell>
          <cell r="E397">
            <v>0</v>
          </cell>
          <cell r="F397"/>
          <cell r="G397"/>
          <cell r="H397">
            <v>0</v>
          </cell>
        </row>
        <row r="398">
          <cell r="A398" t="str">
            <v>E02156800</v>
          </cell>
          <cell r="B398">
            <v>0</v>
          </cell>
          <cell r="C398">
            <v>0</v>
          </cell>
          <cell r="D398">
            <v>0</v>
          </cell>
          <cell r="E398">
            <v>0</v>
          </cell>
          <cell r="F398"/>
          <cell r="G398"/>
          <cell r="H398">
            <v>0</v>
          </cell>
        </row>
        <row r="399">
          <cell r="A399" t="str">
            <v>3201511Z4</v>
          </cell>
          <cell r="B399">
            <v>0</v>
          </cell>
          <cell r="C399">
            <v>0</v>
          </cell>
          <cell r="D399">
            <v>0</v>
          </cell>
          <cell r="E399">
            <v>0</v>
          </cell>
          <cell r="F399"/>
          <cell r="G399"/>
          <cell r="H399">
            <v>0</v>
          </cell>
        </row>
        <row r="400">
          <cell r="A400" t="str">
            <v>3201512P7</v>
          </cell>
          <cell r="B400">
            <v>0</v>
          </cell>
          <cell r="C400">
            <v>0</v>
          </cell>
          <cell r="D400">
            <v>0</v>
          </cell>
          <cell r="E400">
            <v>0</v>
          </cell>
          <cell r="F400"/>
          <cell r="G400"/>
          <cell r="H400">
            <v>0</v>
          </cell>
        </row>
        <row r="401">
          <cell r="A401" t="str">
            <v>320257QB7</v>
          </cell>
          <cell r="B401">
            <v>0</v>
          </cell>
          <cell r="C401">
            <v>0</v>
          </cell>
          <cell r="D401">
            <v>0</v>
          </cell>
          <cell r="E401">
            <v>0</v>
          </cell>
          <cell r="F401"/>
          <cell r="G401"/>
          <cell r="H401">
            <v>0</v>
          </cell>
        </row>
        <row r="402">
          <cell r="A402" t="str">
            <v>E10164400</v>
          </cell>
          <cell r="B402">
            <v>0</v>
          </cell>
          <cell r="C402">
            <v>0</v>
          </cell>
          <cell r="D402">
            <v>0</v>
          </cell>
          <cell r="E402">
            <v>0</v>
          </cell>
          <cell r="F402"/>
          <cell r="G402"/>
          <cell r="H402">
            <v>0</v>
          </cell>
        </row>
        <row r="403">
          <cell r="A403" t="str">
            <v>32025Y25M</v>
          </cell>
          <cell r="B403">
            <v>0</v>
          </cell>
          <cell r="C403">
            <v>0</v>
          </cell>
          <cell r="D403">
            <v>0</v>
          </cell>
          <cell r="E403">
            <v>0</v>
          </cell>
          <cell r="F403"/>
          <cell r="G403"/>
          <cell r="H403">
            <v>0</v>
          </cell>
        </row>
        <row r="404">
          <cell r="A404" t="str">
            <v>E02325500</v>
          </cell>
          <cell r="B404">
            <v>0</v>
          </cell>
          <cell r="C404">
            <v>0</v>
          </cell>
          <cell r="D404">
            <v>0</v>
          </cell>
          <cell r="E404">
            <v>0</v>
          </cell>
          <cell r="F404"/>
          <cell r="G404"/>
          <cell r="H404">
            <v>0</v>
          </cell>
        </row>
        <row r="405">
          <cell r="A405" t="str">
            <v>E13799600</v>
          </cell>
          <cell r="B405">
            <v>0</v>
          </cell>
          <cell r="C405">
            <v>0</v>
          </cell>
          <cell r="D405">
            <v>0</v>
          </cell>
          <cell r="E405">
            <v>0</v>
          </cell>
          <cell r="F405"/>
          <cell r="G405"/>
          <cell r="H405">
            <v>0</v>
          </cell>
        </row>
        <row r="406">
          <cell r="A406" t="str">
            <v>3202633W1</v>
          </cell>
          <cell r="B406">
            <v>0</v>
          </cell>
          <cell r="C406">
            <v>0</v>
          </cell>
          <cell r="D406">
            <v>0</v>
          </cell>
          <cell r="E406">
            <v>0</v>
          </cell>
          <cell r="F406"/>
          <cell r="G406"/>
          <cell r="H406">
            <v>0</v>
          </cell>
        </row>
        <row r="407">
          <cell r="A407" t="str">
            <v>3202545S7</v>
          </cell>
          <cell r="B407">
            <v>0</v>
          </cell>
          <cell r="C407">
            <v>0</v>
          </cell>
          <cell r="D407">
            <v>0</v>
          </cell>
          <cell r="E407">
            <v>0</v>
          </cell>
          <cell r="F407"/>
          <cell r="G407"/>
          <cell r="H407">
            <v>0</v>
          </cell>
        </row>
        <row r="408">
          <cell r="A408" t="str">
            <v>3202519F0</v>
          </cell>
          <cell r="B408">
            <v>0</v>
          </cell>
          <cell r="C408">
            <v>0</v>
          </cell>
          <cell r="D408">
            <v>0</v>
          </cell>
          <cell r="E408">
            <v>0</v>
          </cell>
          <cell r="F408"/>
          <cell r="G408"/>
          <cell r="H408">
            <v>0</v>
          </cell>
        </row>
        <row r="409">
          <cell r="A409" t="str">
            <v>32025Y1AT</v>
          </cell>
          <cell r="B409">
            <v>0</v>
          </cell>
          <cell r="C409">
            <v>0</v>
          </cell>
          <cell r="D409">
            <v>0</v>
          </cell>
          <cell r="E409">
            <v>0</v>
          </cell>
          <cell r="F409"/>
          <cell r="G409"/>
          <cell r="H409">
            <v>0</v>
          </cell>
        </row>
        <row r="410">
          <cell r="A410" t="str">
            <v>E03457800</v>
          </cell>
          <cell r="B410">
            <v>0</v>
          </cell>
          <cell r="C410">
            <v>0</v>
          </cell>
          <cell r="D410">
            <v>0</v>
          </cell>
          <cell r="E410">
            <v>0</v>
          </cell>
          <cell r="F410"/>
          <cell r="G410"/>
          <cell r="H410">
            <v>0</v>
          </cell>
        </row>
        <row r="411">
          <cell r="A411" t="str">
            <v>E11225200</v>
          </cell>
          <cell r="B411">
            <v>0</v>
          </cell>
          <cell r="C411">
            <v>0</v>
          </cell>
          <cell r="D411">
            <v>0</v>
          </cell>
          <cell r="E411">
            <v>0</v>
          </cell>
          <cell r="F411"/>
          <cell r="G411"/>
          <cell r="H411">
            <v>0</v>
          </cell>
        </row>
        <row r="412">
          <cell r="A412" t="str">
            <v>E11467800</v>
          </cell>
          <cell r="B412">
            <v>0</v>
          </cell>
          <cell r="C412">
            <v>0</v>
          </cell>
          <cell r="D412">
            <v>0</v>
          </cell>
          <cell r="E412">
            <v>0</v>
          </cell>
          <cell r="F412"/>
          <cell r="G412"/>
          <cell r="H412">
            <v>0</v>
          </cell>
        </row>
        <row r="413">
          <cell r="A413" t="str">
            <v>E09199300</v>
          </cell>
          <cell r="B413">
            <v>0</v>
          </cell>
          <cell r="C413">
            <v>0</v>
          </cell>
          <cell r="D413">
            <v>0</v>
          </cell>
          <cell r="E413">
            <v>0</v>
          </cell>
          <cell r="F413"/>
          <cell r="G413"/>
          <cell r="H413">
            <v>0</v>
          </cell>
        </row>
        <row r="414">
          <cell r="A414" t="str">
            <v>32025Y19G</v>
          </cell>
          <cell r="B414">
            <v>0</v>
          </cell>
          <cell r="C414">
            <v>0</v>
          </cell>
          <cell r="D414">
            <v>0</v>
          </cell>
          <cell r="E414">
            <v>0</v>
          </cell>
          <cell r="F414"/>
          <cell r="G414"/>
          <cell r="H414">
            <v>0</v>
          </cell>
        </row>
        <row r="415">
          <cell r="A415" t="str">
            <v>E45033100</v>
          </cell>
          <cell r="B415">
            <v>0</v>
          </cell>
          <cell r="C415">
            <v>0</v>
          </cell>
          <cell r="D415">
            <v>0</v>
          </cell>
          <cell r="E415">
            <v>0</v>
          </cell>
          <cell r="F415"/>
          <cell r="G415"/>
          <cell r="H415">
            <v>0</v>
          </cell>
        </row>
        <row r="416">
          <cell r="A416" t="str">
            <v>E00020633</v>
          </cell>
          <cell r="B416">
            <v>0</v>
          </cell>
          <cell r="C416">
            <v>0</v>
          </cell>
          <cell r="D416">
            <v>0</v>
          </cell>
          <cell r="E416">
            <v>0</v>
          </cell>
          <cell r="F416"/>
          <cell r="G416"/>
          <cell r="H416">
            <v>0</v>
          </cell>
        </row>
        <row r="417">
          <cell r="A417" t="str">
            <v>E00166100</v>
          </cell>
          <cell r="B417">
            <v>0</v>
          </cell>
          <cell r="C417">
            <v>0</v>
          </cell>
          <cell r="D417">
            <v>0</v>
          </cell>
          <cell r="E417">
            <v>0</v>
          </cell>
          <cell r="F417"/>
          <cell r="G417"/>
          <cell r="H417">
            <v>0</v>
          </cell>
        </row>
      </sheetData>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2707-A225-45DF-AC49-B01383A99804}">
  <sheetPr codeName="Planilha2"/>
  <dimension ref="A1:BF19"/>
  <sheetViews>
    <sheetView showGridLines="0" topLeftCell="V16" workbookViewId="0">
      <selection activeCell="AP54" sqref="AP54"/>
    </sheetView>
  </sheetViews>
  <sheetFormatPr defaultRowHeight="14.4" x14ac:dyDescent="0.3"/>
  <cols>
    <col min="2" max="2" width="16.5546875" customWidth="1"/>
    <col min="3" max="25" width="3.5546875" bestFit="1" customWidth="1"/>
    <col min="26" max="26" width="5" bestFit="1" customWidth="1"/>
    <col min="27" max="54" width="3.5546875" bestFit="1" customWidth="1"/>
    <col min="57" max="57" width="20.5546875" bestFit="1" customWidth="1"/>
  </cols>
  <sheetData>
    <row r="1" spans="1:58" ht="7.5" customHeight="1" x14ac:dyDescent="0.3"/>
    <row r="2" spans="1:58" ht="32.25" customHeight="1" x14ac:dyDescent="0.3">
      <c r="A2" s="52" t="s">
        <v>2087</v>
      </c>
      <c r="B2" s="50">
        <v>2023</v>
      </c>
      <c r="C2" s="55">
        <v>1</v>
      </c>
      <c r="D2" s="55">
        <v>2</v>
      </c>
      <c r="E2" s="55">
        <v>3</v>
      </c>
      <c r="F2" s="55">
        <v>4</v>
      </c>
      <c r="G2" s="55">
        <v>5</v>
      </c>
      <c r="H2" s="55">
        <v>6</v>
      </c>
      <c r="I2" s="55">
        <v>7</v>
      </c>
      <c r="J2" s="55">
        <v>8</v>
      </c>
      <c r="K2" s="55">
        <v>9</v>
      </c>
      <c r="L2" s="55">
        <v>10</v>
      </c>
      <c r="M2" s="55">
        <v>11</v>
      </c>
      <c r="N2" s="55">
        <v>12</v>
      </c>
      <c r="O2" s="55">
        <v>13</v>
      </c>
      <c r="P2" s="55">
        <v>14</v>
      </c>
      <c r="Q2" s="55">
        <v>15</v>
      </c>
      <c r="R2" s="55">
        <v>16</v>
      </c>
      <c r="S2" s="55">
        <v>17</v>
      </c>
      <c r="T2" s="55">
        <v>18</v>
      </c>
      <c r="U2" s="55">
        <v>19</v>
      </c>
      <c r="V2" s="55">
        <v>20</v>
      </c>
      <c r="W2" s="55">
        <v>21</v>
      </c>
      <c r="X2" s="55">
        <v>22</v>
      </c>
      <c r="Y2" s="55">
        <v>23</v>
      </c>
      <c r="Z2" s="55">
        <v>24</v>
      </c>
      <c r="AA2" s="55">
        <v>25</v>
      </c>
      <c r="AB2" s="55">
        <v>26</v>
      </c>
      <c r="AC2" s="55">
        <v>27</v>
      </c>
      <c r="AD2" s="55">
        <v>28</v>
      </c>
      <c r="AE2" s="55">
        <v>29</v>
      </c>
      <c r="AF2" s="55">
        <v>30</v>
      </c>
      <c r="AG2" s="55">
        <v>31</v>
      </c>
      <c r="AH2" s="55">
        <v>32</v>
      </c>
      <c r="AI2" s="55">
        <v>33</v>
      </c>
      <c r="AJ2" s="55">
        <v>34</v>
      </c>
      <c r="AK2" s="55">
        <v>35</v>
      </c>
      <c r="AL2" s="55">
        <v>36</v>
      </c>
      <c r="AM2" s="55">
        <v>37</v>
      </c>
      <c r="AN2" s="55">
        <v>38</v>
      </c>
      <c r="AO2" s="55">
        <v>39</v>
      </c>
      <c r="AP2" s="55">
        <v>40</v>
      </c>
      <c r="AQ2" s="55">
        <v>41</v>
      </c>
      <c r="AR2" s="55">
        <v>42</v>
      </c>
      <c r="AS2" s="55">
        <v>43</v>
      </c>
      <c r="AT2" s="55">
        <v>44</v>
      </c>
      <c r="AU2" s="55">
        <v>45</v>
      </c>
      <c r="AV2" s="55">
        <v>46</v>
      </c>
      <c r="AW2" s="55">
        <v>47</v>
      </c>
      <c r="AX2" s="55">
        <v>48</v>
      </c>
      <c r="AY2" s="55">
        <v>49</v>
      </c>
      <c r="AZ2" s="55">
        <v>50</v>
      </c>
      <c r="BA2" s="55">
        <v>51</v>
      </c>
      <c r="BB2" s="55">
        <v>52</v>
      </c>
      <c r="BC2" s="54" t="s">
        <v>2085</v>
      </c>
      <c r="BE2" t="s">
        <v>2673</v>
      </c>
      <c r="BF2">
        <f>SUM($C$3:$BB$3)</f>
        <v>235</v>
      </c>
    </row>
    <row r="3" spans="1:58" ht="32.25" customHeight="1" x14ac:dyDescent="0.3">
      <c r="A3" s="29" t="s">
        <v>10</v>
      </c>
      <c r="B3" s="29" t="s">
        <v>2082</v>
      </c>
      <c r="C3" s="29">
        <f>COUNTIFS('Controle de CR'!$A:$A,Acompanhamento!$B$2,'Controle de CR'!$B:$B,Acompanhamento!C$2,'Controle de CR'!$G:$G,Acompanhamento!$A$3)</f>
        <v>3</v>
      </c>
      <c r="D3" s="29">
        <f>COUNTIFS('Controle de CR'!$A:$A,Acompanhamento!$B$2,'Controle de CR'!$B:$B,Acompanhamento!D$2,'Controle de CR'!$G:$G,Acompanhamento!$A$3)</f>
        <v>4</v>
      </c>
      <c r="E3" s="29">
        <f>COUNTIFS('Controle de CR'!$A:$A,Acompanhamento!$B$2,'Controle de CR'!$B:$B,Acompanhamento!E$2,'Controle de CR'!$G:$G,Acompanhamento!$A$3)</f>
        <v>8</v>
      </c>
      <c r="F3" s="29">
        <f>COUNTIFS('Controle de CR'!$A:$A,Acompanhamento!$B$2,'Controle de CR'!$B:$B,Acompanhamento!F$2,'Controle de CR'!$G:$G,Acompanhamento!$A$3)</f>
        <v>5</v>
      </c>
      <c r="G3" s="29">
        <f>COUNTIFS('Controle de CR'!$A:$A,Acompanhamento!$B$2,'Controle de CR'!$B:$B,Acompanhamento!G$2,'Controle de CR'!$G:$G,Acompanhamento!$A$3)</f>
        <v>4</v>
      </c>
      <c r="H3" s="29">
        <f>COUNTIFS('Controle de CR'!$A:$A,Acompanhamento!$B$2,'Controle de CR'!$B:$B,Acompanhamento!H$2,'Controle de CR'!$G:$G,Acompanhamento!$A$3)</f>
        <v>2</v>
      </c>
      <c r="I3" s="29">
        <f>COUNTIFS('Controle de CR'!$A:$A,Acompanhamento!$B$2,'Controle de CR'!$B:$B,Acompanhamento!I$2,'Controle de CR'!$G:$G,Acompanhamento!$A$3)</f>
        <v>1</v>
      </c>
      <c r="J3" s="29">
        <f>COUNTIFS('Controle de CR'!$A:$A,Acompanhamento!$B$2,'Controle de CR'!$B:$B,Acompanhamento!J$2,'Controle de CR'!$G:$G,Acompanhamento!$A$3)</f>
        <v>5</v>
      </c>
      <c r="K3" s="29">
        <f>COUNTIFS('Controle de CR'!$A:$A,Acompanhamento!$B$2,'Controle de CR'!$B:$B,Acompanhamento!K$2,'Controle de CR'!$G:$G,Acompanhamento!$A$3)</f>
        <v>5</v>
      </c>
      <c r="L3" s="29">
        <f>COUNTIFS('Controle de CR'!$A:$A,Acompanhamento!$B$2,'Controle de CR'!$B:$B,Acompanhamento!L$2,'Controle de CR'!$G:$G,Acompanhamento!$A$3)</f>
        <v>1</v>
      </c>
      <c r="M3" s="29">
        <f>COUNTIFS('Controle de CR'!$A:$A,Acompanhamento!$B$2,'Controle de CR'!$B:$B,Acompanhamento!M$2,'Controle de CR'!$G:$G,Acompanhamento!$A$3)</f>
        <v>3</v>
      </c>
      <c r="N3" s="29">
        <f>COUNTIFS('Controle de CR'!$A:$A,Acompanhamento!$B$2,'Controle de CR'!$B:$B,Acompanhamento!N$2,'Controle de CR'!$G:$G,Acompanhamento!$A$3)</f>
        <v>4</v>
      </c>
      <c r="O3" s="29">
        <f>COUNTIFS('Controle de CR'!$A:$A,Acompanhamento!$B$2,'Controle de CR'!$B:$B,Acompanhamento!O$2,'Controle de CR'!$G:$G,Acompanhamento!$A$3)</f>
        <v>7</v>
      </c>
      <c r="P3" s="29">
        <f>COUNTIFS('Controle de CR'!$A:$A,Acompanhamento!$B$2,'Controle de CR'!$B:$B,Acompanhamento!P$2,'Controle de CR'!$G:$G,Acompanhamento!$A$3)</f>
        <v>1</v>
      </c>
      <c r="Q3" s="29">
        <f>COUNTIFS('Controle de CR'!$A:$A,Acompanhamento!$B$2,'Controle de CR'!$B:$B,Acompanhamento!Q$2,'Controle de CR'!$G:$G,Acompanhamento!$A$3)</f>
        <v>0</v>
      </c>
      <c r="R3" s="29">
        <f>COUNTIFS('Controle de CR'!$A:$A,Acompanhamento!$B$2,'Controle de CR'!$B:$B,Acompanhamento!R$2,'Controle de CR'!$G:$G,Acompanhamento!$A$3)</f>
        <v>1</v>
      </c>
      <c r="S3" s="29">
        <f>COUNTIFS('Controle de CR'!$A:$A,Acompanhamento!$B$2,'Controle de CR'!$B:$B,Acompanhamento!S$2,'Controle de CR'!$G:$G,Acompanhamento!$A$3)</f>
        <v>7</v>
      </c>
      <c r="T3" s="29">
        <f>COUNTIFS('Controle de CR'!$A:$A,Acompanhamento!$B$2,'Controle de CR'!$B:$B,Acompanhamento!T$2,'Controle de CR'!$G:$G,Acompanhamento!$A$3)</f>
        <v>11</v>
      </c>
      <c r="U3" s="29">
        <f>COUNTIFS('Controle de CR'!$A:$A,Acompanhamento!$B$2,'Controle de CR'!$B:$B,Acompanhamento!U$2,'Controle de CR'!$G:$G,Acompanhamento!$A$3)</f>
        <v>8</v>
      </c>
      <c r="V3" s="29">
        <f>COUNTIFS('Controle de CR'!$A:$A,Acompanhamento!$B$2,'Controle de CR'!$B:$B,Acompanhamento!V$2,'Controle de CR'!$G:$G,Acompanhamento!$A$3)</f>
        <v>8</v>
      </c>
      <c r="W3" s="29">
        <f>COUNTIFS('Controle de CR'!$A:$A,Acompanhamento!$B$2,'Controle de CR'!$B:$B,Acompanhamento!W$2,'Controle de CR'!$G:$G,Acompanhamento!$A$3)</f>
        <v>10</v>
      </c>
      <c r="X3" s="29">
        <f>COUNTIFS('Controle de CR'!$A:$A,Acompanhamento!$B$2,'Controle de CR'!$B:$B,Acompanhamento!X$2,'Controle de CR'!$G:$G,Acompanhamento!$A$3)</f>
        <v>13</v>
      </c>
      <c r="Y3" s="29">
        <f>COUNTIFS('Controle de CR'!$A:$A,Acompanhamento!$B$2,'Controle de CR'!$B:$B,Acompanhamento!Y$2,'Controle de CR'!$G:$G,Acompanhamento!$A$3)</f>
        <v>10</v>
      </c>
      <c r="Z3" s="29">
        <f>COUNTIFS('Controle de CR'!$A:$A,Acompanhamento!$B$2,'Controle de CR'!$B:$B,Acompanhamento!Z$2,'Controle de CR'!$G:$G,Acompanhamento!$A$3)</f>
        <v>6</v>
      </c>
      <c r="AA3" s="29">
        <f>COUNTIFS('Controle de CR'!$A:$A,Acompanhamento!$B$2,'Controle de CR'!$B:$B,Acompanhamento!AA$2,'Controle de CR'!$G:$G,Acompanhamento!$A$3)</f>
        <v>8</v>
      </c>
      <c r="AB3" s="29">
        <f>COUNTIFS('Controle de CR'!$A:$A,Acompanhamento!$B$2,'Controle de CR'!$B:$B,Acompanhamento!AB$2,'Controle de CR'!$G:$G,Acompanhamento!$A$3)</f>
        <v>3</v>
      </c>
      <c r="AC3" s="29">
        <f>COUNTIFS('Controle de CR'!$A:$A,Acompanhamento!$B$2,'Controle de CR'!$B:$B,Acompanhamento!AC$2,'Controle de CR'!$G:$G,Acompanhamento!$A$3)</f>
        <v>2</v>
      </c>
      <c r="AD3" s="29">
        <f>COUNTIFS('Controle de CR'!$A:$A,Acompanhamento!$B$2,'Controle de CR'!$B:$B,Acompanhamento!AD$2,'Controle de CR'!$G:$G,Acompanhamento!$A$3)</f>
        <v>5</v>
      </c>
      <c r="AE3" s="29">
        <f>COUNTIFS('Controle de CR'!$A:$A,Acompanhamento!$B$2,'Controle de CR'!$B:$B,Acompanhamento!AE$2,'Controle de CR'!$G:$G,Acompanhamento!$A$3)</f>
        <v>2</v>
      </c>
      <c r="AF3" s="29">
        <f>COUNTIFS('Controle de CR'!$A:$A,Acompanhamento!$B$2,'Controle de CR'!$B:$B,Acompanhamento!AF$2,'Controle de CR'!$G:$G,Acompanhamento!$A$3)</f>
        <v>16</v>
      </c>
      <c r="AG3" s="29">
        <f>COUNTIFS('Controle de CR'!$A:$A,Acompanhamento!$B$2,'Controle de CR'!$B:$B,Acompanhamento!AG$2,'Controle de CR'!$G:$G,Acompanhamento!$A$3)</f>
        <v>9</v>
      </c>
      <c r="AH3" s="29">
        <f>COUNTIFS('Controle de CR'!$A:$A,Acompanhamento!$B$2,'Controle de CR'!$B:$B,Acompanhamento!AH$2,'Controle de CR'!$G:$G,Acompanhamento!$A$3)</f>
        <v>2</v>
      </c>
      <c r="AI3" s="29">
        <f>COUNTIFS('Controle de CR'!$A:$A,Acompanhamento!$B$2,'Controle de CR'!$B:$B,Acompanhamento!AI$2,'Controle de CR'!$G:$G,Acompanhamento!$A$3)</f>
        <v>2</v>
      </c>
      <c r="AJ3" s="29">
        <f>COUNTIFS('Controle de CR'!$A:$A,Acompanhamento!$B$2,'Controle de CR'!$B:$B,Acompanhamento!AJ$2,'Controle de CR'!$G:$G,Acompanhamento!$A$3)</f>
        <v>0</v>
      </c>
      <c r="AK3" s="29">
        <f>COUNTIFS('Controle de CR'!$A:$A,Acompanhamento!$B$2,'Controle de CR'!$B:$B,Acompanhamento!AK$2,'Controle de CR'!$G:$G,Acompanhamento!$A$3)</f>
        <v>6</v>
      </c>
      <c r="AL3" s="29">
        <f>COUNTIFS('Controle de CR'!$A:$A,Acompanhamento!$B$2,'Controle de CR'!$B:$B,Acompanhamento!AL$2,'Controle de CR'!$G:$G,Acompanhamento!$A$3)</f>
        <v>1</v>
      </c>
      <c r="AM3" s="29">
        <f>COUNTIFS('Controle de CR'!$A:$A,Acompanhamento!$B$2,'Controle de CR'!$B:$B,Acompanhamento!AM$2,'Controle de CR'!$G:$G,Acompanhamento!$A$3)</f>
        <v>2</v>
      </c>
      <c r="AN3" s="29">
        <f>COUNTIFS('Controle de CR'!$A:$A,Acompanhamento!$B$2,'Controle de CR'!$B:$B,Acompanhamento!AN$2,'Controle de CR'!$G:$G,Acompanhamento!$A$3)</f>
        <v>10</v>
      </c>
      <c r="AO3" s="29">
        <f>COUNTIFS('Controle de CR'!$A:$A,Acompanhamento!$B$2,'Controle de CR'!$B:$B,Acompanhamento!AO$2,'Controle de CR'!$G:$G,Acompanhamento!$A$3)</f>
        <v>3</v>
      </c>
      <c r="AP3" s="29">
        <f>COUNTIFS('Controle de CR'!$A:$A,Acompanhamento!$B$2,'Controle de CR'!$B:$B,Acompanhamento!AP$2,'Controle de CR'!$G:$G,Acompanhamento!$A$3)</f>
        <v>4</v>
      </c>
      <c r="AQ3" s="29">
        <f>COUNTIFS('Controle de CR'!$A:$A,Acompanhamento!$B$2,'Controle de CR'!$B:$B,Acompanhamento!AQ$2,'Controle de CR'!$G:$G,Acompanhamento!$A$3)</f>
        <v>1</v>
      </c>
      <c r="AR3" s="29">
        <f>COUNTIFS('Controle de CR'!$A:$A,Acompanhamento!$B$2,'Controle de CR'!$B:$B,Acompanhamento!AR$2,'Controle de CR'!$G:$G,Acompanhamento!$A$3)</f>
        <v>8</v>
      </c>
      <c r="AS3" s="29">
        <f>COUNTIFS('Controle de CR'!$A:$A,Acompanhamento!$B$2,'Controle de CR'!$B:$B,Acompanhamento!AS$2,'Controle de CR'!$G:$G,Acompanhamento!$A$3)</f>
        <v>5</v>
      </c>
      <c r="AT3" s="29">
        <f>COUNTIFS('Controle de CR'!$A:$A,Acompanhamento!$B$2,'Controle de CR'!$B:$B,Acompanhamento!AT$2,'Controle de CR'!$G:$G,Acompanhamento!$A$3)</f>
        <v>0</v>
      </c>
      <c r="AU3" s="29">
        <f>COUNTIFS('Controle de CR'!$A:$A,Acompanhamento!$B$2,'Controle de CR'!$B:$B,Acompanhamento!AU$2,'Controle de CR'!$G:$G,Acompanhamento!$A$3)</f>
        <v>0</v>
      </c>
      <c r="AV3" s="29">
        <f>COUNTIFS('Controle de CR'!$A:$A,Acompanhamento!$B$2,'Controle de CR'!$B:$B,Acompanhamento!AV$2,'Controle de CR'!$G:$G,Acompanhamento!$A$3)</f>
        <v>2</v>
      </c>
      <c r="AW3" s="29">
        <f>COUNTIFS('Controle de CR'!$A:$A,Acompanhamento!$B$2,'Controle de CR'!$B:$B,Acompanhamento!AW$2,'Controle de CR'!$G:$G,Acompanhamento!$A$3)</f>
        <v>2</v>
      </c>
      <c r="AX3" s="29">
        <f>COUNTIFS('Controle de CR'!$A:$A,Acompanhamento!$B$2,'Controle de CR'!$B:$B,Acompanhamento!AX$2,'Controle de CR'!$G:$G,Acompanhamento!$A$3)</f>
        <v>7</v>
      </c>
      <c r="AY3" s="29">
        <f>COUNTIFS('Controle de CR'!$A:$A,Acompanhamento!$B$2,'Controle de CR'!$B:$B,Acompanhamento!AY$2,'Controle de CR'!$G:$G,Acompanhamento!$A$3)</f>
        <v>1</v>
      </c>
      <c r="AZ3" s="29">
        <f>COUNTIFS('Controle de CR'!$A:$A,Acompanhamento!$B$2,'Controle de CR'!$B:$B,Acompanhamento!AZ$2,'Controle de CR'!$G:$G,Acompanhamento!$A$3)</f>
        <v>7</v>
      </c>
      <c r="BA3" s="29">
        <f>COUNTIFS('Controle de CR'!$A:$A,Acompanhamento!$B$2,'Controle de CR'!$B:$B,Acompanhamento!BA$2,'Controle de CR'!$G:$G,Acompanhamento!$A$3)</f>
        <v>0</v>
      </c>
      <c r="BB3" s="29">
        <f>COUNTIFS('Controle de CR'!$A:$A,Acompanhamento!$B$2,'Controle de CR'!$B:$B,Acompanhamento!BB$2,'Controle de CR'!$G:$G,Acompanhamento!$A$3)</f>
        <v>0</v>
      </c>
      <c r="BC3" s="43">
        <f>SUM(C3:BB3)</f>
        <v>235</v>
      </c>
      <c r="BE3" t="s">
        <v>2674</v>
      </c>
      <c r="BF3">
        <f>SUM($C$4:$BB$4)</f>
        <v>237</v>
      </c>
    </row>
    <row r="4" spans="1:58" ht="32.25" customHeight="1" x14ac:dyDescent="0.3">
      <c r="A4" s="29" t="s">
        <v>10</v>
      </c>
      <c r="B4" s="29" t="s">
        <v>2083</v>
      </c>
      <c r="C4" s="29">
        <f>COUNTIFS('Controle de CR'!$A:$A,Acompanhamento!$B$2,'Controle de CR'!$C:$C,Acompanhamento!C$2,'Controle de CR'!$G:$G,Acompanhamento!$A$4)</f>
        <v>5</v>
      </c>
      <c r="D4" s="29">
        <f>COUNTIFS('Controle de CR'!$A:$A,Acompanhamento!$B$2,'Controle de CR'!$C:$C,Acompanhamento!D$2,'Controle de CR'!$G:$G,Acompanhamento!$A$4)</f>
        <v>2</v>
      </c>
      <c r="E4" s="29">
        <f>COUNTIFS('Controle de CR'!$A:$A,Acompanhamento!$B$2,'Controle de CR'!$C:$C,Acompanhamento!E$2,'Controle de CR'!$G:$G,Acompanhamento!$A$4)</f>
        <v>4</v>
      </c>
      <c r="F4" s="29">
        <f>COUNTIFS('Controle de CR'!$A:$A,Acompanhamento!$B$2,'Controle de CR'!$C:$C,Acompanhamento!F$2,'Controle de CR'!$G:$G,Acompanhamento!$A$4)</f>
        <v>10</v>
      </c>
      <c r="G4" s="29">
        <f>COUNTIFS('Controle de CR'!$A:$A,Acompanhamento!$B$2,'Controle de CR'!$C:$C,Acompanhamento!G$2,'Controle de CR'!$G:$G,Acompanhamento!$A$4)</f>
        <v>1</v>
      </c>
      <c r="H4" s="29">
        <f>COUNTIFS('Controle de CR'!$A:$A,Acompanhamento!$B$2,'Controle de CR'!$C:$C,Acompanhamento!H$2,'Controle de CR'!$G:$G,Acompanhamento!$A$4)</f>
        <v>6</v>
      </c>
      <c r="I4" s="29">
        <f>COUNTIFS('Controle de CR'!$A:$A,Acompanhamento!$B$2,'Controle de CR'!$C:$C,Acompanhamento!I$2,'Controle de CR'!$G:$G,Acompanhamento!$A$4)</f>
        <v>0</v>
      </c>
      <c r="J4" s="29">
        <f>COUNTIFS('Controle de CR'!$A:$A,Acompanhamento!$B$2,'Controle de CR'!$C:$C,Acompanhamento!J$2,'Controle de CR'!$G:$G,Acompanhamento!$A$4)</f>
        <v>6</v>
      </c>
      <c r="K4" s="29">
        <f>COUNTIFS('Controle de CR'!$A:$A,Acompanhamento!$B$2,'Controle de CR'!$C:$C,Acompanhamento!K$2,'Controle de CR'!$G:$G,Acompanhamento!$A$4)</f>
        <v>0</v>
      </c>
      <c r="L4" s="29">
        <f>COUNTIFS('Controle de CR'!$A:$A,Acompanhamento!$B$2,'Controle de CR'!$C:$C,Acompanhamento!L$2,'Controle de CR'!$G:$G,Acompanhamento!$A$4)</f>
        <v>2</v>
      </c>
      <c r="M4" s="29">
        <f>COUNTIFS('Controle de CR'!$A:$A,Acompanhamento!$B$2,'Controle de CR'!$C:$C,Acompanhamento!M$2,'Controle de CR'!$G:$G,Acompanhamento!$A$4)</f>
        <v>4</v>
      </c>
      <c r="N4" s="29">
        <f>COUNTIFS('Controle de CR'!$A:$A,Acompanhamento!$B$2,'Controle de CR'!$C:$C,Acompanhamento!N$2,'Controle de CR'!$G:$G,Acompanhamento!$A$4)</f>
        <v>4</v>
      </c>
      <c r="O4" s="29">
        <f>COUNTIFS('Controle de CR'!$A:$A,Acompanhamento!$B$2,'Controle de CR'!$C:$C,Acompanhamento!O$2,'Controle de CR'!$G:$G,Acompanhamento!$A$4)</f>
        <v>4</v>
      </c>
      <c r="P4" s="29">
        <f>COUNTIFS('Controle de CR'!$A:$A,Acompanhamento!$B$2,'Controle de CR'!$C:$C,Acompanhamento!P$2,'Controle de CR'!$G:$G,Acompanhamento!$A$4)</f>
        <v>0</v>
      </c>
      <c r="Q4" s="29">
        <f>COUNTIFS('Controle de CR'!$A:$A,Acompanhamento!$B$2,'Controle de CR'!$C:$C,Acompanhamento!Q$2,'Controle de CR'!$G:$G,Acompanhamento!$A$4)</f>
        <v>7</v>
      </c>
      <c r="R4" s="29">
        <f>COUNTIFS('Controle de CR'!$A:$A,Acompanhamento!$B$2,'Controle de CR'!$C:$C,Acompanhamento!R$2,'Controle de CR'!$G:$G,Acompanhamento!$A$4)</f>
        <v>0</v>
      </c>
      <c r="S4" s="29">
        <f>COUNTIFS('Controle de CR'!$A:$A,Acompanhamento!$B$2,'Controle de CR'!$C:$C,Acompanhamento!S$2,'Controle de CR'!$G:$G,Acompanhamento!$A$4)</f>
        <v>3</v>
      </c>
      <c r="T4" s="29">
        <f>COUNTIFS('Controle de CR'!$A:$A,Acompanhamento!$B$2,'Controle de CR'!$C:$C,Acompanhamento!T$2,'Controle de CR'!$G:$G,Acompanhamento!$A$4)</f>
        <v>9</v>
      </c>
      <c r="U4" s="29">
        <f>COUNTIFS('Controle de CR'!$A:$A,Acompanhamento!$B$2,'Controle de CR'!$C:$C,Acompanhamento!U$2,'Controle de CR'!$G:$G,Acompanhamento!$A$4)</f>
        <v>14</v>
      </c>
      <c r="V4" s="29">
        <f>COUNTIFS('Controle de CR'!$A:$A,Acompanhamento!$B$2,'Controle de CR'!$C:$C,Acompanhamento!V$2,'Controle de CR'!$G:$G,Acompanhamento!$A$4)</f>
        <v>1</v>
      </c>
      <c r="W4" s="29">
        <f>COUNTIFS('Controle de CR'!$A:$A,Acompanhamento!$B$2,'Controle de CR'!$C:$C,Acompanhamento!W$2,'Controle de CR'!$G:$G,Acompanhamento!$A$4)</f>
        <v>7</v>
      </c>
      <c r="X4" s="29">
        <f>COUNTIFS('Controle de CR'!$A:$A,Acompanhamento!$B$2,'Controle de CR'!$C:$C,Acompanhamento!X$2,'Controle de CR'!$G:$G,Acompanhamento!$A$4)</f>
        <v>22</v>
      </c>
      <c r="Y4" s="29">
        <f>COUNTIFS('Controle de CR'!$A:$A,Acompanhamento!$B$2,'Controle de CR'!$C:$C,Acompanhamento!Y$2,'Controle de CR'!$G:$G,Acompanhamento!$A$4)</f>
        <v>4</v>
      </c>
      <c r="Z4" s="29">
        <f>COUNTIFS('Controle de CR'!$A:$A,Acompanhamento!$B$2,'Controle de CR'!$C:$C,Acompanhamento!Z$2,'Controle de CR'!$G:$G,Acompanhamento!$A$4)</f>
        <v>7</v>
      </c>
      <c r="AA4" s="29">
        <f>COUNTIFS('Controle de CR'!$A:$A,Acompanhamento!$B$2,'Controle de CR'!$C:$C,Acompanhamento!AA$2,'Controle de CR'!$G:$G,Acompanhamento!$A$4)</f>
        <v>7</v>
      </c>
      <c r="AB4" s="29">
        <f>COUNTIFS('Controle de CR'!$A:$A,Acompanhamento!$B$2,'Controle de CR'!$C:$C,Acompanhamento!AB$2,'Controle de CR'!$G:$G,Acompanhamento!$A$4)</f>
        <v>11</v>
      </c>
      <c r="AC4" s="29">
        <f>COUNTIFS('Controle de CR'!$A:$A,Acompanhamento!$B$2,'Controle de CR'!$C:$C,Acompanhamento!AC$2,'Controle de CR'!$G:$G,Acompanhamento!$A$4)</f>
        <v>2</v>
      </c>
      <c r="AD4" s="29">
        <f>COUNTIFS('Controle de CR'!$A:$A,Acompanhamento!$B$2,'Controle de CR'!$C:$C,Acompanhamento!AD$2,'Controle de CR'!$G:$G,Acompanhamento!$A$4)</f>
        <v>0</v>
      </c>
      <c r="AE4" s="29">
        <f>COUNTIFS('Controle de CR'!$A:$A,Acompanhamento!$B$2,'Controle de CR'!$C:$C,Acompanhamento!AE$2,'Controle de CR'!$G:$G,Acompanhamento!$A$4)</f>
        <v>6</v>
      </c>
      <c r="AF4" s="29">
        <f>COUNTIFS('Controle de CR'!$A:$A,Acompanhamento!$B$2,'Controle de CR'!$C:$C,Acompanhamento!AF$2,'Controle de CR'!$G:$G,Acompanhamento!$A$4)</f>
        <v>15</v>
      </c>
      <c r="AG4" s="29">
        <f>COUNTIFS('Controle de CR'!$A:$A,Acompanhamento!$B$2,'Controle de CR'!$C:$C,Acompanhamento!AG$2,'Controle de CR'!$G:$G,Acompanhamento!$A$4)</f>
        <v>5</v>
      </c>
      <c r="AH4" s="29">
        <f>COUNTIFS('Controle de CR'!$A:$A,Acompanhamento!$B$2,'Controle de CR'!$C:$C,Acompanhamento!AH$2,'Controle de CR'!$G:$G,Acompanhamento!$A$4)</f>
        <v>7</v>
      </c>
      <c r="AI4" s="29">
        <f>COUNTIFS('Controle de CR'!$A:$A,Acompanhamento!$B$2,'Controle de CR'!$C:$C,Acompanhamento!AI$2,'Controle de CR'!$G:$G,Acompanhamento!$A$4)</f>
        <v>0</v>
      </c>
      <c r="AJ4" s="29">
        <f>COUNTIFS('Controle de CR'!$A:$A,Acompanhamento!$B$2,'Controle de CR'!$C:$C,Acompanhamento!AJ$2,'Controle de CR'!$G:$G,Acompanhamento!$A$4)</f>
        <v>2</v>
      </c>
      <c r="AK4" s="29">
        <f>COUNTIFS('Controle de CR'!$A:$A,Acompanhamento!$B$2,'Controle de CR'!$C:$C,Acompanhamento!AK$2,'Controle de CR'!$G:$G,Acompanhamento!$A$4)</f>
        <v>1</v>
      </c>
      <c r="AL4" s="29">
        <f>COUNTIFS('Controle de CR'!$A:$A,Acompanhamento!$B$2,'Controle de CR'!$C:$C,Acompanhamento!AL$2,'Controle de CR'!$G:$G,Acompanhamento!$A$4)</f>
        <v>1</v>
      </c>
      <c r="AM4" s="29">
        <f>COUNTIFS('Controle de CR'!$A:$A,Acompanhamento!$B$2,'Controle de CR'!$C:$C,Acompanhamento!AM$2,'Controle de CR'!$G:$G,Acompanhamento!$A$4)</f>
        <v>1</v>
      </c>
      <c r="AN4" s="29">
        <f>COUNTIFS('Controle de CR'!$A:$A,Acompanhamento!$B$2,'Controle de CR'!$C:$C,Acompanhamento!AN$2,'Controle de CR'!$G:$G,Acompanhamento!$A$4)</f>
        <v>6</v>
      </c>
      <c r="AO4" s="29">
        <f>COUNTIFS('Controle de CR'!$A:$A,Acompanhamento!$B$2,'Controle de CR'!$C:$C,Acompanhamento!AO$2,'Controle de CR'!$G:$G,Acompanhamento!$A$4)</f>
        <v>3</v>
      </c>
      <c r="AP4" s="29">
        <f>COUNTIFS('Controle de CR'!$A:$A,Acompanhamento!$B$2,'Controle de CR'!$C:$C,Acompanhamento!AP$2,'Controle de CR'!$G:$G,Acompanhamento!$A$4)</f>
        <v>2</v>
      </c>
      <c r="AQ4" s="29">
        <f>COUNTIFS('Controle de CR'!$A:$A,Acompanhamento!$B$2,'Controle de CR'!$C:$C,Acompanhamento!AQ$2,'Controle de CR'!$G:$G,Acompanhamento!$A$4)</f>
        <v>6</v>
      </c>
      <c r="AR4" s="29">
        <f>COUNTIFS('Controle de CR'!$A:$A,Acompanhamento!$B$2,'Controle de CR'!$C:$C,Acompanhamento!AR$2,'Controle de CR'!$G:$G,Acompanhamento!$A$4)</f>
        <v>7</v>
      </c>
      <c r="AS4" s="29">
        <f>COUNTIFS('Controle de CR'!$A:$A,Acompanhamento!$B$2,'Controle de CR'!$C:$C,Acompanhamento!AS$2,'Controle de CR'!$G:$G,Acompanhamento!$A$4)</f>
        <v>7</v>
      </c>
      <c r="AT4" s="29">
        <f>COUNTIFS('Controle de CR'!$A:$A,Acompanhamento!$B$2,'Controle de CR'!$C:$C,Acompanhamento!AT$2,'Controle de CR'!$G:$G,Acompanhamento!$A$4)</f>
        <v>2</v>
      </c>
      <c r="AU4" s="29">
        <f>COUNTIFS('Controle de CR'!$A:$A,Acompanhamento!$B$2,'Controle de CR'!$C:$C,Acompanhamento!AU$2,'Controle de CR'!$G:$G,Acompanhamento!$A$4)</f>
        <v>1</v>
      </c>
      <c r="AV4" s="29">
        <f>COUNTIFS('Controle de CR'!$A:$A,Acompanhamento!$B$2,'Controle de CR'!$C:$C,Acompanhamento!AV$2,'Controle de CR'!$G:$G,Acompanhamento!$A$4)</f>
        <v>1</v>
      </c>
      <c r="AW4" s="29">
        <f>COUNTIFS('Controle de CR'!$A:$A,Acompanhamento!$B$2,'Controle de CR'!$C:$C,Acompanhamento!AW$2,'Controle de CR'!$G:$G,Acompanhamento!$A$4)</f>
        <v>0</v>
      </c>
      <c r="AX4" s="29">
        <f>COUNTIFS('Controle de CR'!$A:$A,Acompanhamento!$B$2,'Controle de CR'!$C:$C,Acompanhamento!AX$2,'Controle de CR'!$G:$G,Acompanhamento!$A$4)</f>
        <v>5</v>
      </c>
      <c r="AY4" s="29">
        <f>COUNTIFS('Controle de CR'!$A:$A,Acompanhamento!$B$2,'Controle de CR'!$C:$C,Acompanhamento!AY$2,'Controle de CR'!$G:$G,Acompanhamento!$A$4)</f>
        <v>6</v>
      </c>
      <c r="AZ4" s="29">
        <f>COUNTIFS('Controle de CR'!$A:$A,Acompanhamento!$B$2,'Controle de CR'!$C:$C,Acompanhamento!AZ$2,'Controle de CR'!$G:$G,Acompanhamento!$A$4)</f>
        <v>2</v>
      </c>
      <c r="BA4" s="29">
        <f>COUNTIFS('Controle de CR'!$A:$A,Acompanhamento!$B$2,'Controle de CR'!$C:$C,Acompanhamento!BA$2,'Controle de CR'!$G:$G,Acompanhamento!$A$4)</f>
        <v>7</v>
      </c>
      <c r="BB4" s="29">
        <f>COUNTIFS('Controle de CR'!$A:$A,Acompanhamento!$B$2,'Controle de CR'!$C:$C,Acompanhamento!BB$2,'Controle de CR'!$G:$G,Acompanhamento!$A$4)</f>
        <v>2</v>
      </c>
      <c r="BC4" s="43">
        <f>SUM(C4:BB4)</f>
        <v>237</v>
      </c>
      <c r="BE4" t="s">
        <v>2675</v>
      </c>
      <c r="BF4">
        <f>SUM($C$7:$BB$7)</f>
        <v>88</v>
      </c>
    </row>
    <row r="5" spans="1:58" ht="32.25" customHeight="1" x14ac:dyDescent="0.3">
      <c r="A5" s="29" t="s">
        <v>10</v>
      </c>
      <c r="B5" s="29" t="s">
        <v>2086</v>
      </c>
      <c r="C5" s="29">
        <f>C3-C4</f>
        <v>-2</v>
      </c>
      <c r="D5" s="29">
        <f t="shared" ref="D5:BB5" si="0">D3-D4</f>
        <v>2</v>
      </c>
      <c r="E5" s="29">
        <f t="shared" si="0"/>
        <v>4</v>
      </c>
      <c r="F5" s="29">
        <f t="shared" si="0"/>
        <v>-5</v>
      </c>
      <c r="G5" s="29">
        <f t="shared" si="0"/>
        <v>3</v>
      </c>
      <c r="H5" s="29">
        <f t="shared" si="0"/>
        <v>-4</v>
      </c>
      <c r="I5" s="29">
        <f t="shared" si="0"/>
        <v>1</v>
      </c>
      <c r="J5" s="29">
        <f t="shared" si="0"/>
        <v>-1</v>
      </c>
      <c r="K5" s="29">
        <f t="shared" si="0"/>
        <v>5</v>
      </c>
      <c r="L5" s="29">
        <f t="shared" si="0"/>
        <v>-1</v>
      </c>
      <c r="M5" s="29">
        <f t="shared" si="0"/>
        <v>-1</v>
      </c>
      <c r="N5" s="29">
        <f t="shared" si="0"/>
        <v>0</v>
      </c>
      <c r="O5" s="29">
        <f t="shared" si="0"/>
        <v>3</v>
      </c>
      <c r="P5" s="29">
        <f t="shared" si="0"/>
        <v>1</v>
      </c>
      <c r="Q5" s="29">
        <f t="shared" si="0"/>
        <v>-7</v>
      </c>
      <c r="R5" s="29">
        <f t="shared" si="0"/>
        <v>1</v>
      </c>
      <c r="S5" s="29">
        <f t="shared" si="0"/>
        <v>4</v>
      </c>
      <c r="T5" s="29">
        <f t="shared" si="0"/>
        <v>2</v>
      </c>
      <c r="U5" s="29">
        <f t="shared" si="0"/>
        <v>-6</v>
      </c>
      <c r="V5" s="29">
        <f t="shared" si="0"/>
        <v>7</v>
      </c>
      <c r="W5" s="29">
        <f t="shared" si="0"/>
        <v>3</v>
      </c>
      <c r="X5" s="29">
        <f t="shared" si="0"/>
        <v>-9</v>
      </c>
      <c r="Y5" s="29">
        <f t="shared" si="0"/>
        <v>6</v>
      </c>
      <c r="Z5" s="29">
        <f t="shared" si="0"/>
        <v>-1</v>
      </c>
      <c r="AA5" s="29">
        <f t="shared" si="0"/>
        <v>1</v>
      </c>
      <c r="AB5" s="29">
        <f t="shared" si="0"/>
        <v>-8</v>
      </c>
      <c r="AC5" s="29">
        <f t="shared" si="0"/>
        <v>0</v>
      </c>
      <c r="AD5" s="29">
        <f t="shared" si="0"/>
        <v>5</v>
      </c>
      <c r="AE5" s="29">
        <f t="shared" si="0"/>
        <v>-4</v>
      </c>
      <c r="AF5" s="29">
        <f t="shared" si="0"/>
        <v>1</v>
      </c>
      <c r="AG5" s="29">
        <f t="shared" si="0"/>
        <v>4</v>
      </c>
      <c r="AH5" s="29">
        <f t="shared" si="0"/>
        <v>-5</v>
      </c>
      <c r="AI5" s="29">
        <f t="shared" si="0"/>
        <v>2</v>
      </c>
      <c r="AJ5" s="29">
        <f t="shared" si="0"/>
        <v>-2</v>
      </c>
      <c r="AK5" s="29">
        <f t="shared" si="0"/>
        <v>5</v>
      </c>
      <c r="AL5" s="29">
        <f t="shared" si="0"/>
        <v>0</v>
      </c>
      <c r="AM5" s="29">
        <f t="shared" si="0"/>
        <v>1</v>
      </c>
      <c r="AN5" s="29">
        <f t="shared" si="0"/>
        <v>4</v>
      </c>
      <c r="AO5" s="29">
        <f t="shared" si="0"/>
        <v>0</v>
      </c>
      <c r="AP5" s="29">
        <f t="shared" si="0"/>
        <v>2</v>
      </c>
      <c r="AQ5" s="29">
        <f t="shared" si="0"/>
        <v>-5</v>
      </c>
      <c r="AR5" s="29">
        <f t="shared" si="0"/>
        <v>1</v>
      </c>
      <c r="AS5" s="29">
        <f t="shared" si="0"/>
        <v>-2</v>
      </c>
      <c r="AT5" s="29">
        <f t="shared" si="0"/>
        <v>-2</v>
      </c>
      <c r="AU5" s="29">
        <f t="shared" si="0"/>
        <v>-1</v>
      </c>
      <c r="AV5" s="29">
        <f t="shared" si="0"/>
        <v>1</v>
      </c>
      <c r="AW5" s="29">
        <f t="shared" si="0"/>
        <v>2</v>
      </c>
      <c r="AX5" s="29">
        <f t="shared" si="0"/>
        <v>2</v>
      </c>
      <c r="AY5" s="29">
        <f t="shared" si="0"/>
        <v>-5</v>
      </c>
      <c r="AZ5" s="29">
        <f t="shared" si="0"/>
        <v>5</v>
      </c>
      <c r="BA5" s="29">
        <f t="shared" si="0"/>
        <v>-7</v>
      </c>
      <c r="BB5" s="29">
        <f t="shared" si="0"/>
        <v>-2</v>
      </c>
      <c r="BC5" s="29">
        <f>SUM(C5:BB5)</f>
        <v>-2</v>
      </c>
      <c r="BE5" t="s">
        <v>2676</v>
      </c>
      <c r="BF5">
        <f>SUM($C$8:$BB$8)</f>
        <v>88</v>
      </c>
    </row>
    <row r="6" spans="1:58" ht="5.25" customHeight="1" x14ac:dyDescent="0.3">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51"/>
    </row>
    <row r="7" spans="1:58" ht="32.25" customHeight="1" x14ac:dyDescent="0.3">
      <c r="A7" s="29" t="s">
        <v>9</v>
      </c>
      <c r="B7" s="29" t="s">
        <v>2082</v>
      </c>
      <c r="C7" s="29">
        <f>COUNTIFS('Controle de CR'!$A:$A,Acompanhamento!$B$2,'Controle de CR'!$B:$B,Acompanhamento!C$2,'Controle de CR'!$G:$G,Acompanhamento!$A$7)</f>
        <v>0</v>
      </c>
      <c r="D7" s="29">
        <f>COUNTIFS('Controle de CR'!$A:$A,Acompanhamento!$B$2,'Controle de CR'!$B:$B,Acompanhamento!D$2,'Controle de CR'!$G:$G,Acompanhamento!$A$7)</f>
        <v>1</v>
      </c>
      <c r="E7" s="29">
        <f>COUNTIFS('Controle de CR'!$A:$A,Acompanhamento!$B$2,'Controle de CR'!$B:$B,Acompanhamento!E$2,'Controle de CR'!$G:$G,Acompanhamento!$A$7)</f>
        <v>0</v>
      </c>
      <c r="F7" s="29">
        <f>COUNTIFS('Controle de CR'!$A:$A,Acompanhamento!$B$2,'Controle de CR'!$B:$B,Acompanhamento!F$2,'Controle de CR'!$G:$G,Acompanhamento!$A$7)</f>
        <v>0</v>
      </c>
      <c r="G7" s="29">
        <f>COUNTIFS('Controle de CR'!$A:$A,Acompanhamento!$B$2,'Controle de CR'!$B:$B,Acompanhamento!G$2,'Controle de CR'!$G:$G,Acompanhamento!$A$7)</f>
        <v>0</v>
      </c>
      <c r="H7" s="29">
        <f>COUNTIFS('Controle de CR'!$A:$A,Acompanhamento!$B$2,'Controle de CR'!$B:$B,Acompanhamento!H$2,'Controle de CR'!$G:$G,Acompanhamento!$A$7)</f>
        <v>2</v>
      </c>
      <c r="I7" s="29">
        <f>COUNTIFS('Controle de CR'!$A:$A,Acompanhamento!$B$2,'Controle de CR'!$B:$B,Acompanhamento!I$2,'Controle de CR'!$G:$G,Acompanhamento!$A$7)</f>
        <v>0</v>
      </c>
      <c r="J7" s="29">
        <f>COUNTIFS('Controle de CR'!$A:$A,Acompanhamento!$B$2,'Controle de CR'!$B:$B,Acompanhamento!J$2,'Controle de CR'!$G:$G,Acompanhamento!$A$7)</f>
        <v>0</v>
      </c>
      <c r="K7" s="29">
        <f>COUNTIFS('Controle de CR'!$A:$A,Acompanhamento!$B$2,'Controle de CR'!$B:$B,Acompanhamento!K$2,'Controle de CR'!$G:$G,Acompanhamento!$A$7)</f>
        <v>2</v>
      </c>
      <c r="L7" s="29">
        <f>COUNTIFS('Controle de CR'!$A:$A,Acompanhamento!$B$2,'Controle de CR'!$B:$B,Acompanhamento!L$2,'Controle de CR'!$G:$G,Acompanhamento!$A$7)</f>
        <v>3</v>
      </c>
      <c r="M7" s="29">
        <f>COUNTIFS('Controle de CR'!$A:$A,Acompanhamento!$B$2,'Controle de CR'!$B:$B,Acompanhamento!M$2,'Controle de CR'!$G:$G,Acompanhamento!$A$7)</f>
        <v>11</v>
      </c>
      <c r="N7" s="29">
        <f>COUNTIFS('Controle de CR'!$A:$A,Acompanhamento!$B$2,'Controle de CR'!$B:$B,Acompanhamento!N$2,'Controle de CR'!$G:$G,Acompanhamento!$A$7)</f>
        <v>3</v>
      </c>
      <c r="O7" s="29">
        <f>COUNTIFS('Controle de CR'!$A:$A,Acompanhamento!$B$2,'Controle de CR'!$B:$B,Acompanhamento!O$2,'Controle de CR'!$G:$G,Acompanhamento!$A$7)</f>
        <v>2</v>
      </c>
      <c r="P7" s="29">
        <f>COUNTIFS('Controle de CR'!$A:$A,Acompanhamento!$B$2,'Controle de CR'!$B:$B,Acompanhamento!P$2,'Controle de CR'!$G:$G,Acompanhamento!$A$7)</f>
        <v>2</v>
      </c>
      <c r="Q7" s="29">
        <f>COUNTIFS('Controle de CR'!$A:$A,Acompanhamento!$B$2,'Controle de CR'!$B:$B,Acompanhamento!Q$2,'Controle de CR'!$G:$G,Acompanhamento!$A$7)</f>
        <v>0</v>
      </c>
      <c r="R7" s="29">
        <f>COUNTIFS('Controle de CR'!$A:$A,Acompanhamento!$B$2,'Controle de CR'!$B:$B,Acompanhamento!R$2,'Controle de CR'!$G:$G,Acompanhamento!$A$7)</f>
        <v>0</v>
      </c>
      <c r="S7" s="29">
        <f>COUNTIFS('Controle de CR'!$A:$A,Acompanhamento!$B$2,'Controle de CR'!$B:$B,Acompanhamento!S$2,'Controle de CR'!$G:$G,Acompanhamento!$A$7)</f>
        <v>4</v>
      </c>
      <c r="T7" s="29">
        <f>COUNTIFS('Controle de CR'!$A:$A,Acompanhamento!$B$2,'Controle de CR'!$B:$B,Acompanhamento!T$2,'Controle de CR'!$G:$G,Acompanhamento!$A$7)</f>
        <v>2</v>
      </c>
      <c r="U7" s="29">
        <f>COUNTIFS('Controle de CR'!$A:$A,Acompanhamento!$B$2,'Controle de CR'!$B:$B,Acompanhamento!U$2,'Controle de CR'!$G:$G,Acompanhamento!$A$7)</f>
        <v>2</v>
      </c>
      <c r="V7" s="29">
        <f>COUNTIFS('Controle de CR'!$A:$A,Acompanhamento!$B$2,'Controle de CR'!$B:$B,Acompanhamento!V$2,'Controle de CR'!$G:$G,Acompanhamento!$A$7)</f>
        <v>3</v>
      </c>
      <c r="W7" s="29">
        <f>COUNTIFS('Controle de CR'!$A:$A,Acompanhamento!$B$2,'Controle de CR'!$B:$B,Acompanhamento!W$2,'Controle de CR'!$G:$G,Acompanhamento!$A$7)</f>
        <v>0</v>
      </c>
      <c r="X7" s="29">
        <f>COUNTIFS('Controle de CR'!$A:$A,Acompanhamento!$B$2,'Controle de CR'!$B:$B,Acompanhamento!X$2,'Controle de CR'!$G:$G,Acompanhamento!$A$7)</f>
        <v>1</v>
      </c>
      <c r="Y7" s="29">
        <f>COUNTIFS('Controle de CR'!$A:$A,Acompanhamento!$B$2,'Controle de CR'!$B:$B,Acompanhamento!Y$2,'Controle de CR'!$G:$G,Acompanhamento!$A$7)</f>
        <v>0</v>
      </c>
      <c r="Z7" s="29">
        <f>COUNTIFS('Controle de CR'!$A:$A,Acompanhamento!$B$2,'Controle de CR'!$B:$B,Acompanhamento!Z$2,'Controle de CR'!$G:$G,Acompanhamento!$A$7)</f>
        <v>1</v>
      </c>
      <c r="AA7" s="29">
        <f>COUNTIFS('Controle de CR'!$A:$A,Acompanhamento!$B$2,'Controle de CR'!$B:$B,Acompanhamento!AA$2,'Controle de CR'!$G:$G,Acompanhamento!$A$7)</f>
        <v>0</v>
      </c>
      <c r="AB7" s="29">
        <f>COUNTIFS('Controle de CR'!$A:$A,Acompanhamento!$B$2,'Controle de CR'!$B:$B,Acompanhamento!AB$2,'Controle de CR'!$G:$G,Acompanhamento!$A$7)</f>
        <v>1</v>
      </c>
      <c r="AC7" s="29">
        <f>COUNTIFS('Controle de CR'!$A:$A,Acompanhamento!$B$2,'Controle de CR'!$B:$B,Acompanhamento!AC$2,'Controle de CR'!$G:$G,Acompanhamento!$A$7)</f>
        <v>0</v>
      </c>
      <c r="AD7" s="29">
        <f>COUNTIFS('Controle de CR'!$A:$A,Acompanhamento!$B$2,'Controle de CR'!$B:$B,Acompanhamento!AD$2,'Controle de CR'!$G:$G,Acompanhamento!$A$7)</f>
        <v>4</v>
      </c>
      <c r="AE7" s="29">
        <f>COUNTIFS('Controle de CR'!$A:$A,Acompanhamento!$B$2,'Controle de CR'!$B:$B,Acompanhamento!AE$2,'Controle de CR'!$G:$G,Acompanhamento!$A$7)</f>
        <v>0</v>
      </c>
      <c r="AF7" s="29">
        <f>COUNTIFS('Controle de CR'!$A:$A,Acompanhamento!$B$2,'Controle de CR'!$B:$B,Acompanhamento!AF$2,'Controle de CR'!$G:$G,Acompanhamento!$A$7)</f>
        <v>0</v>
      </c>
      <c r="AG7" s="29">
        <f>COUNTIFS('Controle de CR'!$A:$A,Acompanhamento!$B$2,'Controle de CR'!$B:$B,Acompanhamento!AG$2,'Controle de CR'!$G:$G,Acompanhamento!$A$7)</f>
        <v>3</v>
      </c>
      <c r="AH7" s="29">
        <f>COUNTIFS('Controle de CR'!$A:$A,Acompanhamento!$B$2,'Controle de CR'!$B:$B,Acompanhamento!AH$2,'Controle de CR'!$G:$G,Acompanhamento!$A$7)</f>
        <v>6</v>
      </c>
      <c r="AI7" s="29">
        <f>COUNTIFS('Controle de CR'!$A:$A,Acompanhamento!$B$2,'Controle de CR'!$B:$B,Acompanhamento!AI$2,'Controle de CR'!$G:$G,Acompanhamento!$A$7)</f>
        <v>3</v>
      </c>
      <c r="AJ7" s="29">
        <f>COUNTIFS('Controle de CR'!$A:$A,Acompanhamento!$B$2,'Controle de CR'!$B:$B,Acompanhamento!AJ$2,'Controle de CR'!$G:$G,Acompanhamento!$A$7)</f>
        <v>7</v>
      </c>
      <c r="AK7" s="29">
        <f>COUNTIFS('Controle de CR'!$A:$A,Acompanhamento!$B$2,'Controle de CR'!$B:$B,Acompanhamento!AK$2,'Controle de CR'!$G:$G,Acompanhamento!$A$7)</f>
        <v>7</v>
      </c>
      <c r="AL7" s="29">
        <f>COUNTIFS('Controle de CR'!$A:$A,Acompanhamento!$B$2,'Controle de CR'!$B:$B,Acompanhamento!AL$2,'Controle de CR'!$G:$G,Acompanhamento!$A$7)</f>
        <v>2</v>
      </c>
      <c r="AM7" s="29">
        <f>COUNTIFS('Controle de CR'!$A:$A,Acompanhamento!$B$2,'Controle de CR'!$B:$B,Acompanhamento!AM$2,'Controle de CR'!$G:$G,Acompanhamento!$A$7)</f>
        <v>1</v>
      </c>
      <c r="AN7" s="29">
        <f>COUNTIFS('Controle de CR'!$A:$A,Acompanhamento!$B$2,'Controle de CR'!$B:$B,Acompanhamento!AN$2,'Controle de CR'!$G:$G,Acompanhamento!$A$7)</f>
        <v>1</v>
      </c>
      <c r="AO7" s="29">
        <f>COUNTIFS('Controle de CR'!$A:$A,Acompanhamento!$B$2,'Controle de CR'!$B:$B,Acompanhamento!AO$2,'Controle de CR'!$G:$G,Acompanhamento!$A$7)</f>
        <v>0</v>
      </c>
      <c r="AP7" s="29">
        <f>COUNTIFS('Controle de CR'!$A:$A,Acompanhamento!$B$2,'Controle de CR'!$B:$B,Acompanhamento!AP$2,'Controle de CR'!$G:$G,Acompanhamento!$A$7)</f>
        <v>0</v>
      </c>
      <c r="AQ7" s="29">
        <f>COUNTIFS('Controle de CR'!$A:$A,Acompanhamento!$B$2,'Controle de CR'!$B:$B,Acompanhamento!AQ$2,'Controle de CR'!$G:$G,Acompanhamento!$A$7)</f>
        <v>0</v>
      </c>
      <c r="AR7" s="29">
        <f>COUNTIFS('Controle de CR'!$A:$A,Acompanhamento!$B$2,'Controle de CR'!$B:$B,Acompanhamento!AR$2,'Controle de CR'!$G:$G,Acompanhamento!$A$7)</f>
        <v>4</v>
      </c>
      <c r="AS7" s="29">
        <f>COUNTIFS('Controle de CR'!$A:$A,Acompanhamento!$B$2,'Controle de CR'!$B:$B,Acompanhamento!AS$2,'Controle de CR'!$G:$G,Acompanhamento!$A$7)</f>
        <v>3</v>
      </c>
      <c r="AT7" s="29">
        <f>COUNTIFS('Controle de CR'!$A:$A,Acompanhamento!$B$2,'Controle de CR'!$B:$B,Acompanhamento!AT$2,'Controle de CR'!$G:$G,Acompanhamento!$A$7)</f>
        <v>0</v>
      </c>
      <c r="AU7" s="29">
        <f>COUNTIFS('Controle de CR'!$A:$A,Acompanhamento!$B$2,'Controle de CR'!$B:$B,Acompanhamento!AU$2,'Controle de CR'!$G:$G,Acompanhamento!$A$7)</f>
        <v>2</v>
      </c>
      <c r="AV7" s="29">
        <f>COUNTIFS('Controle de CR'!$A:$A,Acompanhamento!$B$2,'Controle de CR'!$B:$B,Acompanhamento!AV$2,'Controle de CR'!$G:$G,Acompanhamento!$A$7)</f>
        <v>3</v>
      </c>
      <c r="AW7" s="29">
        <f>COUNTIFS('Controle de CR'!$A:$A,Acompanhamento!$B$2,'Controle de CR'!$B:$B,Acompanhamento!AW$2,'Controle de CR'!$G:$G,Acompanhamento!$A$7)</f>
        <v>1</v>
      </c>
      <c r="AX7" s="29">
        <f>COUNTIFS('Controle de CR'!$A:$A,Acompanhamento!$B$2,'Controle de CR'!$B:$B,Acompanhamento!AX$2,'Controle de CR'!$G:$G,Acompanhamento!$A$7)</f>
        <v>1</v>
      </c>
      <c r="AY7" s="29">
        <f>COUNTIFS('Controle de CR'!$A:$A,Acompanhamento!$B$2,'Controle de CR'!$B:$B,Acompanhamento!AY$2,'Controle de CR'!$G:$G,Acompanhamento!$A$7)</f>
        <v>0</v>
      </c>
      <c r="AZ7" s="29">
        <f>COUNTIFS('Controle de CR'!$A:$A,Acompanhamento!$B$2,'Controle de CR'!$B:$B,Acompanhamento!AZ$2,'Controle de CR'!$G:$G,Acompanhamento!$A$7)</f>
        <v>0</v>
      </c>
      <c r="BA7" s="29">
        <f>COUNTIFS('Controle de CR'!$A:$A,Acompanhamento!$B$2,'Controle de CR'!$B:$B,Acompanhamento!BA$2,'Controle de CR'!$G:$G,Acompanhamento!$A$7)</f>
        <v>0</v>
      </c>
      <c r="BB7" s="29">
        <f>COUNTIFS('Controle de CR'!$A:$A,Acompanhamento!$B$2,'Controle de CR'!$B:$B,Acompanhamento!BB$2,'Controle de CR'!$G:$G,Acompanhamento!$A$7)</f>
        <v>0</v>
      </c>
      <c r="BC7" s="43">
        <f>SUM(C7:BB7)</f>
        <v>88</v>
      </c>
    </row>
    <row r="8" spans="1:58" ht="32.25" customHeight="1" x14ac:dyDescent="0.3">
      <c r="A8" s="29" t="s">
        <v>9</v>
      </c>
      <c r="B8" s="29" t="s">
        <v>2083</v>
      </c>
      <c r="C8" s="29">
        <f>COUNTIFS('Controle de CR'!$A:$A,Acompanhamento!$B$2,'Controle de CR'!$C:$C,Acompanhamento!C$2,'Controle de CR'!$G:$G,Acompanhamento!$A$8)</f>
        <v>0</v>
      </c>
      <c r="D8" s="29">
        <f>COUNTIFS('Controle de CR'!$A:$A,Acompanhamento!$B$2,'Controle de CR'!$C:$C,Acompanhamento!D$2,'Controle de CR'!$G:$G,Acompanhamento!$A$8)</f>
        <v>0</v>
      </c>
      <c r="E8" s="29">
        <f>COUNTIFS('Controle de CR'!$A:$A,Acompanhamento!$B$2,'Controle de CR'!$C:$C,Acompanhamento!E$2,'Controle de CR'!$G:$G,Acompanhamento!$A$8)</f>
        <v>1</v>
      </c>
      <c r="F8" s="29">
        <f>COUNTIFS('Controle de CR'!$A:$A,Acompanhamento!$B$2,'Controle de CR'!$C:$C,Acompanhamento!F$2,'Controle de CR'!$G:$G,Acompanhamento!$A$8)</f>
        <v>0</v>
      </c>
      <c r="G8" s="29">
        <f>COUNTIFS('Controle de CR'!$A:$A,Acompanhamento!$B$2,'Controle de CR'!$C:$C,Acompanhamento!G$2,'Controle de CR'!$G:$G,Acompanhamento!$A$8)</f>
        <v>1</v>
      </c>
      <c r="H8" s="29">
        <f>COUNTIFS('Controle de CR'!$A:$A,Acompanhamento!$B$2,'Controle de CR'!$C:$C,Acompanhamento!H$2,'Controle de CR'!$G:$G,Acompanhamento!$A$8)</f>
        <v>2</v>
      </c>
      <c r="I8" s="29">
        <f>COUNTIFS('Controle de CR'!$A:$A,Acompanhamento!$B$2,'Controle de CR'!$C:$C,Acompanhamento!I$2,'Controle de CR'!$G:$G,Acompanhamento!$A$8)</f>
        <v>1</v>
      </c>
      <c r="J8" s="29">
        <f>COUNTIFS('Controle de CR'!$A:$A,Acompanhamento!$B$2,'Controle de CR'!$C:$C,Acompanhamento!J$2,'Controle de CR'!$G:$G,Acompanhamento!$A$8)</f>
        <v>0</v>
      </c>
      <c r="K8" s="29">
        <f>COUNTIFS('Controle de CR'!$A:$A,Acompanhamento!$B$2,'Controle de CR'!$C:$C,Acompanhamento!K$2,'Controle de CR'!$G:$G,Acompanhamento!$A$8)</f>
        <v>0</v>
      </c>
      <c r="L8" s="29">
        <f>COUNTIFS('Controle de CR'!$A:$A,Acompanhamento!$B$2,'Controle de CR'!$C:$C,Acompanhamento!L$2,'Controle de CR'!$G:$G,Acompanhamento!$A$8)</f>
        <v>0</v>
      </c>
      <c r="M8" s="29">
        <f>COUNTIFS('Controle de CR'!$A:$A,Acompanhamento!$B$2,'Controle de CR'!$C:$C,Acompanhamento!M$2,'Controle de CR'!$G:$G,Acompanhamento!$A$8)</f>
        <v>3</v>
      </c>
      <c r="N8" s="29">
        <f>COUNTIFS('Controle de CR'!$A:$A,Acompanhamento!$B$2,'Controle de CR'!$C:$C,Acompanhamento!N$2,'Controle de CR'!$G:$G,Acompanhamento!$A$8)</f>
        <v>10</v>
      </c>
      <c r="O8" s="29">
        <f>COUNTIFS('Controle de CR'!$A:$A,Acompanhamento!$B$2,'Controle de CR'!$C:$C,Acompanhamento!O$2,'Controle de CR'!$G:$G,Acompanhamento!$A$8)</f>
        <v>4</v>
      </c>
      <c r="P8" s="29">
        <f>COUNTIFS('Controle de CR'!$A:$A,Acompanhamento!$B$2,'Controle de CR'!$C:$C,Acompanhamento!P$2,'Controle de CR'!$G:$G,Acompanhamento!$A$8)</f>
        <v>0</v>
      </c>
      <c r="Q8" s="29">
        <f>COUNTIFS('Controle de CR'!$A:$A,Acompanhamento!$B$2,'Controle de CR'!$C:$C,Acompanhamento!Q$2,'Controle de CR'!$G:$G,Acompanhamento!$A$8)</f>
        <v>2</v>
      </c>
      <c r="R8" s="29">
        <f>COUNTIFS('Controle de CR'!$A:$A,Acompanhamento!$B$2,'Controle de CR'!$C:$C,Acompanhamento!R$2,'Controle de CR'!$G:$G,Acompanhamento!$A$8)</f>
        <v>0</v>
      </c>
      <c r="S8" s="29">
        <f>COUNTIFS('Controle de CR'!$A:$A,Acompanhamento!$B$2,'Controle de CR'!$C:$C,Acompanhamento!S$2,'Controle de CR'!$G:$G,Acompanhamento!$A$8)</f>
        <v>4</v>
      </c>
      <c r="T8" s="29">
        <f>COUNTIFS('Controle de CR'!$A:$A,Acompanhamento!$B$2,'Controle de CR'!$C:$C,Acompanhamento!T$2,'Controle de CR'!$G:$G,Acompanhamento!$A$8)</f>
        <v>2</v>
      </c>
      <c r="U8" s="29">
        <f>COUNTIFS('Controle de CR'!$A:$A,Acompanhamento!$B$2,'Controle de CR'!$C:$C,Acompanhamento!U$2,'Controle de CR'!$G:$G,Acompanhamento!$A$8)</f>
        <v>4</v>
      </c>
      <c r="V8" s="29">
        <f>COUNTIFS('Controle de CR'!$A:$A,Acompanhamento!$B$2,'Controle de CR'!$C:$C,Acompanhamento!V$2,'Controle de CR'!$G:$G,Acompanhamento!$A$8)</f>
        <v>0</v>
      </c>
      <c r="W8" s="29">
        <f>COUNTIFS('Controle de CR'!$A:$A,Acompanhamento!$B$2,'Controle de CR'!$C:$C,Acompanhamento!W$2,'Controle de CR'!$G:$G,Acompanhamento!$A$8)</f>
        <v>3</v>
      </c>
      <c r="X8" s="29">
        <f>COUNTIFS('Controle de CR'!$A:$A,Acompanhamento!$B$2,'Controle de CR'!$C:$C,Acompanhamento!X$2,'Controle de CR'!$G:$G,Acompanhamento!$A$8)</f>
        <v>1</v>
      </c>
      <c r="Y8" s="29">
        <f>COUNTIFS('Controle de CR'!$A:$A,Acompanhamento!$B$2,'Controle de CR'!$C:$C,Acompanhamento!Y$2,'Controle de CR'!$G:$G,Acompanhamento!$A$8)</f>
        <v>0</v>
      </c>
      <c r="Z8" s="29">
        <f>COUNTIFS('Controle de CR'!$A:$A,Acompanhamento!$B$2,'Controle de CR'!$C:$C,Acompanhamento!Z$2,'Controle de CR'!$G:$G,Acompanhamento!$A$8)</f>
        <v>1</v>
      </c>
      <c r="AA8" s="29">
        <f>COUNTIFS('Controle de CR'!$A:$A,Acompanhamento!$B$2,'Controle de CR'!$C:$C,Acompanhamento!AA$2,'Controle de CR'!$G:$G,Acompanhamento!$A$8)</f>
        <v>0</v>
      </c>
      <c r="AB8" s="29">
        <f>COUNTIFS('Controle de CR'!$A:$A,Acompanhamento!$B$2,'Controle de CR'!$C:$C,Acompanhamento!AB$2,'Controle de CR'!$G:$G,Acompanhamento!$A$8)</f>
        <v>1</v>
      </c>
      <c r="AC8" s="29">
        <f>COUNTIFS('Controle de CR'!$A:$A,Acompanhamento!$B$2,'Controle de CR'!$C:$C,Acompanhamento!AC$2,'Controle de CR'!$G:$G,Acompanhamento!$A$8)</f>
        <v>0</v>
      </c>
      <c r="AD8" s="29">
        <f>COUNTIFS('Controle de CR'!$A:$A,Acompanhamento!$B$2,'Controle de CR'!$C:$C,Acompanhamento!AD$2,'Controle de CR'!$G:$G,Acompanhamento!$A$8)</f>
        <v>0</v>
      </c>
      <c r="AE8" s="29">
        <f>COUNTIFS('Controle de CR'!$A:$A,Acompanhamento!$B$2,'Controle de CR'!$C:$C,Acompanhamento!AE$2,'Controle de CR'!$G:$G,Acompanhamento!$A$8)</f>
        <v>3</v>
      </c>
      <c r="AF8" s="29">
        <f>COUNTIFS('Controle de CR'!$A:$A,Acompanhamento!$B$2,'Controle de CR'!$C:$C,Acompanhamento!AF$2,'Controle de CR'!$G:$G,Acompanhamento!$A$8)</f>
        <v>1</v>
      </c>
      <c r="AG8" s="29">
        <f>COUNTIFS('Controle de CR'!$A:$A,Acompanhamento!$B$2,'Controle de CR'!$C:$C,Acompanhamento!AG$2,'Controle de CR'!$G:$G,Acompanhamento!$A$8)</f>
        <v>0</v>
      </c>
      <c r="AH8" s="29">
        <f>COUNTIFS('Controle de CR'!$A:$A,Acompanhamento!$B$2,'Controle de CR'!$C:$C,Acompanhamento!AH$2,'Controle de CR'!$G:$G,Acompanhamento!$A$8)</f>
        <v>9</v>
      </c>
      <c r="AI8" s="29">
        <f>COUNTIFS('Controle de CR'!$A:$A,Acompanhamento!$B$2,'Controle de CR'!$C:$C,Acompanhamento!AI$2,'Controle de CR'!$G:$G,Acompanhamento!$A$8)</f>
        <v>0</v>
      </c>
      <c r="AJ8" s="29">
        <f>COUNTIFS('Controle de CR'!$A:$A,Acompanhamento!$B$2,'Controle de CR'!$C:$C,Acompanhamento!AJ$2,'Controle de CR'!$G:$G,Acompanhamento!$A$8)</f>
        <v>1</v>
      </c>
      <c r="AK8" s="29">
        <f>COUNTIFS('Controle de CR'!$A:$A,Acompanhamento!$B$2,'Controle de CR'!$C:$C,Acompanhamento!AK$2,'Controle de CR'!$G:$G,Acompanhamento!$A$8)</f>
        <v>0</v>
      </c>
      <c r="AL8" s="29">
        <f>COUNTIFS('Controle de CR'!$A:$A,Acompanhamento!$B$2,'Controle de CR'!$C:$C,Acompanhamento!AL$2,'Controle de CR'!$G:$G,Acompanhamento!$A$8)</f>
        <v>3</v>
      </c>
      <c r="AM8" s="29">
        <f>COUNTIFS('Controle de CR'!$A:$A,Acompanhamento!$B$2,'Controle de CR'!$C:$C,Acompanhamento!AM$2,'Controle de CR'!$G:$G,Acompanhamento!$A$8)</f>
        <v>16</v>
      </c>
      <c r="AN8" s="29">
        <f>COUNTIFS('Controle de CR'!$A:$A,Acompanhamento!$B$2,'Controle de CR'!$C:$C,Acompanhamento!AN$2,'Controle de CR'!$G:$G,Acompanhamento!$A$8)</f>
        <v>0</v>
      </c>
      <c r="AO8" s="29">
        <f>COUNTIFS('Controle de CR'!$A:$A,Acompanhamento!$B$2,'Controle de CR'!$C:$C,Acompanhamento!AO$2,'Controle de CR'!$G:$G,Acompanhamento!$A$8)</f>
        <v>1</v>
      </c>
      <c r="AP8" s="29">
        <f>COUNTIFS('Controle de CR'!$A:$A,Acompanhamento!$B$2,'Controle de CR'!$C:$C,Acompanhamento!AP$2,'Controle de CR'!$G:$G,Acompanhamento!$A$8)</f>
        <v>0</v>
      </c>
      <c r="AQ8" s="29">
        <f>COUNTIFS('Controle de CR'!$A:$A,Acompanhamento!$B$2,'Controle de CR'!$C:$C,Acompanhamento!AQ$2,'Controle de CR'!$G:$G,Acompanhamento!$A$8)</f>
        <v>0</v>
      </c>
      <c r="AR8" s="29">
        <f>COUNTIFS('Controle de CR'!$A:$A,Acompanhamento!$B$2,'Controle de CR'!$C:$C,Acompanhamento!AR$2,'Controle de CR'!$G:$G,Acompanhamento!$A$8)</f>
        <v>0</v>
      </c>
      <c r="AS8" s="29">
        <f>COUNTIFS('Controle de CR'!$A:$A,Acompanhamento!$B$2,'Controle de CR'!$C:$C,Acompanhamento!AS$2,'Controle de CR'!$G:$G,Acompanhamento!$A$8)</f>
        <v>4</v>
      </c>
      <c r="AT8" s="29">
        <f>COUNTIFS('Controle de CR'!$A:$A,Acompanhamento!$B$2,'Controle de CR'!$C:$C,Acompanhamento!AT$2,'Controle de CR'!$G:$G,Acompanhamento!$A$8)</f>
        <v>0</v>
      </c>
      <c r="AU8" s="29">
        <f>COUNTIFS('Controle de CR'!$A:$A,Acompanhamento!$B$2,'Controle de CR'!$C:$C,Acompanhamento!AU$2,'Controle de CR'!$G:$G,Acompanhamento!$A$8)</f>
        <v>4</v>
      </c>
      <c r="AV8" s="29">
        <f>COUNTIFS('Controle de CR'!$A:$A,Acompanhamento!$B$2,'Controle de CR'!$C:$C,Acompanhamento!AV$2,'Controle de CR'!$G:$G,Acompanhamento!$A$8)</f>
        <v>0</v>
      </c>
      <c r="AW8" s="29">
        <f>COUNTIFS('Controle de CR'!$A:$A,Acompanhamento!$B$2,'Controle de CR'!$C:$C,Acompanhamento!AW$2,'Controle de CR'!$G:$G,Acompanhamento!$A$8)</f>
        <v>0</v>
      </c>
      <c r="AX8" s="29">
        <f>COUNTIFS('Controle de CR'!$A:$A,Acompanhamento!$B$2,'Controle de CR'!$C:$C,Acompanhamento!AX$2,'Controle de CR'!$G:$G,Acompanhamento!$A$8)</f>
        <v>2</v>
      </c>
      <c r="AY8" s="29">
        <f>COUNTIFS('Controle de CR'!$A:$A,Acompanhamento!$B$2,'Controle de CR'!$C:$C,Acompanhamento!AY$2,'Controle de CR'!$G:$G,Acompanhamento!$A$8)</f>
        <v>3</v>
      </c>
      <c r="AZ8" s="29">
        <f>COUNTIFS('Controle de CR'!$A:$A,Acompanhamento!$B$2,'Controle de CR'!$C:$C,Acompanhamento!AZ$2,'Controle de CR'!$G:$G,Acompanhamento!$A$8)</f>
        <v>1</v>
      </c>
      <c r="BA8" s="29">
        <f>COUNTIFS('Controle de CR'!$A:$A,Acompanhamento!$B$2,'Controle de CR'!$C:$C,Acompanhamento!BA$2,'Controle de CR'!$G:$G,Acompanhamento!$A$8)</f>
        <v>0</v>
      </c>
      <c r="BB8" s="29">
        <f>COUNTIFS('Controle de CR'!$A:$A,Acompanhamento!$B$2,'Controle de CR'!$C:$C,Acompanhamento!BB$2,'Controle de CR'!$G:$G,Acompanhamento!$A$8)</f>
        <v>0</v>
      </c>
      <c r="BC8" s="43">
        <f t="shared" ref="BC8:BC13" si="1">SUM(C8:BB8)</f>
        <v>88</v>
      </c>
    </row>
    <row r="9" spans="1:58" ht="32.25" customHeight="1" x14ac:dyDescent="0.3">
      <c r="A9" s="29" t="s">
        <v>9</v>
      </c>
      <c r="B9" s="29" t="s">
        <v>2086</v>
      </c>
      <c r="C9" s="29">
        <f>C7-C8</f>
        <v>0</v>
      </c>
      <c r="D9" s="29">
        <f t="shared" ref="D9:BB9" si="2">D7-D8</f>
        <v>1</v>
      </c>
      <c r="E9" s="29">
        <f t="shared" si="2"/>
        <v>-1</v>
      </c>
      <c r="F9" s="29">
        <f t="shared" si="2"/>
        <v>0</v>
      </c>
      <c r="G9" s="29">
        <f t="shared" si="2"/>
        <v>-1</v>
      </c>
      <c r="H9" s="29">
        <f t="shared" si="2"/>
        <v>0</v>
      </c>
      <c r="I9" s="29">
        <f t="shared" si="2"/>
        <v>-1</v>
      </c>
      <c r="J9" s="29">
        <f t="shared" si="2"/>
        <v>0</v>
      </c>
      <c r="K9" s="29">
        <f t="shared" si="2"/>
        <v>2</v>
      </c>
      <c r="L9" s="29">
        <f t="shared" si="2"/>
        <v>3</v>
      </c>
      <c r="M9" s="29">
        <f t="shared" si="2"/>
        <v>8</v>
      </c>
      <c r="N9" s="29">
        <f t="shared" si="2"/>
        <v>-7</v>
      </c>
      <c r="O9" s="29">
        <f t="shared" si="2"/>
        <v>-2</v>
      </c>
      <c r="P9" s="29">
        <f t="shared" si="2"/>
        <v>2</v>
      </c>
      <c r="Q9" s="29">
        <f t="shared" si="2"/>
        <v>-2</v>
      </c>
      <c r="R9" s="29">
        <f t="shared" si="2"/>
        <v>0</v>
      </c>
      <c r="S9" s="29">
        <f t="shared" si="2"/>
        <v>0</v>
      </c>
      <c r="T9" s="29">
        <f t="shared" si="2"/>
        <v>0</v>
      </c>
      <c r="U9" s="29">
        <f t="shared" si="2"/>
        <v>-2</v>
      </c>
      <c r="V9" s="29">
        <f t="shared" si="2"/>
        <v>3</v>
      </c>
      <c r="W9" s="29">
        <f t="shared" si="2"/>
        <v>-3</v>
      </c>
      <c r="X9" s="29">
        <f t="shared" si="2"/>
        <v>0</v>
      </c>
      <c r="Y9" s="29">
        <f t="shared" si="2"/>
        <v>0</v>
      </c>
      <c r="Z9" s="29">
        <f t="shared" si="2"/>
        <v>0</v>
      </c>
      <c r="AA9" s="29">
        <f t="shared" si="2"/>
        <v>0</v>
      </c>
      <c r="AB9" s="29">
        <f t="shared" si="2"/>
        <v>0</v>
      </c>
      <c r="AC9" s="29">
        <f t="shared" si="2"/>
        <v>0</v>
      </c>
      <c r="AD9" s="29">
        <f t="shared" si="2"/>
        <v>4</v>
      </c>
      <c r="AE9" s="29">
        <f t="shared" si="2"/>
        <v>-3</v>
      </c>
      <c r="AF9" s="29">
        <f t="shared" si="2"/>
        <v>-1</v>
      </c>
      <c r="AG9" s="29">
        <f t="shared" si="2"/>
        <v>3</v>
      </c>
      <c r="AH9" s="29">
        <f t="shared" si="2"/>
        <v>-3</v>
      </c>
      <c r="AI9" s="29">
        <f t="shared" si="2"/>
        <v>3</v>
      </c>
      <c r="AJ9" s="29">
        <f t="shared" si="2"/>
        <v>6</v>
      </c>
      <c r="AK9" s="29">
        <f t="shared" si="2"/>
        <v>7</v>
      </c>
      <c r="AL9" s="29">
        <f t="shared" si="2"/>
        <v>-1</v>
      </c>
      <c r="AM9" s="29">
        <f t="shared" si="2"/>
        <v>-15</v>
      </c>
      <c r="AN9" s="29">
        <f t="shared" si="2"/>
        <v>1</v>
      </c>
      <c r="AO9" s="29">
        <f t="shared" si="2"/>
        <v>-1</v>
      </c>
      <c r="AP9" s="29">
        <f t="shared" si="2"/>
        <v>0</v>
      </c>
      <c r="AQ9" s="29">
        <f t="shared" si="2"/>
        <v>0</v>
      </c>
      <c r="AR9" s="29">
        <f t="shared" si="2"/>
        <v>4</v>
      </c>
      <c r="AS9" s="29">
        <f t="shared" si="2"/>
        <v>-1</v>
      </c>
      <c r="AT9" s="29">
        <f t="shared" si="2"/>
        <v>0</v>
      </c>
      <c r="AU9" s="29">
        <f t="shared" si="2"/>
        <v>-2</v>
      </c>
      <c r="AV9" s="29">
        <f t="shared" si="2"/>
        <v>3</v>
      </c>
      <c r="AW9" s="29">
        <f t="shared" si="2"/>
        <v>1</v>
      </c>
      <c r="AX9" s="29">
        <f t="shared" si="2"/>
        <v>-1</v>
      </c>
      <c r="AY9" s="29">
        <f t="shared" si="2"/>
        <v>-3</v>
      </c>
      <c r="AZ9" s="29">
        <f t="shared" si="2"/>
        <v>-1</v>
      </c>
      <c r="BA9" s="29">
        <f t="shared" si="2"/>
        <v>0</v>
      </c>
      <c r="BB9" s="29">
        <f t="shared" si="2"/>
        <v>0</v>
      </c>
      <c r="BC9" s="43">
        <f t="shared" si="1"/>
        <v>0</v>
      </c>
    </row>
    <row r="10" spans="1:58" s="48" customFormat="1" ht="6" customHeight="1"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51"/>
    </row>
    <row r="11" spans="1:58" ht="32.25" customHeight="1" x14ac:dyDescent="0.3">
      <c r="A11" s="29" t="s">
        <v>900</v>
      </c>
      <c r="B11" s="29" t="s">
        <v>2082</v>
      </c>
      <c r="C11" s="29">
        <f>COUNTIFS('Controle de CR'!$A:$A,Acompanhamento!$B$2,'Controle de CR'!$B:$B,Acompanhamento!C$2,'Controle de CR'!$G:$G,Acompanhamento!$A$11)</f>
        <v>1</v>
      </c>
      <c r="D11" s="29">
        <f>COUNTIFS('Controle de CR'!$A:$A,Acompanhamento!$B$2,'Controle de CR'!$B:$B,Acompanhamento!D$2,'Controle de CR'!$G:$G,Acompanhamento!$A$11)</f>
        <v>6</v>
      </c>
      <c r="E11" s="29">
        <f>COUNTIFS('Controle de CR'!$A:$A,Acompanhamento!$B$2,'Controle de CR'!$B:$B,Acompanhamento!E$2,'Controle de CR'!$G:$G,Acompanhamento!$A$11)</f>
        <v>11</v>
      </c>
      <c r="F11" s="29">
        <f>COUNTIFS('Controle de CR'!$A:$A,Acompanhamento!$B$2,'Controle de CR'!$B:$B,Acompanhamento!F$2,'Controle de CR'!$G:$G,Acompanhamento!$A$11)</f>
        <v>13</v>
      </c>
      <c r="G11" s="29">
        <f>COUNTIFS('Controle de CR'!$A:$A,Acompanhamento!$B$2,'Controle de CR'!$B:$B,Acompanhamento!G$2,'Controle de CR'!$G:$G,Acompanhamento!$A$11)</f>
        <v>7</v>
      </c>
      <c r="H11" s="29">
        <f>COUNTIFS('Controle de CR'!$A:$A,Acompanhamento!$B$2,'Controle de CR'!$B:$B,Acompanhamento!H$2,'Controle de CR'!$G:$G,Acompanhamento!$A$11)</f>
        <v>14</v>
      </c>
      <c r="I11" s="29">
        <f>COUNTIFS('Controle de CR'!$A:$A,Acompanhamento!$B$2,'Controle de CR'!$B:$B,Acompanhamento!I$2,'Controle de CR'!$G:$G,Acompanhamento!$A$11)</f>
        <v>15</v>
      </c>
      <c r="J11" s="29">
        <f>COUNTIFS('Controle de CR'!$A:$A,Acompanhamento!$B$2,'Controle de CR'!$B:$B,Acompanhamento!J$2,'Controle de CR'!$G:$G,Acompanhamento!$A$11)</f>
        <v>2</v>
      </c>
      <c r="K11" s="29">
        <f>COUNTIFS('Controle de CR'!$A:$A,Acompanhamento!$B$2,'Controle de CR'!$B:$B,Acompanhamento!K$2,'Controle de CR'!$G:$G,Acompanhamento!$A$11)</f>
        <v>10</v>
      </c>
      <c r="L11" s="29">
        <f>COUNTIFS('Controle de CR'!$A:$A,Acompanhamento!$B$2,'Controle de CR'!$B:$B,Acompanhamento!L$2,'Controle de CR'!$G:$G,Acompanhamento!$A$11)</f>
        <v>5</v>
      </c>
      <c r="M11" s="29">
        <f>COUNTIFS('Controle de CR'!$A:$A,Acompanhamento!$B$2,'Controle de CR'!$B:$B,Acompanhamento!M$2,'Controle de CR'!$G:$G,Acompanhamento!$A$11)</f>
        <v>5</v>
      </c>
      <c r="N11" s="29">
        <f>COUNTIFS('Controle de CR'!$A:$A,Acompanhamento!$B$2,'Controle de CR'!$B:$B,Acompanhamento!N$2,'Controle de CR'!$G:$G,Acompanhamento!$A$11)</f>
        <v>2</v>
      </c>
      <c r="O11" s="29">
        <f>COUNTIFS('Controle de CR'!$A:$A,Acompanhamento!$B$2,'Controle de CR'!$B:$B,Acompanhamento!O$2,'Controle de CR'!$G:$G,Acompanhamento!$A$11)</f>
        <v>0</v>
      </c>
      <c r="P11" s="29">
        <f>COUNTIFS('Controle de CR'!$A:$A,Acompanhamento!$B$2,'Controle de CR'!$B:$B,Acompanhamento!P$2,'Controle de CR'!$G:$G,Acompanhamento!$A$11)</f>
        <v>6</v>
      </c>
      <c r="Q11" s="29">
        <f>COUNTIFS('Controle de CR'!$A:$A,Acompanhamento!$B$2,'Controle de CR'!$B:$B,Acompanhamento!Q$2,'Controle de CR'!$G:$G,Acompanhamento!$A$11)</f>
        <v>1</v>
      </c>
      <c r="R11" s="29">
        <f>COUNTIFS('Controle de CR'!$A:$A,Acompanhamento!$B$2,'Controle de CR'!$B:$B,Acompanhamento!R$2,'Controle de CR'!$G:$G,Acompanhamento!$A$11)</f>
        <v>0</v>
      </c>
      <c r="S11" s="29">
        <f>COUNTIFS('Controle de CR'!$A:$A,Acompanhamento!$B$2,'Controle de CR'!$B:$B,Acompanhamento!S$2,'Controle de CR'!$G:$G,Acompanhamento!$A$11)</f>
        <v>5</v>
      </c>
      <c r="T11" s="29">
        <f>COUNTIFS('Controle de CR'!$A:$A,Acompanhamento!$B$2,'Controle de CR'!$B:$B,Acompanhamento!T$2,'Controle de CR'!$G:$G,Acompanhamento!$A$11)</f>
        <v>4</v>
      </c>
      <c r="U11" s="29">
        <f>COUNTIFS('Controle de CR'!$A:$A,Acompanhamento!$B$2,'Controle de CR'!$B:$B,Acompanhamento!U$2,'Controle de CR'!$G:$G,Acompanhamento!$A$11)</f>
        <v>8</v>
      </c>
      <c r="V11" s="29">
        <f>COUNTIFS('Controle de CR'!$A:$A,Acompanhamento!$B$2,'Controle de CR'!$B:$B,Acompanhamento!V$2,'Controle de CR'!$G:$G,Acompanhamento!$A$11)</f>
        <v>4</v>
      </c>
      <c r="W11" s="29">
        <f>COUNTIFS('Controle de CR'!$A:$A,Acompanhamento!$B$2,'Controle de CR'!$B:$B,Acompanhamento!W$2,'Controle de CR'!$G:$G,Acompanhamento!$A$11)</f>
        <v>0</v>
      </c>
      <c r="X11" s="29">
        <f>COUNTIFS('Controle de CR'!$A:$A,Acompanhamento!$B$2,'Controle de CR'!$B:$B,Acompanhamento!X$2,'Controle de CR'!$G:$G,Acompanhamento!$A$11)</f>
        <v>0</v>
      </c>
      <c r="Y11" s="29">
        <f>COUNTIFS('Controle de CR'!$A:$A,Acompanhamento!$B$2,'Controle de CR'!$B:$B,Acompanhamento!Y$2,'Controle de CR'!$G:$G,Acompanhamento!$A$11)</f>
        <v>2</v>
      </c>
      <c r="Z11" s="29">
        <f>COUNTIFS('Controle de CR'!$A:$A,Acompanhamento!$B$2,'Controle de CR'!$B:$B,Acompanhamento!Z$2,'Controle de CR'!$G:$G,Acompanhamento!$A$11)</f>
        <v>9</v>
      </c>
      <c r="AA11" s="29">
        <f>COUNTIFS('Controle de CR'!$A:$A,Acompanhamento!$B$2,'Controle de CR'!$B:$B,Acompanhamento!AA$2,'Controle de CR'!$G:$G,Acompanhamento!$A$11)</f>
        <v>7</v>
      </c>
      <c r="AB11" s="29">
        <f>COUNTIFS('Controle de CR'!$A:$A,Acompanhamento!$B$2,'Controle de CR'!$B:$B,Acompanhamento!AB$2,'Controle de CR'!$G:$G,Acompanhamento!$A$11)</f>
        <v>1</v>
      </c>
      <c r="AC11" s="29">
        <f>COUNTIFS('Controle de CR'!$A:$A,Acompanhamento!$B$2,'Controle de CR'!$B:$B,Acompanhamento!AC$2,'Controle de CR'!$G:$G,Acompanhamento!$A$11)</f>
        <v>2</v>
      </c>
      <c r="AD11" s="29">
        <f>COUNTIFS('Controle de CR'!$A:$A,Acompanhamento!$B$2,'Controle de CR'!$B:$B,Acompanhamento!AD$2,'Controle de CR'!$G:$G,Acompanhamento!$A$11)</f>
        <v>13</v>
      </c>
      <c r="AE11" s="29">
        <f>COUNTIFS('Controle de CR'!$A:$A,Acompanhamento!$B$2,'Controle de CR'!$B:$B,Acompanhamento!AE$2,'Controle de CR'!$G:$G,Acompanhamento!$A$11)</f>
        <v>2</v>
      </c>
      <c r="AF11" s="29">
        <f>COUNTIFS('Controle de CR'!$A:$A,Acompanhamento!$B$2,'Controle de CR'!$B:$B,Acompanhamento!AF$2,'Controle de CR'!$G:$G,Acompanhamento!$A$11)</f>
        <v>5</v>
      </c>
      <c r="AG11" s="29">
        <f>COUNTIFS('Controle de CR'!$A:$A,Acompanhamento!$B$2,'Controle de CR'!$B:$B,Acompanhamento!AG$2,'Controle de CR'!$G:$G,Acompanhamento!$A$11)</f>
        <v>1</v>
      </c>
      <c r="AH11" s="29">
        <f>COUNTIFS('Controle de CR'!$A:$A,Acompanhamento!$B$2,'Controle de CR'!$B:$B,Acompanhamento!AH$2,'Controle de CR'!$G:$G,Acompanhamento!$A$11)</f>
        <v>0</v>
      </c>
      <c r="AI11" s="29">
        <f>COUNTIFS('Controle de CR'!$A:$A,Acompanhamento!$B$2,'Controle de CR'!$B:$B,Acompanhamento!AI$2,'Controle de CR'!$G:$G,Acompanhamento!$A$11)</f>
        <v>3</v>
      </c>
      <c r="AJ11" s="29">
        <f>COUNTIFS('Controle de CR'!$A:$A,Acompanhamento!$B$2,'Controle de CR'!$B:$B,Acompanhamento!AJ$2,'Controle de CR'!$G:$G,Acompanhamento!$A$11)</f>
        <v>2</v>
      </c>
      <c r="AK11" s="29">
        <f>COUNTIFS('Controle de CR'!$A:$A,Acompanhamento!$B$2,'Controle de CR'!$B:$B,Acompanhamento!AK$2,'Controle de CR'!$G:$G,Acompanhamento!$A$11)</f>
        <v>3</v>
      </c>
      <c r="AL11" s="29">
        <f>COUNTIFS('Controle de CR'!$A:$A,Acompanhamento!$B$2,'Controle de CR'!$B:$B,Acompanhamento!AL$2,'Controle de CR'!$G:$G,Acompanhamento!$A$11)</f>
        <v>2</v>
      </c>
      <c r="AM11" s="29">
        <f>COUNTIFS('Controle de CR'!$A:$A,Acompanhamento!$B$2,'Controle de CR'!$B:$B,Acompanhamento!AM$2,'Controle de CR'!$G:$G,Acompanhamento!$A$11)</f>
        <v>4</v>
      </c>
      <c r="AN11" s="29">
        <f>COUNTIFS('Controle de CR'!$A:$A,Acompanhamento!$B$2,'Controle de CR'!$B:$B,Acompanhamento!AN$2,'Controle de CR'!$G:$G,Acompanhamento!$A$11)</f>
        <v>0</v>
      </c>
      <c r="AO11" s="29">
        <f>COUNTIFS('Controle de CR'!$A:$A,Acompanhamento!$B$2,'Controle de CR'!$B:$B,Acompanhamento!AO$2,'Controle de CR'!$G:$G,Acompanhamento!$A$11)</f>
        <v>3</v>
      </c>
      <c r="AP11" s="29">
        <f>COUNTIFS('Controle de CR'!$A:$A,Acompanhamento!$B$2,'Controle de CR'!$B:$B,Acompanhamento!AP$2,'Controle de CR'!$G:$G,Acompanhamento!$A$11)</f>
        <v>1</v>
      </c>
      <c r="AQ11" s="29">
        <f>COUNTIFS('Controle de CR'!$A:$A,Acompanhamento!$B$2,'Controle de CR'!$B:$B,Acompanhamento!AQ$2,'Controle de CR'!$G:$G,Acompanhamento!$A$11)</f>
        <v>3</v>
      </c>
      <c r="AR11" s="29">
        <f>COUNTIFS('Controle de CR'!$A:$A,Acompanhamento!$B$2,'Controle de CR'!$B:$B,Acompanhamento!AR$2,'Controle de CR'!$G:$G,Acompanhamento!$A$11)</f>
        <v>2</v>
      </c>
      <c r="AS11" s="29">
        <f>COUNTIFS('Controle de CR'!$A:$A,Acompanhamento!$B$2,'Controle de CR'!$B:$B,Acompanhamento!AS$2,'Controle de CR'!$G:$G,Acompanhamento!$A$11)</f>
        <v>1</v>
      </c>
      <c r="AT11" s="29">
        <f>COUNTIFS('Controle de CR'!$A:$A,Acompanhamento!$B$2,'Controle de CR'!$B:$B,Acompanhamento!AT$2,'Controle de CR'!$G:$G,Acompanhamento!$A$11)</f>
        <v>1</v>
      </c>
      <c r="AU11" s="29">
        <f>COUNTIFS('Controle de CR'!$A:$A,Acompanhamento!$B$2,'Controle de CR'!$B:$B,Acompanhamento!AU$2,'Controle de CR'!$G:$G,Acompanhamento!$A$11)</f>
        <v>2</v>
      </c>
      <c r="AV11" s="29">
        <f>COUNTIFS('Controle de CR'!$A:$A,Acompanhamento!$B$2,'Controle de CR'!$B:$B,Acompanhamento!AV$2,'Controle de CR'!$G:$G,Acompanhamento!$A$11)</f>
        <v>4</v>
      </c>
      <c r="AW11" s="29">
        <f>COUNTIFS('Controle de CR'!$A:$A,Acompanhamento!$B$2,'Controle de CR'!$B:$B,Acompanhamento!AW$2,'Controle de CR'!$G:$G,Acompanhamento!$A$11)</f>
        <v>0</v>
      </c>
      <c r="AX11" s="29">
        <f>COUNTIFS('Controle de CR'!$A:$A,Acompanhamento!$B$2,'Controle de CR'!$B:$B,Acompanhamento!AX$2,'Controle de CR'!$G:$G,Acompanhamento!$A$11)</f>
        <v>19</v>
      </c>
      <c r="AY11" s="29">
        <f>COUNTIFS('Controle de CR'!$A:$A,Acompanhamento!$B$2,'Controle de CR'!$B:$B,Acompanhamento!AY$2,'Controle de CR'!$G:$G,Acompanhamento!$A$11)</f>
        <v>5</v>
      </c>
      <c r="AZ11" s="29">
        <f>COUNTIFS('Controle de CR'!$A:$A,Acompanhamento!$B$2,'Controle de CR'!$B:$B,Acompanhamento!AZ$2,'Controle de CR'!$G:$G,Acompanhamento!$A$11)</f>
        <v>0</v>
      </c>
      <c r="BA11" s="29">
        <f>COUNTIFS('Controle de CR'!$A:$A,Acompanhamento!$B$2,'Controle de CR'!$B:$B,Acompanhamento!BA$2,'Controle de CR'!$G:$G,Acompanhamento!$A$11)</f>
        <v>3</v>
      </c>
      <c r="BB11" s="29">
        <f>COUNTIFS('Controle de CR'!$A:$A,Acompanhamento!$B$2,'Controle de CR'!$B:$B,Acompanhamento!BB$2,'Controle de CR'!$G:$G,Acompanhamento!$A$11)</f>
        <v>0</v>
      </c>
      <c r="BC11" s="43">
        <f t="shared" si="1"/>
        <v>219</v>
      </c>
    </row>
    <row r="12" spans="1:58" ht="32.25" customHeight="1" x14ac:dyDescent="0.3">
      <c r="A12" s="29" t="s">
        <v>900</v>
      </c>
      <c r="B12" s="29" t="s">
        <v>2083</v>
      </c>
      <c r="C12" s="29">
        <f>COUNTIFS('Controle de CR'!$A:$A,Acompanhamento!$B$2,'Controle de CR'!$C:$C,Acompanhamento!C$2,'Controle de CR'!$G:$G,Acompanhamento!$A$12)</f>
        <v>5</v>
      </c>
      <c r="D12" s="29">
        <f>COUNTIFS('Controle de CR'!$A:$A,Acompanhamento!$B$2,'Controle de CR'!$C:$C,Acompanhamento!D$2,'Controle de CR'!$G:$G,Acompanhamento!$A$12)</f>
        <v>5</v>
      </c>
      <c r="E12" s="29">
        <f>COUNTIFS('Controle de CR'!$A:$A,Acompanhamento!$B$2,'Controle de CR'!$C:$C,Acompanhamento!E$2,'Controle de CR'!$G:$G,Acompanhamento!$A$12)</f>
        <v>4</v>
      </c>
      <c r="F12" s="29">
        <f>COUNTIFS('Controle de CR'!$A:$A,Acompanhamento!$B$2,'Controle de CR'!$C:$C,Acompanhamento!F$2,'Controle de CR'!$G:$G,Acompanhamento!$A$12)</f>
        <v>7</v>
      </c>
      <c r="G12" s="29">
        <f>COUNTIFS('Controle de CR'!$A:$A,Acompanhamento!$B$2,'Controle de CR'!$C:$C,Acompanhamento!G$2,'Controle de CR'!$G:$G,Acompanhamento!$A$12)</f>
        <v>18</v>
      </c>
      <c r="H12" s="29">
        <f>COUNTIFS('Controle de CR'!$A:$A,Acompanhamento!$B$2,'Controle de CR'!$C:$C,Acompanhamento!H$2,'Controle de CR'!$G:$G,Acompanhamento!$A$12)</f>
        <v>16</v>
      </c>
      <c r="I12" s="29">
        <f>COUNTIFS('Controle de CR'!$A:$A,Acompanhamento!$B$2,'Controle de CR'!$C:$C,Acompanhamento!I$2,'Controle de CR'!$G:$G,Acompanhamento!$A$12)</f>
        <v>11</v>
      </c>
      <c r="J12" s="29">
        <f>COUNTIFS('Controle de CR'!$A:$A,Acompanhamento!$B$2,'Controle de CR'!$C:$C,Acompanhamento!J$2,'Controle de CR'!$G:$G,Acompanhamento!$A$12)</f>
        <v>3</v>
      </c>
      <c r="K12" s="29">
        <f>COUNTIFS('Controle de CR'!$A:$A,Acompanhamento!$B$2,'Controle de CR'!$C:$C,Acompanhamento!K$2,'Controle de CR'!$G:$G,Acompanhamento!$A$12)</f>
        <v>10</v>
      </c>
      <c r="L12" s="29">
        <f>COUNTIFS('Controle de CR'!$A:$A,Acompanhamento!$B$2,'Controle de CR'!$C:$C,Acompanhamento!L$2,'Controle de CR'!$G:$G,Acompanhamento!$A$12)</f>
        <v>7</v>
      </c>
      <c r="M12" s="29">
        <f>COUNTIFS('Controle de CR'!$A:$A,Acompanhamento!$B$2,'Controle de CR'!$C:$C,Acompanhamento!M$2,'Controle de CR'!$G:$G,Acompanhamento!$A$12)</f>
        <v>0</v>
      </c>
      <c r="N12" s="29">
        <f>COUNTIFS('Controle de CR'!$A:$A,Acompanhamento!$B$2,'Controle de CR'!$C:$C,Acompanhamento!N$2,'Controle de CR'!$G:$G,Acompanhamento!$A$12)</f>
        <v>8</v>
      </c>
      <c r="O12" s="29">
        <f>COUNTIFS('Controle de CR'!$A:$A,Acompanhamento!$B$2,'Controle de CR'!$C:$C,Acompanhamento!O$2,'Controle de CR'!$G:$G,Acompanhamento!$A$12)</f>
        <v>0</v>
      </c>
      <c r="P12" s="29">
        <f>COUNTIFS('Controle de CR'!$A:$A,Acompanhamento!$B$2,'Controle de CR'!$C:$C,Acompanhamento!P$2,'Controle de CR'!$G:$G,Acompanhamento!$A$12)</f>
        <v>0</v>
      </c>
      <c r="Q12" s="29">
        <f>COUNTIFS('Controle de CR'!$A:$A,Acompanhamento!$B$2,'Controle de CR'!$C:$C,Acompanhamento!Q$2,'Controle de CR'!$G:$G,Acompanhamento!$A$12)</f>
        <v>7</v>
      </c>
      <c r="R12" s="29">
        <f>COUNTIFS('Controle de CR'!$A:$A,Acompanhamento!$B$2,'Controle de CR'!$C:$C,Acompanhamento!R$2,'Controle de CR'!$G:$G,Acompanhamento!$A$12)</f>
        <v>0</v>
      </c>
      <c r="S12" s="29">
        <f>COUNTIFS('Controle de CR'!$A:$A,Acompanhamento!$B$2,'Controle de CR'!$C:$C,Acompanhamento!S$2,'Controle de CR'!$G:$G,Acompanhamento!$A$12)</f>
        <v>1</v>
      </c>
      <c r="T12" s="29">
        <f>COUNTIFS('Controle de CR'!$A:$A,Acompanhamento!$B$2,'Controle de CR'!$C:$C,Acompanhamento!T$2,'Controle de CR'!$G:$G,Acompanhamento!$A$12)</f>
        <v>8</v>
      </c>
      <c r="U12" s="29">
        <f>COUNTIFS('Controle de CR'!$A:$A,Acompanhamento!$B$2,'Controle de CR'!$C:$C,Acompanhamento!U$2,'Controle de CR'!$G:$G,Acompanhamento!$A$12)</f>
        <v>7</v>
      </c>
      <c r="V12" s="29">
        <f>COUNTIFS('Controle de CR'!$A:$A,Acompanhamento!$B$2,'Controle de CR'!$C:$C,Acompanhamento!V$2,'Controle de CR'!$G:$G,Acompanhamento!$A$12)</f>
        <v>5</v>
      </c>
      <c r="W12" s="29">
        <f>COUNTIFS('Controle de CR'!$A:$A,Acompanhamento!$B$2,'Controle de CR'!$C:$C,Acompanhamento!W$2,'Controle de CR'!$G:$G,Acompanhamento!$A$12)</f>
        <v>0</v>
      </c>
      <c r="X12" s="29">
        <f>COUNTIFS('Controle de CR'!$A:$A,Acompanhamento!$B$2,'Controle de CR'!$C:$C,Acompanhamento!X$2,'Controle de CR'!$G:$G,Acompanhamento!$A$12)</f>
        <v>1</v>
      </c>
      <c r="Y12" s="29">
        <f>COUNTIFS('Controle de CR'!$A:$A,Acompanhamento!$B$2,'Controle de CR'!$C:$C,Acompanhamento!Y$2,'Controle de CR'!$G:$G,Acompanhamento!$A$12)</f>
        <v>0</v>
      </c>
      <c r="Z12" s="29">
        <f>COUNTIFS('Controle de CR'!$A:$A,Acompanhamento!$B$2,'Controle de CR'!$C:$C,Acompanhamento!Z$2,'Controle de CR'!$G:$G,Acompanhamento!$A$12)</f>
        <v>2</v>
      </c>
      <c r="AA12" s="29">
        <f>COUNTIFS('Controle de CR'!$A:$A,Acompanhamento!$B$2,'Controle de CR'!$C:$C,Acompanhamento!AA$2,'Controle de CR'!$G:$G,Acompanhamento!$A$12)</f>
        <v>10</v>
      </c>
      <c r="AB12" s="29">
        <f>COUNTIFS('Controle de CR'!$A:$A,Acompanhamento!$B$2,'Controle de CR'!$C:$C,Acompanhamento!AB$2,'Controle de CR'!$G:$G,Acompanhamento!$A$12)</f>
        <v>7</v>
      </c>
      <c r="AC12" s="29">
        <f>COUNTIFS('Controle de CR'!$A:$A,Acompanhamento!$B$2,'Controle de CR'!$C:$C,Acompanhamento!AC$2,'Controle de CR'!$G:$G,Acompanhamento!$A$12)</f>
        <v>0</v>
      </c>
      <c r="AD12" s="29">
        <f>COUNTIFS('Controle de CR'!$A:$A,Acompanhamento!$B$2,'Controle de CR'!$C:$C,Acompanhamento!AD$2,'Controle de CR'!$G:$G,Acompanhamento!$A$12)</f>
        <v>13</v>
      </c>
      <c r="AE12" s="29">
        <f>COUNTIFS('Controle de CR'!$A:$A,Acompanhamento!$B$2,'Controle de CR'!$C:$C,Acompanhamento!AE$2,'Controle de CR'!$G:$G,Acompanhamento!$A$12)</f>
        <v>1</v>
      </c>
      <c r="AF12" s="29">
        <f>COUNTIFS('Controle de CR'!$A:$A,Acompanhamento!$B$2,'Controle de CR'!$C:$C,Acompanhamento!AF$2,'Controle de CR'!$G:$G,Acompanhamento!$A$12)</f>
        <v>6</v>
      </c>
      <c r="AG12" s="29">
        <f>COUNTIFS('Controle de CR'!$A:$A,Acompanhamento!$B$2,'Controle de CR'!$C:$C,Acompanhamento!AG$2,'Controle de CR'!$G:$G,Acompanhamento!$A$12)</f>
        <v>3</v>
      </c>
      <c r="AH12" s="29">
        <f>COUNTIFS('Controle de CR'!$A:$A,Acompanhamento!$B$2,'Controle de CR'!$C:$C,Acompanhamento!AH$2,'Controle de CR'!$G:$G,Acompanhamento!$A$12)</f>
        <v>0</v>
      </c>
      <c r="AI12" s="29">
        <f>COUNTIFS('Controle de CR'!$A:$A,Acompanhamento!$B$2,'Controle de CR'!$C:$C,Acompanhamento!AI$2,'Controle de CR'!$G:$G,Acompanhamento!$A$12)</f>
        <v>0</v>
      </c>
      <c r="AJ12" s="29">
        <f>COUNTIFS('Controle de CR'!$A:$A,Acompanhamento!$B$2,'Controle de CR'!$C:$C,Acompanhamento!AJ$2,'Controle de CR'!$G:$G,Acompanhamento!$A$12)</f>
        <v>4</v>
      </c>
      <c r="AK12" s="29">
        <f>COUNTIFS('Controle de CR'!$A:$A,Acompanhamento!$B$2,'Controle de CR'!$C:$C,Acompanhamento!AK$2,'Controle de CR'!$G:$G,Acompanhamento!$A$12)</f>
        <v>1</v>
      </c>
      <c r="AL12" s="29">
        <f>COUNTIFS('Controle de CR'!$A:$A,Acompanhamento!$B$2,'Controle de CR'!$C:$C,Acompanhamento!AL$2,'Controle de CR'!$G:$G,Acompanhamento!$A$12)</f>
        <v>0</v>
      </c>
      <c r="AM12" s="29">
        <f>COUNTIFS('Controle de CR'!$A:$A,Acompanhamento!$B$2,'Controle de CR'!$C:$C,Acompanhamento!AM$2,'Controle de CR'!$G:$G,Acompanhamento!$A$12)</f>
        <v>0</v>
      </c>
      <c r="AN12" s="29">
        <f>COUNTIFS('Controle de CR'!$A:$A,Acompanhamento!$B$2,'Controle de CR'!$C:$C,Acompanhamento!AN$2,'Controle de CR'!$G:$G,Acompanhamento!$A$12)</f>
        <v>4</v>
      </c>
      <c r="AO12" s="29">
        <f>COUNTIFS('Controle de CR'!$A:$A,Acompanhamento!$B$2,'Controle de CR'!$C:$C,Acompanhamento!AO$2,'Controle de CR'!$G:$G,Acompanhamento!$A$12)</f>
        <v>2</v>
      </c>
      <c r="AP12" s="29">
        <f>COUNTIFS('Controle de CR'!$A:$A,Acompanhamento!$B$2,'Controle de CR'!$C:$C,Acompanhamento!AP$2,'Controle de CR'!$G:$G,Acompanhamento!$A$12)</f>
        <v>3</v>
      </c>
      <c r="AQ12" s="29">
        <f>COUNTIFS('Controle de CR'!$A:$A,Acompanhamento!$B$2,'Controle de CR'!$C:$C,Acompanhamento!AQ$2,'Controle de CR'!$G:$G,Acompanhamento!$A$12)</f>
        <v>0</v>
      </c>
      <c r="AR12" s="29">
        <f>COUNTIFS('Controle de CR'!$A:$A,Acompanhamento!$B$2,'Controle de CR'!$C:$C,Acompanhamento!AR$2,'Controle de CR'!$G:$G,Acompanhamento!$A$12)</f>
        <v>6</v>
      </c>
      <c r="AS12" s="29">
        <f>COUNTIFS('Controle de CR'!$A:$A,Acompanhamento!$B$2,'Controle de CR'!$C:$C,Acompanhamento!AS$2,'Controle de CR'!$G:$G,Acompanhamento!$A$12)</f>
        <v>0</v>
      </c>
      <c r="AT12" s="29">
        <f>COUNTIFS('Controle de CR'!$A:$A,Acompanhamento!$B$2,'Controle de CR'!$C:$C,Acompanhamento!AT$2,'Controle de CR'!$G:$G,Acompanhamento!$A$12)</f>
        <v>0</v>
      </c>
      <c r="AU12" s="29">
        <f>COUNTIFS('Controle de CR'!$A:$A,Acompanhamento!$B$2,'Controle de CR'!$C:$C,Acompanhamento!AU$2,'Controle de CR'!$G:$G,Acompanhamento!$A$12)</f>
        <v>5</v>
      </c>
      <c r="AV12" s="29">
        <f>COUNTIFS('Controle de CR'!$A:$A,Acompanhamento!$B$2,'Controle de CR'!$C:$C,Acompanhamento!AV$2,'Controle de CR'!$G:$G,Acompanhamento!$A$12)</f>
        <v>1</v>
      </c>
      <c r="AW12" s="29">
        <f>COUNTIFS('Controle de CR'!$A:$A,Acompanhamento!$B$2,'Controle de CR'!$C:$C,Acompanhamento!AW$2,'Controle de CR'!$G:$G,Acompanhamento!$A$12)</f>
        <v>2</v>
      </c>
      <c r="AX12" s="29">
        <f>COUNTIFS('Controle de CR'!$A:$A,Acompanhamento!$B$2,'Controle de CR'!$C:$C,Acompanhamento!AX$2,'Controle de CR'!$G:$G,Acompanhamento!$A$12)</f>
        <v>22</v>
      </c>
      <c r="AY12" s="29">
        <f>COUNTIFS('Controle de CR'!$A:$A,Acompanhamento!$B$2,'Controle de CR'!$C:$C,Acompanhamento!AY$2,'Controle de CR'!$G:$G,Acompanhamento!$A$12)</f>
        <v>1</v>
      </c>
      <c r="AZ12" s="29">
        <f>COUNTIFS('Controle de CR'!$A:$A,Acompanhamento!$B$2,'Controle de CR'!$C:$C,Acompanhamento!AZ$2,'Controle de CR'!$G:$G,Acompanhamento!$A$12)</f>
        <v>1</v>
      </c>
      <c r="BA12" s="29">
        <f>COUNTIFS('Controle de CR'!$A:$A,Acompanhamento!$B$2,'Controle de CR'!$C:$C,Acompanhamento!BA$2,'Controle de CR'!$G:$G,Acompanhamento!$A$12)</f>
        <v>6</v>
      </c>
      <c r="BB12" s="29">
        <f>COUNTIFS('Controle de CR'!$A:$A,Acompanhamento!$B$2,'Controle de CR'!$C:$C,Acompanhamento!BB$2,'Controle de CR'!$G:$G,Acompanhamento!$A$12)</f>
        <v>0</v>
      </c>
      <c r="BC12" s="43">
        <f t="shared" si="1"/>
        <v>223</v>
      </c>
    </row>
    <row r="13" spans="1:58" ht="32.25" customHeight="1" x14ac:dyDescent="0.3">
      <c r="A13" s="29" t="s">
        <v>9</v>
      </c>
      <c r="B13" s="29" t="s">
        <v>2086</v>
      </c>
      <c r="C13" s="29">
        <f>C11-C12</f>
        <v>-4</v>
      </c>
      <c r="D13" s="29">
        <f t="shared" ref="D13:BB13" si="3">D11-D12</f>
        <v>1</v>
      </c>
      <c r="E13" s="29">
        <f t="shared" si="3"/>
        <v>7</v>
      </c>
      <c r="F13" s="29">
        <f t="shared" si="3"/>
        <v>6</v>
      </c>
      <c r="G13" s="29">
        <f t="shared" si="3"/>
        <v>-11</v>
      </c>
      <c r="H13" s="29">
        <f t="shared" si="3"/>
        <v>-2</v>
      </c>
      <c r="I13" s="29">
        <f t="shared" si="3"/>
        <v>4</v>
      </c>
      <c r="J13" s="29">
        <f t="shared" si="3"/>
        <v>-1</v>
      </c>
      <c r="K13" s="29">
        <f t="shared" si="3"/>
        <v>0</v>
      </c>
      <c r="L13" s="29">
        <f t="shared" si="3"/>
        <v>-2</v>
      </c>
      <c r="M13" s="29">
        <f t="shared" si="3"/>
        <v>5</v>
      </c>
      <c r="N13" s="29">
        <f t="shared" si="3"/>
        <v>-6</v>
      </c>
      <c r="O13" s="29">
        <f t="shared" si="3"/>
        <v>0</v>
      </c>
      <c r="P13" s="29">
        <f t="shared" si="3"/>
        <v>6</v>
      </c>
      <c r="Q13" s="29">
        <f t="shared" si="3"/>
        <v>-6</v>
      </c>
      <c r="R13" s="29">
        <f t="shared" si="3"/>
        <v>0</v>
      </c>
      <c r="S13" s="29">
        <f t="shared" si="3"/>
        <v>4</v>
      </c>
      <c r="T13" s="29">
        <f t="shared" si="3"/>
        <v>-4</v>
      </c>
      <c r="U13" s="29">
        <f t="shared" si="3"/>
        <v>1</v>
      </c>
      <c r="V13" s="29">
        <f t="shared" si="3"/>
        <v>-1</v>
      </c>
      <c r="W13" s="29">
        <f t="shared" si="3"/>
        <v>0</v>
      </c>
      <c r="X13" s="29">
        <f t="shared" si="3"/>
        <v>-1</v>
      </c>
      <c r="Y13" s="29">
        <f t="shared" si="3"/>
        <v>2</v>
      </c>
      <c r="Z13" s="29">
        <f t="shared" si="3"/>
        <v>7</v>
      </c>
      <c r="AA13" s="29">
        <f t="shared" si="3"/>
        <v>-3</v>
      </c>
      <c r="AB13" s="29">
        <f t="shared" si="3"/>
        <v>-6</v>
      </c>
      <c r="AC13" s="29">
        <f t="shared" si="3"/>
        <v>2</v>
      </c>
      <c r="AD13" s="29">
        <f t="shared" si="3"/>
        <v>0</v>
      </c>
      <c r="AE13" s="29">
        <f t="shared" si="3"/>
        <v>1</v>
      </c>
      <c r="AF13" s="29">
        <f t="shared" si="3"/>
        <v>-1</v>
      </c>
      <c r="AG13" s="29">
        <f t="shared" si="3"/>
        <v>-2</v>
      </c>
      <c r="AH13" s="29">
        <f t="shared" si="3"/>
        <v>0</v>
      </c>
      <c r="AI13" s="29">
        <f t="shared" si="3"/>
        <v>3</v>
      </c>
      <c r="AJ13" s="29">
        <f t="shared" si="3"/>
        <v>-2</v>
      </c>
      <c r="AK13" s="29">
        <f t="shared" si="3"/>
        <v>2</v>
      </c>
      <c r="AL13" s="29">
        <f t="shared" si="3"/>
        <v>2</v>
      </c>
      <c r="AM13" s="29">
        <f t="shared" si="3"/>
        <v>4</v>
      </c>
      <c r="AN13" s="29">
        <f t="shared" si="3"/>
        <v>-4</v>
      </c>
      <c r="AO13" s="29">
        <f t="shared" si="3"/>
        <v>1</v>
      </c>
      <c r="AP13" s="29">
        <f t="shared" si="3"/>
        <v>-2</v>
      </c>
      <c r="AQ13" s="29">
        <f t="shared" si="3"/>
        <v>3</v>
      </c>
      <c r="AR13" s="29">
        <f t="shared" si="3"/>
        <v>-4</v>
      </c>
      <c r="AS13" s="29">
        <f t="shared" si="3"/>
        <v>1</v>
      </c>
      <c r="AT13" s="29">
        <f t="shared" si="3"/>
        <v>1</v>
      </c>
      <c r="AU13" s="29">
        <f t="shared" si="3"/>
        <v>-3</v>
      </c>
      <c r="AV13" s="29">
        <f t="shared" si="3"/>
        <v>3</v>
      </c>
      <c r="AW13" s="29">
        <f t="shared" si="3"/>
        <v>-2</v>
      </c>
      <c r="AX13" s="29">
        <f t="shared" si="3"/>
        <v>-3</v>
      </c>
      <c r="AY13" s="29">
        <f t="shared" si="3"/>
        <v>4</v>
      </c>
      <c r="AZ13" s="29">
        <f t="shared" si="3"/>
        <v>-1</v>
      </c>
      <c r="BA13" s="29">
        <f t="shared" si="3"/>
        <v>-3</v>
      </c>
      <c r="BB13" s="29">
        <f t="shared" si="3"/>
        <v>0</v>
      </c>
      <c r="BC13" s="29">
        <f t="shared" si="1"/>
        <v>-4</v>
      </c>
    </row>
    <row r="14" spans="1:58" ht="32.25" customHeight="1" x14ac:dyDescent="0.3">
      <c r="A14" s="49"/>
      <c r="B14" s="49"/>
      <c r="C14" s="49"/>
      <c r="D14" s="49"/>
      <c r="E14" s="49"/>
      <c r="F14" s="49"/>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8"/>
    </row>
    <row r="15" spans="1:58" ht="32.25" customHeight="1"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53" t="s">
        <v>2085</v>
      </c>
    </row>
    <row r="16" spans="1:58" x14ac:dyDescent="0.3">
      <c r="B16" s="29" t="s">
        <v>88</v>
      </c>
      <c r="C16" s="29">
        <f>COUNTIFS('Controle de CR'!$A:$A,Acompanhamento!$B$2,'Controle de CR'!$K:$K,Acompanhamento!$B$16,'Controle de CR'!$C:$C,Acompanhamento!C$2)</f>
        <v>5</v>
      </c>
      <c r="D16" s="29">
        <f>COUNTIFS('Controle de CR'!$A:$A,Acompanhamento!$B$2,'Controle de CR'!$K:$K,Acompanhamento!$B$16,'Controle de CR'!$C:$C,Acompanhamento!D$2)</f>
        <v>2</v>
      </c>
      <c r="E16" s="29">
        <f>COUNTIFS('Controle de CR'!$A:$A,Acompanhamento!$B$2,'Controle de CR'!$K:$K,Acompanhamento!$B$16,'Controle de CR'!$C:$C,Acompanhamento!E$2)</f>
        <v>9</v>
      </c>
      <c r="F16" s="29">
        <f>COUNTIFS('Controle de CR'!$A:$A,Acompanhamento!$B$2,'Controle de CR'!$K:$K,Acompanhamento!$B$16,'Controle de CR'!$C:$C,Acompanhamento!F$2)</f>
        <v>15</v>
      </c>
      <c r="G16" s="29">
        <f>COUNTIFS('Controle de CR'!$A:$A,Acompanhamento!$B$2,'Controle de CR'!$K:$K,Acompanhamento!$B$16,'Controle de CR'!$C:$C,Acompanhamento!G$2)</f>
        <v>10</v>
      </c>
      <c r="H16" s="29">
        <f>COUNTIFS('Controle de CR'!$A:$A,Acompanhamento!$B$2,'Controle de CR'!$K:$K,Acompanhamento!$B$16,'Controle de CR'!$C:$C,Acompanhamento!H$2)</f>
        <v>5</v>
      </c>
      <c r="I16" s="29">
        <f>COUNTIFS('Controle de CR'!$A:$A,Acompanhamento!$B$2,'Controle de CR'!$K:$K,Acompanhamento!$B$16,'Controle de CR'!$C:$C,Acompanhamento!I$2)</f>
        <v>0</v>
      </c>
      <c r="J16" s="29">
        <f>COUNTIFS('Controle de CR'!$A:$A,Acompanhamento!$B$2,'Controle de CR'!$K:$K,Acompanhamento!$B$16,'Controle de CR'!$C:$C,Acompanhamento!J$2)</f>
        <v>0</v>
      </c>
      <c r="K16" s="29">
        <f>COUNTIFS('Controle de CR'!$A:$A,Acompanhamento!$B$2,'Controle de CR'!$K:$K,Acompanhamento!$B$16,'Controle de CR'!$C:$C,Acompanhamento!K$2)</f>
        <v>0</v>
      </c>
      <c r="L16" s="29">
        <f>COUNTIFS('Controle de CR'!$A:$A,Acompanhamento!$B$2,'Controle de CR'!$K:$K,Acompanhamento!$B$16,'Controle de CR'!$C:$C,Acompanhamento!L$2)</f>
        <v>0</v>
      </c>
      <c r="M16" s="29">
        <f>COUNTIFS('Controle de CR'!$A:$A,Acompanhamento!$B$2,'Controle de CR'!$K:$K,Acompanhamento!$B$16,'Controle de CR'!$C:$C,Acompanhamento!M$2)</f>
        <v>7</v>
      </c>
      <c r="N16" s="29">
        <f>COUNTIFS('Controle de CR'!$A:$A,Acompanhamento!$B$2,'Controle de CR'!$K:$K,Acompanhamento!$B$16,'Controle de CR'!$C:$C,Acompanhamento!N$2)</f>
        <v>14</v>
      </c>
      <c r="O16" s="29">
        <f>COUNTIFS('Controle de CR'!$A:$A,Acompanhamento!$B$2,'Controle de CR'!$K:$K,Acompanhamento!$B$16,'Controle de CR'!$C:$C,Acompanhamento!O$2)</f>
        <v>7</v>
      </c>
      <c r="P16" s="29">
        <f>COUNTIFS('Controle de CR'!$A:$A,Acompanhamento!$B$2,'Controle de CR'!$K:$K,Acompanhamento!$B$16,'Controle de CR'!$C:$C,Acompanhamento!P$2)</f>
        <v>0</v>
      </c>
      <c r="Q16" s="29">
        <f>COUNTIFS('Controle de CR'!$A:$A,Acompanhamento!$B$2,'Controle de CR'!$K:$K,Acompanhamento!$B$16,'Controle de CR'!$C:$C,Acompanhamento!Q$2)</f>
        <v>9</v>
      </c>
      <c r="R16" s="29">
        <f>COUNTIFS('Controle de CR'!$A:$A,Acompanhamento!$B$2,'Controle de CR'!$K:$K,Acompanhamento!$B$16,'Controle de CR'!$C:$C,Acompanhamento!R$2)</f>
        <v>0</v>
      </c>
      <c r="S16" s="29">
        <f>COUNTIFS('Controle de CR'!$A:$A,Acompanhamento!$B$2,'Controle de CR'!$K:$K,Acompanhamento!$B$16,'Controle de CR'!$C:$C,Acompanhamento!S$2)</f>
        <v>7</v>
      </c>
      <c r="T16" s="29">
        <f>COUNTIFS('Controle de CR'!$A:$A,Acompanhamento!$B$2,'Controle de CR'!$K:$K,Acompanhamento!$B$16,'Controle de CR'!$C:$C,Acompanhamento!T$2)</f>
        <v>8</v>
      </c>
      <c r="U16" s="29">
        <f>COUNTIFS('Controle de CR'!$A:$A,Acompanhamento!$B$2,'Controle de CR'!$K:$K,Acompanhamento!$B$16,'Controle de CR'!$C:$C,Acompanhamento!U$2)</f>
        <v>18</v>
      </c>
      <c r="V16" s="29">
        <f>COUNTIFS('Controle de CR'!$A:$A,Acompanhamento!$B$2,'Controle de CR'!$K:$K,Acompanhamento!$B$16,'Controle de CR'!$C:$C,Acompanhamento!V$2)</f>
        <v>0</v>
      </c>
      <c r="W16" s="29">
        <f>COUNTIFS('Controle de CR'!$A:$A,Acompanhamento!$B$2,'Controle de CR'!$K:$K,Acompanhamento!$B$16,'Controle de CR'!$C:$C,Acompanhamento!W$2)</f>
        <v>0</v>
      </c>
      <c r="X16" s="29">
        <f>COUNTIFS('Controle de CR'!$A:$A,Acompanhamento!$B$2,'Controle de CR'!$K:$K,Acompanhamento!$B$16,'Controle de CR'!$C:$C,Acompanhamento!X$2)</f>
        <v>0</v>
      </c>
      <c r="Y16" s="29">
        <f>COUNTIFS('Controle de CR'!$A:$A,Acompanhamento!$B$2,'Controle de CR'!$K:$K,Acompanhamento!$B$16,'Controle de CR'!$C:$C,Acompanhamento!Y$2)</f>
        <v>0</v>
      </c>
      <c r="Z16" s="29">
        <f>COUNTIFS('Controle de CR'!$A:$A,Acompanhamento!$B$2,'Controle de CR'!$K:$K,Acompanhamento!$B$16,'Controle de CR'!$C:$C,Acompanhamento!Z$2)</f>
        <v>1</v>
      </c>
      <c r="AA16" s="29">
        <f>COUNTIFS('Controle de CR'!$A:$A,Acompanhamento!$B$2,'Controle de CR'!$K:$K,Acompanhamento!$B$16,'Controle de CR'!$C:$C,Acompanhamento!AA$2)</f>
        <v>0</v>
      </c>
      <c r="AB16" s="29">
        <f>COUNTIFS('Controle de CR'!$A:$A,Acompanhamento!$B$2,'Controle de CR'!$K:$K,Acompanhamento!$B$16,'Controle de CR'!$C:$C,Acompanhamento!AB$2)</f>
        <v>0</v>
      </c>
      <c r="AC16" s="29">
        <f>COUNTIFS('Controle de CR'!$A:$A,Acompanhamento!$B$2,'Controle de CR'!$K:$K,Acompanhamento!$B$16,'Controle de CR'!$C:$C,Acompanhamento!AC$2)</f>
        <v>0</v>
      </c>
      <c r="AD16" s="29">
        <f>COUNTIFS('Controle de CR'!$A:$A,Acompanhamento!$B$2,'Controle de CR'!$K:$K,Acompanhamento!$B$16,'Controle de CR'!$C:$C,Acompanhamento!AD$2)</f>
        <v>0</v>
      </c>
      <c r="AE16" s="29">
        <f>COUNTIFS('Controle de CR'!$A:$A,Acompanhamento!$B$2,'Controle de CR'!$K:$K,Acompanhamento!$B$16,'Controle de CR'!$C:$C,Acompanhamento!AE$2)</f>
        <v>9</v>
      </c>
      <c r="AF16" s="29">
        <f>COUNTIFS('Controle de CR'!$A:$A,Acompanhamento!$B$2,'Controle de CR'!$K:$K,Acompanhamento!$B$16,'Controle de CR'!$C:$C,Acompanhamento!AF$2)</f>
        <v>0</v>
      </c>
      <c r="AG16" s="29">
        <f>COUNTIFS('Controle de CR'!$A:$A,Acompanhamento!$B$2,'Controle de CR'!$K:$K,Acompanhamento!$B$16,'Controle de CR'!$C:$C,Acompanhamento!AG$2)</f>
        <v>0</v>
      </c>
      <c r="AH16" s="29">
        <f>COUNTIFS('Controle de CR'!$A:$A,Acompanhamento!$B$2,'Controle de CR'!$K:$K,Acompanhamento!$B$16,'Controle de CR'!$C:$C,Acompanhamento!AH$2)</f>
        <v>0</v>
      </c>
      <c r="AI16" s="29">
        <f>COUNTIFS('Controle de CR'!$A:$A,Acompanhamento!$B$2,'Controle de CR'!$K:$K,Acompanhamento!$B$16,'Controle de CR'!$C:$C,Acompanhamento!AI$2)</f>
        <v>0</v>
      </c>
      <c r="AJ16" s="29">
        <f>COUNTIFS('Controle de CR'!$A:$A,Acompanhamento!$B$2,'Controle de CR'!$K:$K,Acompanhamento!$B$16,'Controle de CR'!$C:$C,Acompanhamento!AJ$2)</f>
        <v>3</v>
      </c>
      <c r="AK16" s="29">
        <f>COUNTIFS('Controle de CR'!$A:$A,Acompanhamento!$B$2,'Controle de CR'!$K:$K,Acompanhamento!$B$16,'Controle de CR'!$C:$C,Acompanhamento!AK$2)</f>
        <v>1</v>
      </c>
      <c r="AL16" s="29">
        <f>COUNTIFS('Controle de CR'!$A:$A,Acompanhamento!$B$2,'Controle de CR'!$K:$K,Acompanhamento!$B$16,'Controle de CR'!$C:$C,Acompanhamento!AL$2)</f>
        <v>4</v>
      </c>
      <c r="AM16" s="29">
        <f>COUNTIFS('Controle de CR'!$A:$A,Acompanhamento!$B$2,'Controle de CR'!$K:$K,Acompanhamento!$B$16,'Controle de CR'!$C:$C,Acompanhamento!AM$2)</f>
        <v>17</v>
      </c>
      <c r="AN16" s="29">
        <f>COUNTIFS('Controle de CR'!$A:$A,Acompanhamento!$B$2,'Controle de CR'!$K:$K,Acompanhamento!$B$16,'Controle de CR'!$C:$C,Acompanhamento!AN$2)</f>
        <v>6</v>
      </c>
      <c r="AO16" s="29">
        <f>COUNTIFS('Controle de CR'!$A:$A,Acompanhamento!$B$2,'Controle de CR'!$K:$K,Acompanhamento!$B$16,'Controle de CR'!$C:$C,Acompanhamento!AO$2)</f>
        <v>4</v>
      </c>
      <c r="AP16" s="29">
        <f>COUNTIFS('Controle de CR'!$A:$A,Acompanhamento!$B$2,'Controle de CR'!$K:$K,Acompanhamento!$B$16,'Controle de CR'!$C:$C,Acompanhamento!AP$2)</f>
        <v>2</v>
      </c>
      <c r="AQ16" s="29">
        <f>COUNTIFS('Controle de CR'!$A:$A,Acompanhamento!$B$2,'Controle de CR'!$K:$K,Acompanhamento!$B$16,'Controle de CR'!$C:$C,Acompanhamento!AQ$2)</f>
        <v>6</v>
      </c>
      <c r="AR16" s="29">
        <f>COUNTIFS('Controle de CR'!$A:$A,Acompanhamento!$B$2,'Controle de CR'!$K:$K,Acompanhamento!$B$16,'Controle de CR'!$C:$C,Acompanhamento!AR$2)</f>
        <v>7</v>
      </c>
      <c r="AS16" s="29">
        <f>COUNTIFS('Controle de CR'!$A:$A,Acompanhamento!$B$2,'Controle de CR'!$K:$K,Acompanhamento!$B$16,'Controle de CR'!$C:$C,Acompanhamento!AS$2)</f>
        <v>11</v>
      </c>
      <c r="AT16" s="29">
        <f>COUNTIFS('Controle de CR'!$A:$A,Acompanhamento!$B$2,'Controle de CR'!$K:$K,Acompanhamento!$B$16,'Controle de CR'!$C:$C,Acompanhamento!AT$2)</f>
        <v>2</v>
      </c>
      <c r="AU16" s="29">
        <f>COUNTIFS('Controle de CR'!$A:$A,Acompanhamento!$B$2,'Controle de CR'!$K:$K,Acompanhamento!$B$16,'Controle de CR'!$C:$C,Acompanhamento!AU$2)</f>
        <v>5</v>
      </c>
      <c r="AV16" s="29">
        <f>COUNTIFS('Controle de CR'!$A:$A,Acompanhamento!$B$2,'Controle de CR'!$K:$K,Acompanhamento!$B$16,'Controle de CR'!$C:$C,Acompanhamento!AV$2)</f>
        <v>1</v>
      </c>
      <c r="AW16" s="29">
        <f>COUNTIFS('Controle de CR'!$A:$A,Acompanhamento!$B$2,'Controle de CR'!$K:$K,Acompanhamento!$B$16,'Controle de CR'!$C:$C,Acompanhamento!AW$2)</f>
        <v>0</v>
      </c>
      <c r="AX16" s="29">
        <f>COUNTIFS('Controle de CR'!$A:$A,Acompanhamento!$B$2,'Controle de CR'!$K:$K,Acompanhamento!$B$16,'Controle de CR'!$C:$C,Acompanhamento!AX$2)</f>
        <v>2</v>
      </c>
      <c r="AY16" s="29">
        <f>COUNTIFS('Controle de CR'!$A:$A,Acompanhamento!$B$2,'Controle de CR'!$K:$K,Acompanhamento!$B$16,'Controle de CR'!$C:$C,Acompanhamento!AY$2)</f>
        <v>6</v>
      </c>
      <c r="AZ16" s="29">
        <f>COUNTIFS('Controle de CR'!$A:$A,Acompanhamento!$B$2,'Controle de CR'!$K:$K,Acompanhamento!$B$16,'Controle de CR'!$C:$C,Acompanhamento!AZ$2)</f>
        <v>3</v>
      </c>
      <c r="BA16" s="29">
        <f>COUNTIFS('Controle de CR'!$A:$A,Acompanhamento!$B$2,'Controle de CR'!$K:$K,Acompanhamento!$B$16,'Controle de CR'!$C:$C,Acompanhamento!BA$2)</f>
        <v>8</v>
      </c>
      <c r="BB16" s="29">
        <f>COUNTIFS('Controle de CR'!$A:$A,Acompanhamento!$B$2,'Controle de CR'!$K:$K,Acompanhamento!$B$16,'Controle de CR'!$C:$C,Acompanhamento!BB$2)</f>
        <v>2</v>
      </c>
      <c r="BC16" s="43">
        <f>SUM(C16:BB16)</f>
        <v>216</v>
      </c>
    </row>
    <row r="17" spans="2:55" x14ac:dyDescent="0.3">
      <c r="B17" s="41" t="s">
        <v>73</v>
      </c>
      <c r="C17" s="29">
        <f>COUNTIFS('Controle de CR'!$A:$A,Acompanhamento!$B$2,'Controle de CR'!$K:$K,Acompanhamento!$B$17,'Controle de CR'!$C:$C,Acompanhamento!C$2)</f>
        <v>5</v>
      </c>
      <c r="D17" s="29">
        <f>COUNTIFS('Controle de CR'!$A:$A,Acompanhamento!$B$2,'Controle de CR'!$K:$K,Acompanhamento!$B$17,'Controle de CR'!$C:$C,Acompanhamento!D$2)</f>
        <v>5</v>
      </c>
      <c r="E17" s="29">
        <f>COUNTIFS('Controle de CR'!$A:$A,Acompanhamento!$B$2,'Controle de CR'!$K:$K,Acompanhamento!$B$17,'Controle de CR'!$C:$C,Acompanhamento!E$2)</f>
        <v>0</v>
      </c>
      <c r="F17" s="29">
        <f>COUNTIFS('Controle de CR'!$A:$A,Acompanhamento!$B$2,'Controle de CR'!$K:$K,Acompanhamento!$B$17,'Controle de CR'!$C:$C,Acompanhamento!F$2)</f>
        <v>2</v>
      </c>
      <c r="G17" s="29">
        <f>COUNTIFS('Controle de CR'!$A:$A,Acompanhamento!$B$2,'Controle de CR'!$K:$K,Acompanhamento!$B$17,'Controle de CR'!$C:$C,Acompanhamento!G$2)</f>
        <v>10</v>
      </c>
      <c r="H17" s="29">
        <f>COUNTIFS('Controle de CR'!$A:$A,Acompanhamento!$B$2,'Controle de CR'!$K:$K,Acompanhamento!$B$17,'Controle de CR'!$C:$C,Acompanhamento!H$2)</f>
        <v>19</v>
      </c>
      <c r="I17" s="29">
        <f>COUNTIFS('Controle de CR'!$A:$A,Acompanhamento!$B$2,'Controle de CR'!$K:$K,Acompanhamento!$B$17,'Controle de CR'!$C:$C,Acompanhamento!I$2)</f>
        <v>12</v>
      </c>
      <c r="J17" s="29">
        <f>COUNTIFS('Controle de CR'!$A:$A,Acompanhamento!$B$2,'Controle de CR'!$K:$K,Acompanhamento!$B$17,'Controle de CR'!$C:$C,Acompanhamento!J$2)</f>
        <v>9</v>
      </c>
      <c r="K17" s="29">
        <f>COUNTIFS('Controle de CR'!$A:$A,Acompanhamento!$B$2,'Controle de CR'!$K:$K,Acompanhamento!$B$17,'Controle de CR'!$C:$C,Acompanhamento!K$2)</f>
        <v>10</v>
      </c>
      <c r="L17" s="29">
        <f>COUNTIFS('Controle de CR'!$A:$A,Acompanhamento!$B$2,'Controle de CR'!$K:$K,Acompanhamento!$B$17,'Controle de CR'!$C:$C,Acompanhamento!L$2)</f>
        <v>9</v>
      </c>
      <c r="M17" s="29">
        <f>COUNTIFS('Controle de CR'!$A:$A,Acompanhamento!$B$2,'Controle de CR'!$K:$K,Acompanhamento!$B$17,'Controle de CR'!$C:$C,Acompanhamento!M$2)</f>
        <v>0</v>
      </c>
      <c r="N17" s="29">
        <f>COUNTIFS('Controle de CR'!$A:$A,Acompanhamento!$B$2,'Controle de CR'!$K:$K,Acompanhamento!$B$17,'Controle de CR'!$C:$C,Acompanhamento!N$2)</f>
        <v>8</v>
      </c>
      <c r="O17" s="29">
        <f>COUNTIFS('Controle de CR'!$A:$A,Acompanhamento!$B$2,'Controle de CR'!$K:$K,Acompanhamento!$B$17,'Controle de CR'!$C:$C,Acompanhamento!O$2)</f>
        <v>1</v>
      </c>
      <c r="P17" s="29">
        <f>COUNTIFS('Controle de CR'!$A:$A,Acompanhamento!$B$2,'Controle de CR'!$K:$K,Acompanhamento!$B$17,'Controle de CR'!$C:$C,Acompanhamento!P$2)</f>
        <v>0</v>
      </c>
      <c r="Q17" s="29">
        <f>COUNTIFS('Controle de CR'!$A:$A,Acompanhamento!$B$2,'Controle de CR'!$K:$K,Acompanhamento!$B$17,'Controle de CR'!$C:$C,Acompanhamento!Q$2)</f>
        <v>7</v>
      </c>
      <c r="R17" s="29">
        <f>COUNTIFS('Controle de CR'!$A:$A,Acompanhamento!$B$2,'Controle de CR'!$K:$K,Acompanhamento!$B$17,'Controle de CR'!$C:$C,Acompanhamento!R$2)</f>
        <v>0</v>
      </c>
      <c r="S17" s="29">
        <f>COUNTIFS('Controle de CR'!$A:$A,Acompanhamento!$B$2,'Controle de CR'!$K:$K,Acompanhamento!$B$17,'Controle de CR'!$C:$C,Acompanhamento!S$2)</f>
        <v>1</v>
      </c>
      <c r="T17" s="29">
        <f>COUNTIFS('Controle de CR'!$A:$A,Acompanhamento!$B$2,'Controle de CR'!$K:$K,Acompanhamento!$B$17,'Controle de CR'!$C:$C,Acompanhamento!T$2)</f>
        <v>11</v>
      </c>
      <c r="U17" s="29">
        <f>COUNTIFS('Controle de CR'!$A:$A,Acompanhamento!$B$2,'Controle de CR'!$K:$K,Acompanhamento!$B$17,'Controle de CR'!$C:$C,Acompanhamento!U$2)</f>
        <v>7</v>
      </c>
      <c r="V17" s="29">
        <f>COUNTIFS('Controle de CR'!$A:$A,Acompanhamento!$B$2,'Controle de CR'!$K:$K,Acompanhamento!$B$17,'Controle de CR'!$C:$C,Acompanhamento!V$2)</f>
        <v>6</v>
      </c>
      <c r="W17" s="29">
        <f>COUNTIFS('Controle de CR'!$A:$A,Acompanhamento!$B$2,'Controle de CR'!$K:$K,Acompanhamento!$B$17,'Controle de CR'!$C:$C,Acompanhamento!W$2)</f>
        <v>10</v>
      </c>
      <c r="X17" s="29">
        <f>COUNTIFS('Controle de CR'!$A:$A,Acompanhamento!$B$2,'Controle de CR'!$K:$K,Acompanhamento!$B$17,'Controle de CR'!$C:$C,Acompanhamento!X$2)</f>
        <v>24</v>
      </c>
      <c r="Y17" s="29">
        <f>COUNTIFS('Controle de CR'!$A:$A,Acompanhamento!$B$2,'Controle de CR'!$K:$K,Acompanhamento!$B$17,'Controle de CR'!$C:$C,Acompanhamento!Y$2)</f>
        <v>4</v>
      </c>
      <c r="Z17" s="29">
        <f>COUNTIFS('Controle de CR'!$A:$A,Acompanhamento!$B$2,'Controle de CR'!$K:$K,Acompanhamento!$B$17,'Controle de CR'!$C:$C,Acompanhamento!Z$2)</f>
        <v>9</v>
      </c>
      <c r="AA17" s="29">
        <f>COUNTIFS('Controle de CR'!$A:$A,Acompanhamento!$B$2,'Controle de CR'!$K:$K,Acompanhamento!$B$17,'Controle de CR'!$C:$C,Acompanhamento!AA$2)</f>
        <v>17</v>
      </c>
      <c r="AB17" s="29">
        <f>COUNTIFS('Controle de CR'!$A:$A,Acompanhamento!$B$2,'Controle de CR'!$K:$K,Acompanhamento!$B$17,'Controle de CR'!$C:$C,Acompanhamento!AB$2)</f>
        <v>19</v>
      </c>
      <c r="AC17" s="29">
        <f>COUNTIFS('Controle de CR'!$A:$A,Acompanhamento!$B$2,'Controle de CR'!$K:$K,Acompanhamento!$B$17,'Controle de CR'!$C:$C,Acompanhamento!AC$2)</f>
        <v>2</v>
      </c>
      <c r="AD17" s="29">
        <f>COUNTIFS('Controle de CR'!$A:$A,Acompanhamento!$B$2,'Controle de CR'!$K:$K,Acompanhamento!$B$17,'Controle de CR'!$C:$C,Acompanhamento!AD$2)</f>
        <v>13</v>
      </c>
      <c r="AE17" s="29">
        <f>COUNTIFS('Controle de CR'!$A:$A,Acompanhamento!$B$2,'Controle de CR'!$K:$K,Acompanhamento!$B$17,'Controle de CR'!$C:$C,Acompanhamento!AE$2)</f>
        <v>1</v>
      </c>
      <c r="AF17" s="29">
        <f>COUNTIFS('Controle de CR'!$A:$A,Acompanhamento!$B$2,'Controle de CR'!$K:$K,Acompanhamento!$B$17,'Controle de CR'!$C:$C,Acompanhamento!AF$2)</f>
        <v>22</v>
      </c>
      <c r="AG17" s="29">
        <f>COUNTIFS('Controle de CR'!$A:$A,Acompanhamento!$B$2,'Controle de CR'!$K:$K,Acompanhamento!$B$17,'Controle de CR'!$C:$C,Acompanhamento!AG$2)</f>
        <v>8</v>
      </c>
      <c r="AH17" s="29">
        <f>COUNTIFS('Controle de CR'!$A:$A,Acompanhamento!$B$2,'Controle de CR'!$K:$K,Acompanhamento!$B$17,'Controle de CR'!$C:$C,Acompanhamento!AH$2)</f>
        <v>16</v>
      </c>
      <c r="AI17" s="29">
        <f>COUNTIFS('Controle de CR'!$A:$A,Acompanhamento!$B$2,'Controle de CR'!$K:$K,Acompanhamento!$B$17,'Controle de CR'!$C:$C,Acompanhamento!AI$2)</f>
        <v>0</v>
      </c>
      <c r="AJ17" s="29">
        <f>COUNTIFS('Controle de CR'!$A:$A,Acompanhamento!$B$2,'Controle de CR'!$K:$K,Acompanhamento!$B$17,'Controle de CR'!$C:$C,Acompanhamento!AJ$2)</f>
        <v>4</v>
      </c>
      <c r="AK17" s="29">
        <f>COUNTIFS('Controle de CR'!$A:$A,Acompanhamento!$B$2,'Controle de CR'!$K:$K,Acompanhamento!$B$17,'Controle de CR'!$C:$C,Acompanhamento!AK$2)</f>
        <v>1</v>
      </c>
      <c r="AL17" s="29">
        <f>COUNTIFS('Controle de CR'!$A:$A,Acompanhamento!$B$2,'Controle de CR'!$K:$K,Acompanhamento!$B$17,'Controle de CR'!$C:$C,Acompanhamento!AL$2)</f>
        <v>0</v>
      </c>
      <c r="AM17" s="29">
        <f>COUNTIFS('Controle de CR'!$A:$A,Acompanhamento!$B$2,'Controle de CR'!$K:$K,Acompanhamento!$B$17,'Controle de CR'!$C:$C,Acompanhamento!AM$2)</f>
        <v>0</v>
      </c>
      <c r="AN17" s="29">
        <f>COUNTIFS('Controle de CR'!$A:$A,Acompanhamento!$B$2,'Controle de CR'!$K:$K,Acompanhamento!$B$17,'Controle de CR'!$C:$C,Acompanhamento!AN$2)</f>
        <v>4</v>
      </c>
      <c r="AO17" s="29">
        <f>COUNTIFS('Controle de CR'!$A:$A,Acompanhamento!$B$2,'Controle de CR'!$K:$K,Acompanhamento!$B$17,'Controle de CR'!$C:$C,Acompanhamento!AO$2)</f>
        <v>2</v>
      </c>
      <c r="AP17" s="29">
        <f>COUNTIFS('Controle de CR'!$A:$A,Acompanhamento!$B$2,'Controle de CR'!$K:$K,Acompanhamento!$B$17,'Controle de CR'!$C:$C,Acompanhamento!AP$2)</f>
        <v>3</v>
      </c>
      <c r="AQ17" s="29">
        <f>COUNTIFS('Controle de CR'!$A:$A,Acompanhamento!$B$2,'Controle de CR'!$K:$K,Acompanhamento!$B$17,'Controle de CR'!$C:$C,Acompanhamento!AQ$2)</f>
        <v>0</v>
      </c>
      <c r="AR17" s="29">
        <f>COUNTIFS('Controle de CR'!$A:$A,Acompanhamento!$B$2,'Controle de CR'!$K:$K,Acompanhamento!$B$17,'Controle de CR'!$C:$C,Acompanhamento!AR$2)</f>
        <v>6</v>
      </c>
      <c r="AS17" s="29">
        <f>COUNTIFS('Controle de CR'!$A:$A,Acompanhamento!$B$2,'Controle de CR'!$K:$K,Acompanhamento!$B$17,'Controle de CR'!$C:$C,Acompanhamento!AS$2)</f>
        <v>0</v>
      </c>
      <c r="AT17" s="29">
        <f>COUNTIFS('Controle de CR'!$A:$A,Acompanhamento!$B$2,'Controle de CR'!$K:$K,Acompanhamento!$B$17,'Controle de CR'!$C:$C,Acompanhamento!AT$2)</f>
        <v>0</v>
      </c>
      <c r="AU17" s="29">
        <f>COUNTIFS('Controle de CR'!$A:$A,Acompanhamento!$B$2,'Controle de CR'!$K:$K,Acompanhamento!$B$17,'Controle de CR'!$C:$C,Acompanhamento!AU$2)</f>
        <v>5</v>
      </c>
      <c r="AV17" s="29">
        <f>COUNTIFS('Controle de CR'!$A:$A,Acompanhamento!$B$2,'Controle de CR'!$K:$K,Acompanhamento!$B$17,'Controle de CR'!$C:$C,Acompanhamento!AV$2)</f>
        <v>1</v>
      </c>
      <c r="AW17" s="29">
        <f>COUNTIFS('Controle de CR'!$A:$A,Acompanhamento!$B$2,'Controle de CR'!$K:$K,Acompanhamento!$B$17,'Controle de CR'!$C:$C,Acompanhamento!AW$2)</f>
        <v>2</v>
      </c>
      <c r="AX17" s="29">
        <f>COUNTIFS('Controle de CR'!$A:$A,Acompanhamento!$B$2,'Controle de CR'!$K:$K,Acompanhamento!$B$17,'Controle de CR'!$C:$C,Acompanhamento!AX$2)</f>
        <v>27</v>
      </c>
      <c r="AY17" s="29">
        <f>COUNTIFS('Controle de CR'!$A:$A,Acompanhamento!$B$2,'Controle de CR'!$K:$K,Acompanhamento!$B$17,'Controle de CR'!$C:$C,Acompanhamento!AY$2)</f>
        <v>4</v>
      </c>
      <c r="AZ17" s="29">
        <f>COUNTIFS('Controle de CR'!$A:$A,Acompanhamento!$B$2,'Controle de CR'!$K:$K,Acompanhamento!$B$17,'Controle de CR'!$C:$C,Acompanhamento!AZ$2)</f>
        <v>1</v>
      </c>
      <c r="BA17" s="29">
        <f>COUNTIFS('Controle de CR'!$A:$A,Acompanhamento!$B$2,'Controle de CR'!$K:$K,Acompanhamento!$B$17,'Controle de CR'!$C:$C,Acompanhamento!BA$2)</f>
        <v>6</v>
      </c>
      <c r="BB17" s="29">
        <f>COUNTIFS('Controle de CR'!$A:$A,Acompanhamento!$B$2,'Controle de CR'!$K:$K,Acompanhamento!$B$17,'Controle de CR'!$C:$C,Acompanhamento!BB$2)</f>
        <v>0</v>
      </c>
      <c r="BC17" s="43">
        <f>SUM(C17:BB17)</f>
        <v>333</v>
      </c>
    </row>
    <row r="18" spans="2:55" x14ac:dyDescent="0.3">
      <c r="B18" s="21"/>
    </row>
    <row r="19" spans="2:55" x14ac:dyDescent="0.3">
      <c r="B19" s="21"/>
    </row>
  </sheetData>
  <phoneticPr fontId="4" type="noConversion"/>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71A0-B84A-4879-AD5C-4AC0E38B5732}">
  <sheetPr codeName="Planilha1" filterMode="1">
    <pageSetUpPr fitToPage="1"/>
  </sheetPr>
  <dimension ref="A1:V1680"/>
  <sheetViews>
    <sheetView tabSelected="1" topLeftCell="E1" zoomScale="70" zoomScaleNormal="70" workbookViewId="0">
      <pane ySplit="1" topLeftCell="A1678" activePane="bottomLeft" state="frozen"/>
      <selection pane="bottomLeft" activeCell="N1678" sqref="N1678"/>
    </sheetView>
  </sheetViews>
  <sheetFormatPr defaultColWidth="8.77734375" defaultRowHeight="14.4" x14ac:dyDescent="0.3"/>
  <cols>
    <col min="1" max="1" width="8.77734375" style="1"/>
    <col min="2" max="2" width="10.5546875" style="1" bestFit="1" customWidth="1"/>
    <col min="3" max="3" width="12.77734375" style="1" bestFit="1" customWidth="1"/>
    <col min="4" max="4" width="30" style="1" customWidth="1"/>
    <col min="5" max="5" width="19.44140625" style="38" customWidth="1"/>
    <col min="6" max="6" width="65.33203125" style="19" customWidth="1"/>
    <col min="7" max="7" width="9.88671875" style="1" bestFit="1" customWidth="1"/>
    <col min="8" max="8" width="24.5546875" style="1" bestFit="1" customWidth="1"/>
    <col min="9" max="9" width="14.21875" style="1" bestFit="1" customWidth="1"/>
    <col min="10" max="10" width="8.44140625" style="1" customWidth="1"/>
    <col min="11" max="11" width="16.21875" style="1" customWidth="1"/>
    <col min="12" max="12" width="16.44140625" style="1" bestFit="1" customWidth="1"/>
    <col min="13" max="13" width="11.77734375" style="1" bestFit="1" customWidth="1"/>
    <col min="14" max="14" width="92.5546875" style="19" customWidth="1"/>
    <col min="15" max="15" width="63" style="21" customWidth="1"/>
    <col min="16" max="16384" width="8.77734375" style="1"/>
  </cols>
  <sheetData>
    <row r="1" spans="1:15" ht="29.4" thickBot="1" x14ac:dyDescent="0.35">
      <c r="A1" s="1" t="s">
        <v>2084</v>
      </c>
      <c r="B1" s="21" t="s">
        <v>2081</v>
      </c>
      <c r="C1" s="21" t="s">
        <v>2080</v>
      </c>
      <c r="D1" s="14" t="s">
        <v>25</v>
      </c>
      <c r="E1" s="266" t="s">
        <v>0</v>
      </c>
      <c r="F1" s="283" t="s">
        <v>56</v>
      </c>
      <c r="G1" s="15" t="s">
        <v>8</v>
      </c>
      <c r="H1" s="16" t="s">
        <v>165</v>
      </c>
      <c r="I1" s="15" t="s">
        <v>1927</v>
      </c>
      <c r="J1" s="15" t="s">
        <v>167</v>
      </c>
      <c r="K1" s="15" t="s">
        <v>72</v>
      </c>
      <c r="L1" s="15" t="s">
        <v>166</v>
      </c>
      <c r="M1" s="15" t="s">
        <v>167</v>
      </c>
      <c r="N1" s="82" t="s">
        <v>168</v>
      </c>
      <c r="O1" s="18" t="s">
        <v>169</v>
      </c>
    </row>
    <row r="2" spans="1:15" customFormat="1" ht="30.6" hidden="1" x14ac:dyDescent="0.3">
      <c r="A2" s="47">
        <f>YEAR(L2)</f>
        <v>1900</v>
      </c>
      <c r="B2" s="46">
        <f>WEEKNUM(I2)</f>
        <v>37</v>
      </c>
      <c r="C2" s="46">
        <f>WEEKNUM(L2)</f>
        <v>0</v>
      </c>
      <c r="D2" s="1"/>
      <c r="E2" s="38" t="s">
        <v>4109</v>
      </c>
      <c r="F2" s="19"/>
      <c r="G2" s="1"/>
      <c r="H2" s="1" t="s">
        <v>3</v>
      </c>
      <c r="I2" s="2">
        <v>44447</v>
      </c>
      <c r="J2" s="3">
        <v>0.38472222222222219</v>
      </c>
      <c r="K2" s="3" t="s">
        <v>73</v>
      </c>
      <c r="L2" s="3"/>
      <c r="M2" s="3"/>
      <c r="N2" s="19" t="s">
        <v>105</v>
      </c>
      <c r="O2" s="21"/>
    </row>
    <row r="3" spans="1:15" customFormat="1" hidden="1" x14ac:dyDescent="0.3">
      <c r="A3" s="47">
        <f t="shared" ref="A3:A66" si="0">YEAR(L3)</f>
        <v>1900</v>
      </c>
      <c r="B3" s="46">
        <f t="shared" ref="B3:B66" si="1">WEEKNUM(I3)</f>
        <v>37</v>
      </c>
      <c r="C3" s="46">
        <f t="shared" ref="C3:C66" si="2">WEEKNUM(L3)</f>
        <v>0</v>
      </c>
      <c r="D3" s="1"/>
      <c r="E3" s="300" t="s">
        <v>2939</v>
      </c>
      <c r="F3" s="19" t="s">
        <v>1</v>
      </c>
      <c r="G3" s="1"/>
      <c r="H3" s="1" t="s">
        <v>4</v>
      </c>
      <c r="I3" s="2">
        <v>44447</v>
      </c>
      <c r="J3" s="3">
        <v>0.24374999999999999</v>
      </c>
      <c r="K3" s="3" t="s">
        <v>73</v>
      </c>
      <c r="L3" s="3"/>
      <c r="M3" s="3"/>
      <c r="N3" s="19"/>
      <c r="O3" s="21"/>
    </row>
    <row r="4" spans="1:15" customFormat="1" hidden="1" x14ac:dyDescent="0.3">
      <c r="A4" s="47">
        <f t="shared" si="0"/>
        <v>1900</v>
      </c>
      <c r="B4" s="46">
        <f t="shared" si="1"/>
        <v>35</v>
      </c>
      <c r="C4" s="46">
        <f t="shared" si="2"/>
        <v>0</v>
      </c>
      <c r="D4" s="1"/>
      <c r="E4" s="1" t="s">
        <v>2</v>
      </c>
      <c r="F4" s="19"/>
      <c r="G4" s="1" t="s">
        <v>9</v>
      </c>
      <c r="H4" s="1" t="s">
        <v>3</v>
      </c>
      <c r="I4" s="2">
        <v>44435</v>
      </c>
      <c r="J4" s="3">
        <v>0.6743055555555556</v>
      </c>
      <c r="K4" s="3" t="s">
        <v>73</v>
      </c>
      <c r="L4" s="3"/>
      <c r="M4" s="3"/>
      <c r="N4" s="19" t="s">
        <v>27</v>
      </c>
      <c r="O4" s="21"/>
    </row>
    <row r="5" spans="1:15" customFormat="1" hidden="1" x14ac:dyDescent="0.3">
      <c r="A5" s="47">
        <f t="shared" si="0"/>
        <v>1900</v>
      </c>
      <c r="B5" s="46">
        <f t="shared" si="1"/>
        <v>35</v>
      </c>
      <c r="C5" s="46">
        <f t="shared" si="2"/>
        <v>0</v>
      </c>
      <c r="D5" s="1"/>
      <c r="E5" s="1" t="s">
        <v>5</v>
      </c>
      <c r="F5" s="19"/>
      <c r="G5" s="1" t="s">
        <v>9</v>
      </c>
      <c r="H5" s="1" t="s">
        <v>3</v>
      </c>
      <c r="I5" s="2">
        <v>44435</v>
      </c>
      <c r="J5" s="3">
        <v>0.67152777777777783</v>
      </c>
      <c r="K5" s="3" t="s">
        <v>73</v>
      </c>
      <c r="L5" s="3"/>
      <c r="M5" s="3"/>
      <c r="N5" s="19" t="s">
        <v>27</v>
      </c>
      <c r="O5" s="21"/>
    </row>
    <row r="6" spans="1:15" customFormat="1" hidden="1" x14ac:dyDescent="0.3">
      <c r="A6" s="47">
        <f t="shared" si="0"/>
        <v>1900</v>
      </c>
      <c r="B6" s="46">
        <f t="shared" si="1"/>
        <v>35</v>
      </c>
      <c r="C6" s="46">
        <f t="shared" si="2"/>
        <v>0</v>
      </c>
      <c r="D6" s="1"/>
      <c r="E6" s="1" t="s">
        <v>6</v>
      </c>
      <c r="F6" s="19"/>
      <c r="G6" s="1" t="s">
        <v>9</v>
      </c>
      <c r="H6" s="1" t="s">
        <v>3</v>
      </c>
      <c r="I6" s="2">
        <v>44435</v>
      </c>
      <c r="J6" s="3">
        <v>0.67638888888888893</v>
      </c>
      <c r="K6" s="3" t="s">
        <v>73</v>
      </c>
      <c r="L6" s="3"/>
      <c r="M6" s="3"/>
      <c r="N6" s="19" t="s">
        <v>27</v>
      </c>
      <c r="O6" s="21"/>
    </row>
    <row r="7" spans="1:15" customFormat="1" hidden="1" x14ac:dyDescent="0.3">
      <c r="A7" s="47">
        <f t="shared" si="0"/>
        <v>1900</v>
      </c>
      <c r="B7" s="46">
        <f t="shared" si="1"/>
        <v>35</v>
      </c>
      <c r="C7" s="46">
        <f t="shared" si="2"/>
        <v>0</v>
      </c>
      <c r="D7" s="1"/>
      <c r="E7" s="1" t="s">
        <v>7</v>
      </c>
      <c r="F7" s="19"/>
      <c r="G7" s="1" t="s">
        <v>10</v>
      </c>
      <c r="H7" s="1" t="s">
        <v>3</v>
      </c>
      <c r="I7" s="2">
        <v>44435</v>
      </c>
      <c r="J7" s="3">
        <v>0.68680555555555556</v>
      </c>
      <c r="K7" s="3" t="s">
        <v>73</v>
      </c>
      <c r="L7" s="3"/>
      <c r="M7" s="3"/>
      <c r="N7" s="19" t="s">
        <v>27</v>
      </c>
      <c r="O7" s="21"/>
    </row>
    <row r="8" spans="1:15" customFormat="1" hidden="1" x14ac:dyDescent="0.3">
      <c r="A8" s="47">
        <f t="shared" si="0"/>
        <v>1900</v>
      </c>
      <c r="B8" s="46">
        <f t="shared" si="1"/>
        <v>35</v>
      </c>
      <c r="C8" s="46">
        <f t="shared" si="2"/>
        <v>0</v>
      </c>
      <c r="D8" s="1"/>
      <c r="E8" s="1" t="s">
        <v>11</v>
      </c>
      <c r="F8" s="19"/>
      <c r="G8" s="1" t="s">
        <v>10</v>
      </c>
      <c r="H8" s="1" t="s">
        <v>3</v>
      </c>
      <c r="I8" s="2">
        <v>44435</v>
      </c>
      <c r="J8" s="3">
        <v>0.69027777777777777</v>
      </c>
      <c r="K8" s="3" t="s">
        <v>73</v>
      </c>
      <c r="L8" s="3"/>
      <c r="M8" s="3"/>
      <c r="N8" s="19" t="s">
        <v>27</v>
      </c>
      <c r="O8" s="21"/>
    </row>
    <row r="9" spans="1:15" customFormat="1" hidden="1" x14ac:dyDescent="0.3">
      <c r="A9" s="47">
        <f t="shared" si="0"/>
        <v>1900</v>
      </c>
      <c r="B9" s="46">
        <f t="shared" si="1"/>
        <v>36</v>
      </c>
      <c r="C9" s="46">
        <f t="shared" si="2"/>
        <v>0</v>
      </c>
      <c r="D9" s="1"/>
      <c r="E9" s="1" t="s">
        <v>12</v>
      </c>
      <c r="F9" s="19"/>
      <c r="G9" s="1" t="s">
        <v>9</v>
      </c>
      <c r="H9" s="1" t="s">
        <v>3</v>
      </c>
      <c r="I9" s="2">
        <v>44439</v>
      </c>
      <c r="J9" s="3">
        <v>0.37777777777777777</v>
      </c>
      <c r="K9" s="3" t="s">
        <v>73</v>
      </c>
      <c r="L9" s="3"/>
      <c r="M9" s="3"/>
      <c r="N9" s="19" t="s">
        <v>27</v>
      </c>
      <c r="O9" s="21"/>
    </row>
    <row r="10" spans="1:15" customFormat="1" hidden="1" x14ac:dyDescent="0.3">
      <c r="A10" s="47">
        <f t="shared" si="0"/>
        <v>1900</v>
      </c>
      <c r="B10" s="46">
        <f t="shared" si="1"/>
        <v>36</v>
      </c>
      <c r="C10" s="46">
        <f t="shared" si="2"/>
        <v>0</v>
      </c>
      <c r="D10" s="1"/>
      <c r="E10" s="1" t="s">
        <v>14</v>
      </c>
      <c r="F10" s="19"/>
      <c r="G10" s="1" t="s">
        <v>13</v>
      </c>
      <c r="H10" s="1" t="s">
        <v>3</v>
      </c>
      <c r="I10" s="2">
        <v>44439</v>
      </c>
      <c r="J10" s="3">
        <v>0.37916666666666665</v>
      </c>
      <c r="K10" s="3" t="s">
        <v>73</v>
      </c>
      <c r="L10" s="3"/>
      <c r="M10" s="3"/>
      <c r="N10" s="19" t="s">
        <v>27</v>
      </c>
      <c r="O10" s="21"/>
    </row>
    <row r="11" spans="1:15" customFormat="1" ht="45" hidden="1" customHeight="1" x14ac:dyDescent="0.3">
      <c r="A11" s="47">
        <f t="shared" si="0"/>
        <v>1900</v>
      </c>
      <c r="B11" s="46">
        <f t="shared" si="1"/>
        <v>36</v>
      </c>
      <c r="C11" s="46">
        <f t="shared" si="2"/>
        <v>0</v>
      </c>
      <c r="D11" s="1"/>
      <c r="E11" s="4" t="s">
        <v>15</v>
      </c>
      <c r="F11" s="69"/>
      <c r="G11" s="4" t="s">
        <v>17</v>
      </c>
      <c r="H11" s="4" t="s">
        <v>3</v>
      </c>
      <c r="I11" s="5">
        <v>44439</v>
      </c>
      <c r="J11" s="6">
        <v>0.37708333333333338</v>
      </c>
      <c r="K11" s="3" t="s">
        <v>73</v>
      </c>
      <c r="L11" s="3"/>
      <c r="M11" s="3"/>
      <c r="N11" s="69" t="s">
        <v>16</v>
      </c>
      <c r="O11" s="21" t="s">
        <v>52</v>
      </c>
    </row>
    <row r="12" spans="1:15" customFormat="1" hidden="1" x14ac:dyDescent="0.3">
      <c r="A12" s="47">
        <f t="shared" si="0"/>
        <v>1900</v>
      </c>
      <c r="B12" s="46">
        <f t="shared" si="1"/>
        <v>36</v>
      </c>
      <c r="C12" s="46">
        <f t="shared" si="2"/>
        <v>0</v>
      </c>
      <c r="D12" s="1"/>
      <c r="E12" s="1" t="s">
        <v>18</v>
      </c>
      <c r="F12" s="19"/>
      <c r="G12" s="1" t="s">
        <v>10</v>
      </c>
      <c r="H12" s="1" t="s">
        <v>3</v>
      </c>
      <c r="I12" s="2">
        <v>44439</v>
      </c>
      <c r="J12" s="3">
        <v>0.38055555555555554</v>
      </c>
      <c r="K12" s="3" t="s">
        <v>73</v>
      </c>
      <c r="L12" s="3"/>
      <c r="M12" s="3"/>
      <c r="N12" s="19" t="s">
        <v>27</v>
      </c>
      <c r="O12" s="21"/>
    </row>
    <row r="13" spans="1:15" customFormat="1" hidden="1" x14ac:dyDescent="0.3">
      <c r="A13" s="47">
        <f t="shared" si="0"/>
        <v>1900</v>
      </c>
      <c r="B13" s="46">
        <f t="shared" si="1"/>
        <v>36</v>
      </c>
      <c r="C13" s="46">
        <f t="shared" si="2"/>
        <v>0</v>
      </c>
      <c r="D13" s="1"/>
      <c r="E13" s="1" t="s">
        <v>19</v>
      </c>
      <c r="F13" s="19"/>
      <c r="G13" s="1"/>
      <c r="H13" s="1" t="s">
        <v>3</v>
      </c>
      <c r="I13" s="2">
        <v>44439</v>
      </c>
      <c r="J13" s="3">
        <v>0.38125000000000003</v>
      </c>
      <c r="K13" s="3" t="s">
        <v>73</v>
      </c>
      <c r="L13" s="3"/>
      <c r="M13" s="3"/>
      <c r="N13" s="19" t="s">
        <v>20</v>
      </c>
      <c r="O13" s="21"/>
    </row>
    <row r="14" spans="1:15" customFormat="1" hidden="1" x14ac:dyDescent="0.3">
      <c r="A14" s="47">
        <f t="shared" si="0"/>
        <v>1900</v>
      </c>
      <c r="B14" s="46">
        <f t="shared" si="1"/>
        <v>36</v>
      </c>
      <c r="C14" s="46">
        <f t="shared" si="2"/>
        <v>0</v>
      </c>
      <c r="D14" s="1"/>
      <c r="E14" s="1" t="s">
        <v>19</v>
      </c>
      <c r="F14" s="19"/>
      <c r="G14" s="1"/>
      <c r="H14" s="1" t="s">
        <v>3</v>
      </c>
      <c r="I14" s="2">
        <v>44439</v>
      </c>
      <c r="J14" s="3">
        <v>0.38750000000000001</v>
      </c>
      <c r="K14" s="3" t="s">
        <v>73</v>
      </c>
      <c r="L14" s="3"/>
      <c r="M14" s="3"/>
      <c r="N14" s="19" t="s">
        <v>20</v>
      </c>
      <c r="O14" s="21"/>
    </row>
    <row r="15" spans="1:15" customFormat="1" ht="28.8" hidden="1" x14ac:dyDescent="0.3">
      <c r="A15" s="47">
        <f t="shared" si="0"/>
        <v>1900</v>
      </c>
      <c r="B15" s="46">
        <f t="shared" si="1"/>
        <v>36</v>
      </c>
      <c r="C15" s="46">
        <f t="shared" si="2"/>
        <v>0</v>
      </c>
      <c r="D15" s="1"/>
      <c r="E15" s="4" t="s">
        <v>21</v>
      </c>
      <c r="F15" s="69"/>
      <c r="G15" s="4" t="s">
        <v>17</v>
      </c>
      <c r="H15" s="4" t="s">
        <v>3</v>
      </c>
      <c r="I15" s="5">
        <v>44439</v>
      </c>
      <c r="J15" s="6">
        <v>0.3979166666666667</v>
      </c>
      <c r="K15" s="3" t="s">
        <v>73</v>
      </c>
      <c r="L15" s="3"/>
      <c r="M15" s="3"/>
      <c r="N15" s="69" t="s">
        <v>22</v>
      </c>
      <c r="O15" s="21" t="s">
        <v>53</v>
      </c>
    </row>
    <row r="16" spans="1:15" customFormat="1" hidden="1" x14ac:dyDescent="0.3">
      <c r="A16" s="47">
        <f t="shared" si="0"/>
        <v>1900</v>
      </c>
      <c r="B16" s="46">
        <f t="shared" si="1"/>
        <v>36</v>
      </c>
      <c r="C16" s="46">
        <f t="shared" si="2"/>
        <v>0</v>
      </c>
      <c r="D16" s="1" t="s">
        <v>23</v>
      </c>
      <c r="E16" s="1" t="s">
        <v>24</v>
      </c>
      <c r="F16" s="19"/>
      <c r="G16" s="1" t="s">
        <v>9</v>
      </c>
      <c r="H16" s="1" t="s">
        <v>26</v>
      </c>
      <c r="I16" s="2">
        <v>44439</v>
      </c>
      <c r="J16" s="3">
        <v>0.83680555555555547</v>
      </c>
      <c r="K16" s="3" t="s">
        <v>73</v>
      </c>
      <c r="L16" s="3"/>
      <c r="M16" s="3"/>
      <c r="N16" s="19" t="s">
        <v>27</v>
      </c>
      <c r="O16" s="21"/>
    </row>
    <row r="17" spans="1:15" customFormat="1" hidden="1" x14ac:dyDescent="0.3">
      <c r="A17" s="47">
        <f t="shared" si="0"/>
        <v>1900</v>
      </c>
      <c r="B17" s="46">
        <f t="shared" si="1"/>
        <v>36</v>
      </c>
      <c r="C17" s="46">
        <f t="shared" si="2"/>
        <v>0</v>
      </c>
      <c r="D17" s="1" t="s">
        <v>29</v>
      </c>
      <c r="E17" s="1" t="s">
        <v>28</v>
      </c>
      <c r="F17" s="19"/>
      <c r="G17" s="1" t="s">
        <v>9</v>
      </c>
      <c r="H17" s="1" t="s">
        <v>26</v>
      </c>
      <c r="I17" s="2">
        <v>44439</v>
      </c>
      <c r="J17" s="3">
        <v>0.83680555555555547</v>
      </c>
      <c r="K17" s="3" t="s">
        <v>73</v>
      </c>
      <c r="L17" s="3"/>
      <c r="M17" s="3"/>
      <c r="N17" s="19" t="s">
        <v>27</v>
      </c>
      <c r="O17" s="21"/>
    </row>
    <row r="18" spans="1:15" customFormat="1" hidden="1" x14ac:dyDescent="0.3">
      <c r="A18" s="47">
        <f t="shared" si="0"/>
        <v>1900</v>
      </c>
      <c r="B18" s="46">
        <f t="shared" si="1"/>
        <v>36</v>
      </c>
      <c r="C18" s="46">
        <f t="shared" si="2"/>
        <v>0</v>
      </c>
      <c r="D18" s="1" t="s">
        <v>30</v>
      </c>
      <c r="E18" s="1" t="s">
        <v>31</v>
      </c>
      <c r="F18" s="19"/>
      <c r="G18" s="1" t="s">
        <v>9</v>
      </c>
      <c r="H18" s="1" t="s">
        <v>26</v>
      </c>
      <c r="I18" s="2">
        <v>44439</v>
      </c>
      <c r="J18" s="3">
        <v>0.83680555555555547</v>
      </c>
      <c r="K18" s="3" t="s">
        <v>73</v>
      </c>
      <c r="L18" s="3"/>
      <c r="M18" s="3"/>
      <c r="N18" s="19" t="s">
        <v>27</v>
      </c>
      <c r="O18" s="21"/>
    </row>
    <row r="19" spans="1:15" customFormat="1" hidden="1" x14ac:dyDescent="0.3">
      <c r="A19" s="47">
        <f t="shared" si="0"/>
        <v>1900</v>
      </c>
      <c r="B19" s="46">
        <f t="shared" si="1"/>
        <v>36</v>
      </c>
      <c r="C19" s="46">
        <f t="shared" si="2"/>
        <v>0</v>
      </c>
      <c r="D19" s="7" t="s">
        <v>32</v>
      </c>
      <c r="E19" s="7" t="s">
        <v>33</v>
      </c>
      <c r="F19" s="72"/>
      <c r="G19" s="7" t="s">
        <v>9</v>
      </c>
      <c r="H19" s="7" t="s">
        <v>26</v>
      </c>
      <c r="I19" s="8">
        <v>44439</v>
      </c>
      <c r="J19" s="9">
        <v>0.83680555555555547</v>
      </c>
      <c r="K19" s="3" t="s">
        <v>73</v>
      </c>
      <c r="L19" s="3"/>
      <c r="M19" s="3"/>
      <c r="N19" s="72" t="s">
        <v>71</v>
      </c>
      <c r="O19" s="22" t="s">
        <v>54</v>
      </c>
    </row>
    <row r="20" spans="1:15" customFormat="1" hidden="1" x14ac:dyDescent="0.3">
      <c r="A20" s="47">
        <f t="shared" si="0"/>
        <v>1900</v>
      </c>
      <c r="B20" s="46">
        <f t="shared" si="1"/>
        <v>36</v>
      </c>
      <c r="C20" s="46">
        <f t="shared" si="2"/>
        <v>0</v>
      </c>
      <c r="D20" s="1" t="s">
        <v>34</v>
      </c>
      <c r="E20" s="1" t="s">
        <v>35</v>
      </c>
      <c r="F20" s="19"/>
      <c r="G20" s="1" t="s">
        <v>9</v>
      </c>
      <c r="H20" s="1" t="s">
        <v>26</v>
      </c>
      <c r="I20" s="2">
        <v>44439</v>
      </c>
      <c r="J20" s="3">
        <v>0.83680555555555547</v>
      </c>
      <c r="K20" s="3" t="s">
        <v>73</v>
      </c>
      <c r="L20" s="3"/>
      <c r="M20" s="3"/>
      <c r="N20" s="19" t="s">
        <v>27</v>
      </c>
      <c r="O20" s="21"/>
    </row>
    <row r="21" spans="1:15" customFormat="1" ht="57.6" hidden="1" x14ac:dyDescent="0.3">
      <c r="A21" s="47">
        <f t="shared" si="0"/>
        <v>1900</v>
      </c>
      <c r="B21" s="46">
        <f t="shared" si="1"/>
        <v>36</v>
      </c>
      <c r="C21" s="46">
        <f t="shared" si="2"/>
        <v>0</v>
      </c>
      <c r="D21" s="4" t="s">
        <v>36</v>
      </c>
      <c r="E21" s="4" t="s">
        <v>43</v>
      </c>
      <c r="F21" s="69"/>
      <c r="G21" s="4" t="s">
        <v>10</v>
      </c>
      <c r="H21" s="4" t="s">
        <v>37</v>
      </c>
      <c r="I21" s="5">
        <v>44441</v>
      </c>
      <c r="J21" s="6">
        <v>0.36458333333333331</v>
      </c>
      <c r="K21" s="3" t="s">
        <v>73</v>
      </c>
      <c r="L21" s="3"/>
      <c r="M21" s="3"/>
      <c r="N21" s="69" t="s">
        <v>38</v>
      </c>
      <c r="O21" s="21"/>
    </row>
    <row r="22" spans="1:15" customFormat="1" ht="57.6" hidden="1" x14ac:dyDescent="0.3">
      <c r="A22" s="47">
        <f t="shared" si="0"/>
        <v>1900</v>
      </c>
      <c r="B22" s="46">
        <f t="shared" si="1"/>
        <v>36</v>
      </c>
      <c r="C22" s="46">
        <f t="shared" si="2"/>
        <v>0</v>
      </c>
      <c r="D22" s="4" t="s">
        <v>40</v>
      </c>
      <c r="E22" s="4" t="s">
        <v>43</v>
      </c>
      <c r="F22" s="69"/>
      <c r="G22" s="4" t="s">
        <v>10</v>
      </c>
      <c r="H22" s="4" t="s">
        <v>37</v>
      </c>
      <c r="I22" s="5">
        <v>44441</v>
      </c>
      <c r="J22" s="6">
        <v>0.36458333333333331</v>
      </c>
      <c r="K22" s="3" t="s">
        <v>73</v>
      </c>
      <c r="L22" s="3"/>
      <c r="M22" s="3"/>
      <c r="N22" s="69" t="s">
        <v>39</v>
      </c>
      <c r="O22" s="21"/>
    </row>
    <row r="23" spans="1:15" customFormat="1" hidden="1" x14ac:dyDescent="0.3">
      <c r="A23" s="47">
        <f t="shared" si="0"/>
        <v>1900</v>
      </c>
      <c r="B23" s="46">
        <f t="shared" si="1"/>
        <v>36</v>
      </c>
      <c r="C23" s="46">
        <f t="shared" si="2"/>
        <v>0</v>
      </c>
      <c r="D23" s="1" t="s">
        <v>41</v>
      </c>
      <c r="E23" s="1" t="s">
        <v>43</v>
      </c>
      <c r="F23" s="19"/>
      <c r="G23" s="1" t="s">
        <v>10</v>
      </c>
      <c r="H23" s="1" t="s">
        <v>37</v>
      </c>
      <c r="I23" s="2">
        <v>44441</v>
      </c>
      <c r="J23" s="3">
        <v>0.36458333333333331</v>
      </c>
      <c r="K23" s="3" t="s">
        <v>73</v>
      </c>
      <c r="L23" s="3"/>
      <c r="M23" s="3"/>
      <c r="N23" s="19" t="s">
        <v>27</v>
      </c>
      <c r="O23" s="21"/>
    </row>
    <row r="24" spans="1:15" customFormat="1" hidden="1" x14ac:dyDescent="0.3">
      <c r="A24" s="47">
        <f t="shared" si="0"/>
        <v>1900</v>
      </c>
      <c r="B24" s="46">
        <f t="shared" si="1"/>
        <v>36</v>
      </c>
      <c r="C24" s="46">
        <f t="shared" si="2"/>
        <v>0</v>
      </c>
      <c r="D24" s="1" t="s">
        <v>42</v>
      </c>
      <c r="E24" s="1" t="s">
        <v>43</v>
      </c>
      <c r="F24" s="19"/>
      <c r="G24" s="1" t="s">
        <v>10</v>
      </c>
      <c r="H24" s="1" t="s">
        <v>37</v>
      </c>
      <c r="I24" s="2">
        <v>44441</v>
      </c>
      <c r="J24" s="3">
        <v>0.36458333333333331</v>
      </c>
      <c r="K24" s="3" t="s">
        <v>73</v>
      </c>
      <c r="L24" s="3"/>
      <c r="M24" s="3"/>
      <c r="N24" s="19" t="s">
        <v>27</v>
      </c>
      <c r="O24" s="21"/>
    </row>
    <row r="25" spans="1:15" customFormat="1" hidden="1" x14ac:dyDescent="0.3">
      <c r="A25" s="47">
        <f t="shared" si="0"/>
        <v>1900</v>
      </c>
      <c r="B25" s="46">
        <f t="shared" si="1"/>
        <v>36</v>
      </c>
      <c r="C25" s="46">
        <f t="shared" si="2"/>
        <v>0</v>
      </c>
      <c r="D25" s="1" t="s">
        <v>44</v>
      </c>
      <c r="E25" s="1" t="s">
        <v>45</v>
      </c>
      <c r="F25" s="19"/>
      <c r="G25" s="1" t="s">
        <v>10</v>
      </c>
      <c r="H25" s="1" t="s">
        <v>37</v>
      </c>
      <c r="I25" s="2">
        <v>44441</v>
      </c>
      <c r="J25" s="3">
        <v>0.3666666666666667</v>
      </c>
      <c r="K25" s="3" t="s">
        <v>73</v>
      </c>
      <c r="L25" s="3"/>
      <c r="M25" s="3"/>
      <c r="N25" s="19" t="s">
        <v>27</v>
      </c>
      <c r="O25" s="21"/>
    </row>
    <row r="26" spans="1:15" customFormat="1" hidden="1" x14ac:dyDescent="0.3">
      <c r="A26" s="47">
        <f t="shared" si="0"/>
        <v>1900</v>
      </c>
      <c r="B26" s="46">
        <f t="shared" si="1"/>
        <v>36</v>
      </c>
      <c r="C26" s="46">
        <f t="shared" si="2"/>
        <v>0</v>
      </c>
      <c r="D26" s="1" t="s">
        <v>46</v>
      </c>
      <c r="E26" s="1" t="s">
        <v>47</v>
      </c>
      <c r="F26" s="83"/>
      <c r="G26" s="1" t="s">
        <v>10</v>
      </c>
      <c r="H26" s="1" t="s">
        <v>37</v>
      </c>
      <c r="I26" s="2">
        <v>44441</v>
      </c>
      <c r="J26" s="3">
        <v>0.36805555555555558</v>
      </c>
      <c r="K26" s="3" t="s">
        <v>73</v>
      </c>
      <c r="L26" s="3"/>
      <c r="M26" s="3"/>
      <c r="N26" s="19" t="s">
        <v>48</v>
      </c>
      <c r="O26" s="21" t="s">
        <v>55</v>
      </c>
    </row>
    <row r="27" spans="1:15" customFormat="1" hidden="1" x14ac:dyDescent="0.3">
      <c r="A27" s="47">
        <f t="shared" si="0"/>
        <v>1900</v>
      </c>
      <c r="B27" s="46">
        <f t="shared" si="1"/>
        <v>36</v>
      </c>
      <c r="C27" s="46">
        <f t="shared" si="2"/>
        <v>0</v>
      </c>
      <c r="D27" s="1" t="s">
        <v>49</v>
      </c>
      <c r="E27" s="1" t="s">
        <v>50</v>
      </c>
      <c r="F27" s="19"/>
      <c r="G27" s="1" t="s">
        <v>10</v>
      </c>
      <c r="H27" s="1" t="s">
        <v>37</v>
      </c>
      <c r="I27" s="2">
        <v>44441</v>
      </c>
      <c r="J27" s="3">
        <v>0.36805555555555558</v>
      </c>
      <c r="K27" s="3" t="s">
        <v>73</v>
      </c>
      <c r="L27" s="3"/>
      <c r="M27" s="3"/>
      <c r="N27" s="19" t="s">
        <v>51</v>
      </c>
      <c r="O27" s="21"/>
    </row>
    <row r="28" spans="1:15" customFormat="1" hidden="1" x14ac:dyDescent="0.3">
      <c r="A28" s="47">
        <f t="shared" si="0"/>
        <v>1900</v>
      </c>
      <c r="B28" s="46">
        <f t="shared" si="1"/>
        <v>38</v>
      </c>
      <c r="C28" s="46">
        <f t="shared" si="2"/>
        <v>0</v>
      </c>
      <c r="D28" s="1"/>
      <c r="E28" s="1" t="s">
        <v>162</v>
      </c>
      <c r="F28" s="19" t="s">
        <v>163</v>
      </c>
      <c r="G28" s="1" t="s">
        <v>10</v>
      </c>
      <c r="H28" s="1" t="s">
        <v>57</v>
      </c>
      <c r="I28" s="2">
        <v>44452</v>
      </c>
      <c r="J28" s="3">
        <v>0.4597222222222222</v>
      </c>
      <c r="K28" s="3" t="s">
        <v>73</v>
      </c>
      <c r="L28" s="3"/>
      <c r="M28" s="3"/>
      <c r="N28" s="19" t="s">
        <v>58</v>
      </c>
      <c r="O28" s="21"/>
    </row>
    <row r="29" spans="1:15" customFormat="1" hidden="1" x14ac:dyDescent="0.3">
      <c r="A29" s="47">
        <f t="shared" si="0"/>
        <v>1900</v>
      </c>
      <c r="B29" s="46">
        <f t="shared" si="1"/>
        <v>38</v>
      </c>
      <c r="C29" s="46">
        <f t="shared" si="2"/>
        <v>0</v>
      </c>
      <c r="D29" s="1"/>
      <c r="E29" s="1" t="s">
        <v>59</v>
      </c>
      <c r="F29" s="19"/>
      <c r="G29" s="1" t="s">
        <v>10</v>
      </c>
      <c r="H29" s="1" t="s">
        <v>57</v>
      </c>
      <c r="I29" s="2">
        <v>44452</v>
      </c>
      <c r="J29" s="3">
        <v>0.47569444444444442</v>
      </c>
      <c r="K29" s="3" t="s">
        <v>73</v>
      </c>
      <c r="L29" s="3"/>
      <c r="M29" s="3"/>
      <c r="N29" s="19" t="s">
        <v>60</v>
      </c>
      <c r="O29" s="21"/>
    </row>
    <row r="30" spans="1:15" customFormat="1" hidden="1" x14ac:dyDescent="0.3">
      <c r="A30" s="47">
        <f t="shared" si="0"/>
        <v>1900</v>
      </c>
      <c r="B30" s="46">
        <f t="shared" si="1"/>
        <v>38</v>
      </c>
      <c r="C30" s="46">
        <f t="shared" si="2"/>
        <v>0</v>
      </c>
      <c r="D30" s="1"/>
      <c r="E30" s="1" t="s">
        <v>61</v>
      </c>
      <c r="F30" s="19"/>
      <c r="G30" s="1" t="s">
        <v>10</v>
      </c>
      <c r="H30" s="1" t="s">
        <v>57</v>
      </c>
      <c r="I30" s="2">
        <v>44452</v>
      </c>
      <c r="J30" s="3">
        <v>0.49305555555555558</v>
      </c>
      <c r="K30" s="3" t="s">
        <v>73</v>
      </c>
      <c r="L30" s="3"/>
      <c r="M30" s="3"/>
      <c r="N30" s="19" t="s">
        <v>62</v>
      </c>
      <c r="O30" s="21"/>
    </row>
    <row r="31" spans="1:15" customFormat="1" ht="28.8" hidden="1" x14ac:dyDescent="0.3">
      <c r="A31" s="47">
        <f t="shared" si="0"/>
        <v>1900</v>
      </c>
      <c r="B31" s="46">
        <f t="shared" si="1"/>
        <v>38</v>
      </c>
      <c r="C31" s="46">
        <f t="shared" si="2"/>
        <v>0</v>
      </c>
      <c r="D31" s="1"/>
      <c r="E31" s="1" t="s">
        <v>63</v>
      </c>
      <c r="F31" s="19"/>
      <c r="G31" s="1" t="s">
        <v>9</v>
      </c>
      <c r="H31" s="1" t="s">
        <v>57</v>
      </c>
      <c r="I31" s="2">
        <v>44454</v>
      </c>
      <c r="J31" s="3">
        <v>0.31944444444444448</v>
      </c>
      <c r="K31" s="3" t="s">
        <v>73</v>
      </c>
      <c r="L31" s="3"/>
      <c r="M31" s="3"/>
      <c r="N31" s="19" t="s">
        <v>64</v>
      </c>
      <c r="O31" s="21"/>
    </row>
    <row r="32" spans="1:15" customFormat="1" hidden="1" x14ac:dyDescent="0.3">
      <c r="A32" s="47">
        <f t="shared" si="0"/>
        <v>1900</v>
      </c>
      <c r="B32" s="46">
        <f t="shared" si="1"/>
        <v>39</v>
      </c>
      <c r="C32" s="46">
        <f t="shared" si="2"/>
        <v>0</v>
      </c>
      <c r="D32" s="1"/>
      <c r="E32" s="1" t="s">
        <v>65</v>
      </c>
      <c r="F32" s="19"/>
      <c r="G32" s="1" t="s">
        <v>9</v>
      </c>
      <c r="H32" s="1" t="s">
        <v>57</v>
      </c>
      <c r="I32" s="2">
        <v>44462</v>
      </c>
      <c r="J32" s="3">
        <v>0.48333333333333334</v>
      </c>
      <c r="K32" s="3" t="s">
        <v>73</v>
      </c>
      <c r="L32" s="3"/>
      <c r="M32" s="3"/>
      <c r="N32" s="19" t="s">
        <v>66</v>
      </c>
      <c r="O32" s="21"/>
    </row>
    <row r="33" spans="1:15" customFormat="1" hidden="1" x14ac:dyDescent="0.3">
      <c r="A33" s="47">
        <f t="shared" si="0"/>
        <v>1900</v>
      </c>
      <c r="B33" s="46">
        <f t="shared" si="1"/>
        <v>39</v>
      </c>
      <c r="C33" s="46">
        <f t="shared" si="2"/>
        <v>0</v>
      </c>
      <c r="D33" s="1"/>
      <c r="E33" s="1" t="s">
        <v>67</v>
      </c>
      <c r="F33" s="19"/>
      <c r="G33" s="1" t="s">
        <v>10</v>
      </c>
      <c r="H33" s="1" t="s">
        <v>57</v>
      </c>
      <c r="I33" s="2">
        <v>44462</v>
      </c>
      <c r="J33" s="3">
        <v>0.48888888888888887</v>
      </c>
      <c r="K33" s="3" t="s">
        <v>73</v>
      </c>
      <c r="L33" s="3"/>
      <c r="M33" s="3"/>
      <c r="N33" s="19" t="s">
        <v>68</v>
      </c>
      <c r="O33" s="21"/>
    </row>
    <row r="34" spans="1:15" customFormat="1" ht="28.8" hidden="1" x14ac:dyDescent="0.3">
      <c r="A34" s="47">
        <f t="shared" si="0"/>
        <v>1900</v>
      </c>
      <c r="B34" s="46">
        <f t="shared" si="1"/>
        <v>52</v>
      </c>
      <c r="C34" s="46">
        <f t="shared" si="2"/>
        <v>0</v>
      </c>
      <c r="D34" s="4"/>
      <c r="E34" s="4" t="s">
        <v>69</v>
      </c>
      <c r="F34" s="69"/>
      <c r="G34" s="4" t="s">
        <v>10</v>
      </c>
      <c r="H34" s="4" t="s">
        <v>57</v>
      </c>
      <c r="I34" s="5">
        <v>44550</v>
      </c>
      <c r="J34" s="6">
        <v>0.63402777777777775</v>
      </c>
      <c r="K34" s="6" t="s">
        <v>73</v>
      </c>
      <c r="L34" s="6"/>
      <c r="M34" s="6"/>
      <c r="N34" s="69" t="s">
        <v>70</v>
      </c>
      <c r="O34" s="23" t="s">
        <v>74</v>
      </c>
    </row>
    <row r="35" spans="1:15" customFormat="1" ht="28.8" hidden="1" x14ac:dyDescent="0.3">
      <c r="A35" s="47">
        <f t="shared" si="0"/>
        <v>1900</v>
      </c>
      <c r="B35" s="46">
        <f t="shared" si="1"/>
        <v>52</v>
      </c>
      <c r="C35" s="46">
        <f t="shared" si="2"/>
        <v>0</v>
      </c>
      <c r="D35" s="4"/>
      <c r="E35" s="4" t="s">
        <v>75</v>
      </c>
      <c r="F35" s="69"/>
      <c r="G35" s="4" t="s">
        <v>10</v>
      </c>
      <c r="H35" s="4" t="s">
        <v>76</v>
      </c>
      <c r="I35" s="5">
        <v>44551</v>
      </c>
      <c r="J35" s="6">
        <v>0.4777777777777778</v>
      </c>
      <c r="K35" s="4" t="s">
        <v>73</v>
      </c>
      <c r="L35" s="4"/>
      <c r="M35" s="4"/>
      <c r="N35" s="69" t="s">
        <v>77</v>
      </c>
      <c r="O35" s="23" t="s">
        <v>78</v>
      </c>
    </row>
    <row r="36" spans="1:15" customFormat="1" hidden="1" x14ac:dyDescent="0.3">
      <c r="A36" s="47">
        <f t="shared" si="0"/>
        <v>1900</v>
      </c>
      <c r="B36" s="46">
        <f t="shared" si="1"/>
        <v>52</v>
      </c>
      <c r="C36" s="46">
        <f t="shared" si="2"/>
        <v>0</v>
      </c>
      <c r="D36" s="1"/>
      <c r="E36" s="1" t="s">
        <v>79</v>
      </c>
      <c r="F36" s="19"/>
      <c r="G36" s="1" t="s">
        <v>10</v>
      </c>
      <c r="H36" s="1" t="s">
        <v>76</v>
      </c>
      <c r="I36" s="2">
        <v>44552</v>
      </c>
      <c r="J36" s="3">
        <v>0.47986111111111113</v>
      </c>
      <c r="K36" s="1" t="s">
        <v>73</v>
      </c>
      <c r="L36" s="1"/>
      <c r="M36" s="1"/>
      <c r="N36" s="19" t="s">
        <v>80</v>
      </c>
      <c r="O36" s="21" t="s">
        <v>60</v>
      </c>
    </row>
    <row r="37" spans="1:15" customFormat="1" hidden="1" x14ac:dyDescent="0.3">
      <c r="A37" s="47">
        <f t="shared" si="0"/>
        <v>1900</v>
      </c>
      <c r="B37" s="46">
        <f t="shared" si="1"/>
        <v>52</v>
      </c>
      <c r="C37" s="46">
        <f t="shared" si="2"/>
        <v>0</v>
      </c>
      <c r="D37" s="1"/>
      <c r="E37" s="1" t="s">
        <v>81</v>
      </c>
      <c r="F37" s="19"/>
      <c r="G37" s="1" t="s">
        <v>10</v>
      </c>
      <c r="H37" s="1" t="s">
        <v>76</v>
      </c>
      <c r="I37" s="2">
        <v>44552</v>
      </c>
      <c r="J37" s="3">
        <v>0.48333333333333334</v>
      </c>
      <c r="K37" s="1" t="s">
        <v>73</v>
      </c>
      <c r="L37" s="1"/>
      <c r="M37" s="1"/>
      <c r="N37" s="19" t="s">
        <v>82</v>
      </c>
      <c r="O37" s="21" t="s">
        <v>83</v>
      </c>
    </row>
    <row r="38" spans="1:15" customFormat="1" ht="28.8" hidden="1" x14ac:dyDescent="0.3">
      <c r="A38" s="47">
        <f t="shared" si="0"/>
        <v>1900</v>
      </c>
      <c r="B38" s="46">
        <f t="shared" si="1"/>
        <v>52</v>
      </c>
      <c r="C38" s="46">
        <f t="shared" si="2"/>
        <v>0</v>
      </c>
      <c r="D38" s="4"/>
      <c r="E38" s="4" t="s">
        <v>84</v>
      </c>
      <c r="F38" s="69"/>
      <c r="G38" s="4" t="s">
        <v>9</v>
      </c>
      <c r="H38" s="4" t="s">
        <v>57</v>
      </c>
      <c r="I38" s="5">
        <v>44551</v>
      </c>
      <c r="J38" s="6">
        <v>0.65763888888888888</v>
      </c>
      <c r="K38" s="4" t="s">
        <v>73</v>
      </c>
      <c r="L38" s="4"/>
      <c r="M38" s="4"/>
      <c r="N38" s="69" t="s">
        <v>86</v>
      </c>
      <c r="O38" s="23" t="s">
        <v>85</v>
      </c>
    </row>
    <row r="39" spans="1:15" customFormat="1" hidden="1" x14ac:dyDescent="0.3">
      <c r="A39" s="47">
        <f t="shared" si="0"/>
        <v>2022</v>
      </c>
      <c r="B39" s="46">
        <f t="shared" si="1"/>
        <v>51</v>
      </c>
      <c r="C39" s="46">
        <f t="shared" si="2"/>
        <v>2</v>
      </c>
      <c r="D39" s="1"/>
      <c r="E39" s="1" t="s">
        <v>87</v>
      </c>
      <c r="F39" s="19"/>
      <c r="G39" s="1" t="s">
        <v>9</v>
      </c>
      <c r="H39" s="1" t="s">
        <v>57</v>
      </c>
      <c r="I39" s="2">
        <v>44546</v>
      </c>
      <c r="J39" s="3">
        <v>0.69305555555555554</v>
      </c>
      <c r="K39" s="1" t="s">
        <v>88</v>
      </c>
      <c r="L39" s="2">
        <v>44564</v>
      </c>
      <c r="M39" s="3">
        <v>0.45763888888888887</v>
      </c>
      <c r="N39" s="19" t="s">
        <v>89</v>
      </c>
      <c r="O39" s="21"/>
    </row>
    <row r="40" spans="1:15" customFormat="1" ht="28.8" hidden="1" x14ac:dyDescent="0.3">
      <c r="A40" s="47">
        <f t="shared" si="0"/>
        <v>2022</v>
      </c>
      <c r="B40" s="46">
        <f t="shared" si="1"/>
        <v>51</v>
      </c>
      <c r="C40" s="46">
        <f t="shared" si="2"/>
        <v>2</v>
      </c>
      <c r="D40" s="1"/>
      <c r="E40" s="1" t="s">
        <v>90</v>
      </c>
      <c r="F40" s="19"/>
      <c r="G40" s="1" t="s">
        <v>9</v>
      </c>
      <c r="H40" s="1" t="s">
        <v>57</v>
      </c>
      <c r="I40" s="2">
        <v>44546</v>
      </c>
      <c r="J40" s="3">
        <v>0.70208333333333339</v>
      </c>
      <c r="K40" s="1" t="s">
        <v>88</v>
      </c>
      <c r="L40" s="2">
        <v>44564</v>
      </c>
      <c r="M40" s="3">
        <v>0.47500000000000003</v>
      </c>
      <c r="N40" s="19" t="s">
        <v>93</v>
      </c>
      <c r="O40" s="21"/>
    </row>
    <row r="41" spans="1:15" customFormat="1" ht="57.6" hidden="1" x14ac:dyDescent="0.3">
      <c r="A41" s="47">
        <f t="shared" si="0"/>
        <v>2022</v>
      </c>
      <c r="B41" s="46">
        <f t="shared" si="1"/>
        <v>51</v>
      </c>
      <c r="C41" s="46">
        <f t="shared" si="2"/>
        <v>2</v>
      </c>
      <c r="D41" s="1"/>
      <c r="E41" s="1" t="s">
        <v>69</v>
      </c>
      <c r="F41" s="19"/>
      <c r="G41" s="1" t="s">
        <v>10</v>
      </c>
      <c r="H41" s="1" t="s">
        <v>91</v>
      </c>
      <c r="I41" s="2">
        <v>44545</v>
      </c>
      <c r="J41" s="3">
        <v>0.68055555555555547</v>
      </c>
      <c r="K41" s="1" t="s">
        <v>88</v>
      </c>
      <c r="L41" s="2">
        <v>44565</v>
      </c>
      <c r="M41" s="3">
        <v>0.3034722222222222</v>
      </c>
      <c r="N41" s="19" t="s">
        <v>92</v>
      </c>
      <c r="O41" s="21"/>
    </row>
    <row r="42" spans="1:15" customFormat="1" ht="43.2" hidden="1" x14ac:dyDescent="0.3">
      <c r="A42" s="47">
        <f t="shared" si="0"/>
        <v>2022</v>
      </c>
      <c r="B42" s="46">
        <f t="shared" si="1"/>
        <v>51</v>
      </c>
      <c r="C42" s="46">
        <f t="shared" si="2"/>
        <v>2</v>
      </c>
      <c r="D42" s="1"/>
      <c r="E42" s="38" t="s">
        <v>95</v>
      </c>
      <c r="F42" s="19"/>
      <c r="G42" s="1" t="s">
        <v>10</v>
      </c>
      <c r="H42" s="1" t="s">
        <v>91</v>
      </c>
      <c r="I42" s="2">
        <v>44548</v>
      </c>
      <c r="J42" s="3">
        <v>0.4236111111111111</v>
      </c>
      <c r="K42" s="1" t="s">
        <v>88</v>
      </c>
      <c r="L42" s="2">
        <v>44565</v>
      </c>
      <c r="M42" s="3">
        <v>0.40138888888888885</v>
      </c>
      <c r="N42" s="19" t="s">
        <v>98</v>
      </c>
      <c r="O42" s="21"/>
    </row>
    <row r="43" spans="1:15" customFormat="1" hidden="1" x14ac:dyDescent="0.3">
      <c r="A43" s="47">
        <f t="shared" si="0"/>
        <v>2021</v>
      </c>
      <c r="B43" s="46">
        <f t="shared" si="1"/>
        <v>51</v>
      </c>
      <c r="C43" s="46">
        <f t="shared" si="2"/>
        <v>52</v>
      </c>
      <c r="D43" s="1"/>
      <c r="E43" s="1" t="s">
        <v>94</v>
      </c>
      <c r="F43" s="19"/>
      <c r="G43" s="1" t="s">
        <v>10</v>
      </c>
      <c r="H43" s="1" t="s">
        <v>57</v>
      </c>
      <c r="I43" s="2">
        <v>44548</v>
      </c>
      <c r="J43" s="1" t="s">
        <v>96</v>
      </c>
      <c r="K43" s="1" t="s">
        <v>88</v>
      </c>
      <c r="L43" s="2">
        <v>44552</v>
      </c>
      <c r="M43" s="3">
        <v>0.42152777777777778</v>
      </c>
      <c r="N43" s="19" t="s">
        <v>97</v>
      </c>
      <c r="O43" s="21"/>
    </row>
    <row r="44" spans="1:15" customFormat="1" ht="43.2" hidden="1" x14ac:dyDescent="0.3">
      <c r="A44" s="47">
        <f t="shared" si="0"/>
        <v>2022</v>
      </c>
      <c r="B44" s="46">
        <f t="shared" si="1"/>
        <v>51</v>
      </c>
      <c r="C44" s="46">
        <f t="shared" si="2"/>
        <v>2</v>
      </c>
      <c r="D44" s="1"/>
      <c r="E44" s="1" t="s">
        <v>100</v>
      </c>
      <c r="F44" s="19"/>
      <c r="G44" s="1" t="s">
        <v>10</v>
      </c>
      <c r="H44" s="1" t="s">
        <v>91</v>
      </c>
      <c r="I44" s="2">
        <v>44548</v>
      </c>
      <c r="J44" s="12">
        <v>0.43611111111111112</v>
      </c>
      <c r="K44" s="1" t="s">
        <v>88</v>
      </c>
      <c r="L44" s="2">
        <v>44565</v>
      </c>
      <c r="M44" s="3">
        <v>0.60763888888888895</v>
      </c>
      <c r="N44" s="19" t="s">
        <v>99</v>
      </c>
      <c r="O44" s="21"/>
    </row>
    <row r="45" spans="1:15" customFormat="1" hidden="1" x14ac:dyDescent="0.3">
      <c r="A45" s="47">
        <f t="shared" si="0"/>
        <v>2021</v>
      </c>
      <c r="B45" s="46">
        <f t="shared" si="1"/>
        <v>51</v>
      </c>
      <c r="C45" s="46">
        <f t="shared" si="2"/>
        <v>52</v>
      </c>
      <c r="D45" s="1"/>
      <c r="E45" s="38" t="s">
        <v>101</v>
      </c>
      <c r="F45" s="19"/>
      <c r="G45" s="1" t="s">
        <v>10</v>
      </c>
      <c r="H45" s="1" t="s">
        <v>57</v>
      </c>
      <c r="I45" s="2">
        <v>44548</v>
      </c>
      <c r="J45" s="3">
        <v>0.65555555555555556</v>
      </c>
      <c r="K45" s="1" t="s">
        <v>88</v>
      </c>
      <c r="L45" s="2">
        <v>44552</v>
      </c>
      <c r="M45" s="3">
        <v>0.58333333333333337</v>
      </c>
      <c r="N45" s="19" t="s">
        <v>102</v>
      </c>
      <c r="O45" s="21"/>
    </row>
    <row r="46" spans="1:15" customFormat="1" ht="43.2" hidden="1" x14ac:dyDescent="0.3">
      <c r="A46" s="47">
        <f t="shared" si="0"/>
        <v>2021</v>
      </c>
      <c r="B46" s="46">
        <f t="shared" si="1"/>
        <v>51</v>
      </c>
      <c r="C46" s="46">
        <f t="shared" si="2"/>
        <v>52</v>
      </c>
      <c r="D46" s="1"/>
      <c r="E46" s="1" t="s">
        <v>103</v>
      </c>
      <c r="F46" s="19"/>
      <c r="G46" s="1" t="s">
        <v>10</v>
      </c>
      <c r="H46" s="1" t="s">
        <v>57</v>
      </c>
      <c r="I46" s="2">
        <v>44548</v>
      </c>
      <c r="J46" s="3">
        <v>0.64444444444444449</v>
      </c>
      <c r="K46" s="1" t="s">
        <v>88</v>
      </c>
      <c r="L46" s="2">
        <v>44552</v>
      </c>
      <c r="M46" s="1"/>
      <c r="N46" s="19" t="s">
        <v>738</v>
      </c>
      <c r="O46" s="21"/>
    </row>
    <row r="47" spans="1:15" customFormat="1" ht="57.6" hidden="1" x14ac:dyDescent="0.3">
      <c r="A47" s="47">
        <f t="shared" si="0"/>
        <v>2021</v>
      </c>
      <c r="B47" s="46">
        <f t="shared" si="1"/>
        <v>51</v>
      </c>
      <c r="C47" s="46">
        <f t="shared" si="2"/>
        <v>51</v>
      </c>
      <c r="D47" s="1"/>
      <c r="E47" s="38" t="s">
        <v>104</v>
      </c>
      <c r="F47" s="19"/>
      <c r="G47" s="1" t="s">
        <v>10</v>
      </c>
      <c r="H47" s="1" t="s">
        <v>57</v>
      </c>
      <c r="I47" s="2">
        <v>44543</v>
      </c>
      <c r="J47" s="3">
        <v>0.70486111111111116</v>
      </c>
      <c r="K47" s="1" t="s">
        <v>88</v>
      </c>
      <c r="L47" s="2">
        <v>44546</v>
      </c>
      <c r="M47" s="1"/>
      <c r="N47" s="19" t="s">
        <v>106</v>
      </c>
      <c r="O47" s="21"/>
    </row>
    <row r="48" spans="1:15" customFormat="1" hidden="1" x14ac:dyDescent="0.3">
      <c r="A48" s="47">
        <f t="shared" si="0"/>
        <v>2021</v>
      </c>
      <c r="B48" s="46">
        <f t="shared" si="1"/>
        <v>51</v>
      </c>
      <c r="C48" s="46">
        <f t="shared" si="2"/>
        <v>51</v>
      </c>
      <c r="D48" s="1"/>
      <c r="E48" s="1" t="s">
        <v>107</v>
      </c>
      <c r="F48" s="19"/>
      <c r="G48" s="1" t="s">
        <v>10</v>
      </c>
      <c r="H48" s="1" t="s">
        <v>57</v>
      </c>
      <c r="I48" s="2">
        <v>44545</v>
      </c>
      <c r="J48" s="3">
        <v>0.71666666666666667</v>
      </c>
      <c r="K48" s="1" t="s">
        <v>88</v>
      </c>
      <c r="L48" s="2">
        <v>44545</v>
      </c>
      <c r="M48" s="1"/>
      <c r="N48" s="19" t="s">
        <v>108</v>
      </c>
      <c r="O48" s="21"/>
    </row>
    <row r="49" spans="1:15" customFormat="1" ht="72" hidden="1" x14ac:dyDescent="0.3">
      <c r="A49" s="47">
        <f t="shared" si="0"/>
        <v>2022</v>
      </c>
      <c r="B49" s="46">
        <f t="shared" si="1"/>
        <v>52</v>
      </c>
      <c r="C49" s="46">
        <f t="shared" si="2"/>
        <v>2</v>
      </c>
      <c r="D49" s="1"/>
      <c r="E49" s="38" t="s">
        <v>109</v>
      </c>
      <c r="F49" s="19"/>
      <c r="G49" s="1" t="s">
        <v>10</v>
      </c>
      <c r="H49" s="1" t="s">
        <v>91</v>
      </c>
      <c r="I49" s="2">
        <v>44550</v>
      </c>
      <c r="J49" s="1"/>
      <c r="K49" s="1" t="s">
        <v>88</v>
      </c>
      <c r="L49" s="2">
        <v>44566</v>
      </c>
      <c r="M49" s="1"/>
      <c r="N49" s="19" t="s">
        <v>110</v>
      </c>
      <c r="O49" s="21"/>
    </row>
    <row r="50" spans="1:15" customFormat="1" ht="15.6" hidden="1" x14ac:dyDescent="0.3">
      <c r="A50" s="47">
        <f t="shared" si="0"/>
        <v>2022</v>
      </c>
      <c r="B50" s="46">
        <f t="shared" si="1"/>
        <v>50</v>
      </c>
      <c r="C50" s="46">
        <f t="shared" si="2"/>
        <v>2</v>
      </c>
      <c r="D50" s="1"/>
      <c r="E50" s="13" t="s">
        <v>111</v>
      </c>
      <c r="F50" s="19" t="s">
        <v>56</v>
      </c>
      <c r="G50" s="1" t="s">
        <v>10</v>
      </c>
      <c r="H50" s="1" t="s">
        <v>91</v>
      </c>
      <c r="I50" s="2">
        <v>44535</v>
      </c>
      <c r="J50" s="3">
        <v>0.47430555555555554</v>
      </c>
      <c r="K50" s="1" t="s">
        <v>88</v>
      </c>
      <c r="L50" s="2">
        <v>44567</v>
      </c>
      <c r="M50" s="3">
        <v>0.45833333333333331</v>
      </c>
      <c r="N50" s="19" t="s">
        <v>114</v>
      </c>
      <c r="O50" s="21"/>
    </row>
    <row r="51" spans="1:15" customFormat="1" ht="15.6" hidden="1" x14ac:dyDescent="0.3">
      <c r="A51" s="47">
        <f t="shared" si="0"/>
        <v>2022</v>
      </c>
      <c r="B51" s="46">
        <f t="shared" si="1"/>
        <v>50</v>
      </c>
      <c r="C51" s="46">
        <f t="shared" si="2"/>
        <v>2</v>
      </c>
      <c r="D51" s="1"/>
      <c r="E51" s="13" t="s">
        <v>112</v>
      </c>
      <c r="F51" s="19" t="s">
        <v>56</v>
      </c>
      <c r="G51" s="1" t="s">
        <v>10</v>
      </c>
      <c r="H51" s="1" t="s">
        <v>91</v>
      </c>
      <c r="I51" s="2">
        <v>44535</v>
      </c>
      <c r="J51" s="3">
        <v>0.48541666666666666</v>
      </c>
      <c r="K51" s="1" t="s">
        <v>88</v>
      </c>
      <c r="L51" s="2">
        <v>44567</v>
      </c>
      <c r="M51" s="3">
        <v>0.46388888888888885</v>
      </c>
      <c r="N51" s="19" t="s">
        <v>115</v>
      </c>
      <c r="O51" s="21"/>
    </row>
    <row r="52" spans="1:15" customFormat="1" ht="15.6" hidden="1" x14ac:dyDescent="0.3">
      <c r="A52" s="47">
        <f t="shared" si="0"/>
        <v>2022</v>
      </c>
      <c r="B52" s="46">
        <f t="shared" si="1"/>
        <v>50</v>
      </c>
      <c r="C52" s="46">
        <f t="shared" si="2"/>
        <v>2</v>
      </c>
      <c r="D52" s="1"/>
      <c r="E52" s="13" t="s">
        <v>113</v>
      </c>
      <c r="F52" s="19" t="s">
        <v>116</v>
      </c>
      <c r="G52" s="1" t="s">
        <v>10</v>
      </c>
      <c r="H52" s="1" t="s">
        <v>91</v>
      </c>
      <c r="I52" s="2">
        <v>44535</v>
      </c>
      <c r="J52" s="3">
        <v>0.49444444444444446</v>
      </c>
      <c r="K52" s="1" t="s">
        <v>88</v>
      </c>
      <c r="L52" s="2">
        <v>44567</v>
      </c>
      <c r="M52" s="3">
        <v>0.52916666666666667</v>
      </c>
      <c r="N52" s="19" t="s">
        <v>115</v>
      </c>
      <c r="O52" s="21"/>
    </row>
    <row r="53" spans="1:15" customFormat="1" ht="57.6" hidden="1" x14ac:dyDescent="0.3">
      <c r="A53" s="47">
        <f t="shared" si="0"/>
        <v>2022</v>
      </c>
      <c r="B53" s="46">
        <f t="shared" si="1"/>
        <v>2</v>
      </c>
      <c r="C53" s="46">
        <f t="shared" si="2"/>
        <v>2</v>
      </c>
      <c r="D53" s="1"/>
      <c r="E53" s="1" t="s">
        <v>117</v>
      </c>
      <c r="F53" s="19" t="s">
        <v>118</v>
      </c>
      <c r="G53" s="1" t="s">
        <v>10</v>
      </c>
      <c r="H53" s="1" t="s">
        <v>91</v>
      </c>
      <c r="I53" s="2">
        <v>44568</v>
      </c>
      <c r="J53" s="3">
        <v>0.51250000000000007</v>
      </c>
      <c r="K53" s="1" t="s">
        <v>73</v>
      </c>
      <c r="L53" s="2">
        <v>44569</v>
      </c>
      <c r="M53" s="1"/>
      <c r="N53" s="19" t="s">
        <v>120</v>
      </c>
      <c r="O53" s="21"/>
    </row>
    <row r="54" spans="1:15" customFormat="1" ht="43.2" hidden="1" x14ac:dyDescent="0.3">
      <c r="A54" s="47">
        <f t="shared" si="0"/>
        <v>2022</v>
      </c>
      <c r="B54" s="46">
        <f t="shared" si="1"/>
        <v>2</v>
      </c>
      <c r="C54" s="46">
        <f t="shared" si="2"/>
        <v>2</v>
      </c>
      <c r="D54" s="1"/>
      <c r="E54" s="1" t="s">
        <v>119</v>
      </c>
      <c r="F54" s="45" t="s">
        <v>190</v>
      </c>
      <c r="G54" s="1" t="s">
        <v>10</v>
      </c>
      <c r="H54" s="1" t="s">
        <v>91</v>
      </c>
      <c r="I54" s="2">
        <v>44568</v>
      </c>
      <c r="J54" s="3">
        <v>0.48472222222222222</v>
      </c>
      <c r="K54" s="1" t="s">
        <v>73</v>
      </c>
      <c r="L54" s="2">
        <v>44569</v>
      </c>
      <c r="M54" s="1"/>
      <c r="N54" s="19" t="s">
        <v>121</v>
      </c>
      <c r="O54" s="21"/>
    </row>
    <row r="55" spans="1:15" customFormat="1" ht="43.2" hidden="1" x14ac:dyDescent="0.3">
      <c r="A55" s="47">
        <f t="shared" si="0"/>
        <v>2022</v>
      </c>
      <c r="B55" s="46">
        <f t="shared" si="1"/>
        <v>2</v>
      </c>
      <c r="C55" s="46">
        <f t="shared" si="2"/>
        <v>2</v>
      </c>
      <c r="D55" s="1"/>
      <c r="E55" s="1" t="s">
        <v>122</v>
      </c>
      <c r="F55" s="19" t="s">
        <v>118</v>
      </c>
      <c r="G55" s="1" t="s">
        <v>10</v>
      </c>
      <c r="H55" s="1" t="s">
        <v>91</v>
      </c>
      <c r="I55" s="2">
        <v>44568</v>
      </c>
      <c r="J55" s="3">
        <v>0.51944444444444449</v>
      </c>
      <c r="K55" s="1" t="s">
        <v>73</v>
      </c>
      <c r="L55" s="2">
        <v>44569</v>
      </c>
      <c r="M55" s="1"/>
      <c r="N55" s="19" t="s">
        <v>123</v>
      </c>
      <c r="O55" s="21"/>
    </row>
    <row r="56" spans="1:15" customFormat="1" ht="28.8" hidden="1" x14ac:dyDescent="0.3">
      <c r="A56" s="47">
        <f t="shared" si="0"/>
        <v>2022</v>
      </c>
      <c r="B56" s="46">
        <f t="shared" si="1"/>
        <v>2</v>
      </c>
      <c r="C56" s="46">
        <f t="shared" si="2"/>
        <v>2</v>
      </c>
      <c r="D56" s="1"/>
      <c r="E56" s="1" t="s">
        <v>124</v>
      </c>
      <c r="F56" s="45" t="s">
        <v>190</v>
      </c>
      <c r="G56" s="1" t="s">
        <v>10</v>
      </c>
      <c r="H56" s="1" t="s">
        <v>91</v>
      </c>
      <c r="I56" s="2">
        <v>44568</v>
      </c>
      <c r="J56" s="3">
        <v>0.53333333333333333</v>
      </c>
      <c r="K56" s="1" t="s">
        <v>73</v>
      </c>
      <c r="L56" s="2">
        <v>44569</v>
      </c>
      <c r="M56" s="1"/>
      <c r="N56" s="19" t="s">
        <v>125</v>
      </c>
      <c r="O56" s="21"/>
    </row>
    <row r="57" spans="1:15" customFormat="1" hidden="1" x14ac:dyDescent="0.3">
      <c r="A57" s="47">
        <f t="shared" si="0"/>
        <v>2022</v>
      </c>
      <c r="B57" s="46">
        <f t="shared" si="1"/>
        <v>3</v>
      </c>
      <c r="C57" s="46">
        <f t="shared" si="2"/>
        <v>3</v>
      </c>
      <c r="D57" s="1"/>
      <c r="E57" s="1" t="s">
        <v>126</v>
      </c>
      <c r="F57" s="19" t="s">
        <v>127</v>
      </c>
      <c r="G57" s="1" t="s">
        <v>10</v>
      </c>
      <c r="H57" s="1" t="s">
        <v>91</v>
      </c>
      <c r="I57" s="2">
        <v>44571</v>
      </c>
      <c r="J57" s="3">
        <v>0.45763888888888887</v>
      </c>
      <c r="K57" s="1" t="s">
        <v>73</v>
      </c>
      <c r="L57" s="2">
        <v>44572</v>
      </c>
      <c r="M57" s="1"/>
      <c r="N57" s="19" t="s">
        <v>128</v>
      </c>
      <c r="O57" s="21"/>
    </row>
    <row r="58" spans="1:15" customFormat="1" hidden="1" x14ac:dyDescent="0.3">
      <c r="A58" s="47">
        <f t="shared" si="0"/>
        <v>2022</v>
      </c>
      <c r="B58" s="46">
        <f t="shared" si="1"/>
        <v>3</v>
      </c>
      <c r="C58" s="46">
        <f t="shared" si="2"/>
        <v>3</v>
      </c>
      <c r="D58" s="1"/>
      <c r="E58" s="1" t="s">
        <v>129</v>
      </c>
      <c r="F58" s="19" t="s">
        <v>191</v>
      </c>
      <c r="G58" s="1" t="s">
        <v>10</v>
      </c>
      <c r="H58" s="1" t="s">
        <v>91</v>
      </c>
      <c r="I58" s="2">
        <v>44571</v>
      </c>
      <c r="J58" s="12">
        <v>0.44444444444444442</v>
      </c>
      <c r="K58" s="1" t="s">
        <v>73</v>
      </c>
      <c r="L58" s="2">
        <v>44572</v>
      </c>
      <c r="M58" s="1"/>
      <c r="N58" s="19" t="s">
        <v>128</v>
      </c>
      <c r="O58" s="21"/>
    </row>
    <row r="59" spans="1:15" customFormat="1" ht="28.8" hidden="1" x14ac:dyDescent="0.3">
      <c r="A59" s="47">
        <f t="shared" si="0"/>
        <v>2022</v>
      </c>
      <c r="B59" s="46">
        <f t="shared" si="1"/>
        <v>3</v>
      </c>
      <c r="C59" s="46">
        <f t="shared" si="2"/>
        <v>3</v>
      </c>
      <c r="D59" s="1"/>
      <c r="E59" s="1" t="s">
        <v>130</v>
      </c>
      <c r="F59" s="19" t="s">
        <v>192</v>
      </c>
      <c r="G59" s="1" t="s">
        <v>9</v>
      </c>
      <c r="H59" s="1" t="s">
        <v>91</v>
      </c>
      <c r="I59" s="2">
        <v>44571</v>
      </c>
      <c r="J59" s="3">
        <v>0.67499999999999993</v>
      </c>
      <c r="K59" s="1" t="s">
        <v>88</v>
      </c>
      <c r="L59" s="2">
        <v>44575</v>
      </c>
      <c r="M59" s="1"/>
      <c r="N59" s="19" t="s">
        <v>1873</v>
      </c>
      <c r="O59" s="10" t="s">
        <v>548</v>
      </c>
    </row>
    <row r="60" spans="1:15" customFormat="1" hidden="1" x14ac:dyDescent="0.3">
      <c r="A60" s="47">
        <f t="shared" si="0"/>
        <v>2022</v>
      </c>
      <c r="B60" s="46">
        <f t="shared" si="1"/>
        <v>3</v>
      </c>
      <c r="C60" s="46">
        <f t="shared" si="2"/>
        <v>3</v>
      </c>
      <c r="D60" s="1"/>
      <c r="E60" s="1" t="s">
        <v>129</v>
      </c>
      <c r="F60" s="19" t="s">
        <v>191</v>
      </c>
      <c r="G60" s="1" t="s">
        <v>10</v>
      </c>
      <c r="H60" s="1" t="s">
        <v>91</v>
      </c>
      <c r="I60" s="2">
        <v>44571</v>
      </c>
      <c r="J60" s="3">
        <v>0.44444444444444442</v>
      </c>
      <c r="K60" s="1" t="s">
        <v>88</v>
      </c>
      <c r="L60" s="2">
        <v>44575</v>
      </c>
      <c r="M60" s="1"/>
      <c r="N60" s="19" t="s">
        <v>128</v>
      </c>
      <c r="O60" s="21"/>
    </row>
    <row r="61" spans="1:15" customFormat="1" hidden="1" x14ac:dyDescent="0.3">
      <c r="A61" s="47">
        <f t="shared" si="0"/>
        <v>1900</v>
      </c>
      <c r="B61" s="46">
        <f t="shared" si="1"/>
        <v>3</v>
      </c>
      <c r="C61" s="46">
        <f t="shared" si="2"/>
        <v>0</v>
      </c>
      <c r="D61" s="1"/>
      <c r="E61" s="1" t="s">
        <v>131</v>
      </c>
      <c r="F61" s="19" t="s">
        <v>56</v>
      </c>
      <c r="G61" s="1" t="s">
        <v>9</v>
      </c>
      <c r="H61" s="1" t="s">
        <v>91</v>
      </c>
      <c r="I61" s="2">
        <v>44571</v>
      </c>
      <c r="J61" s="3">
        <v>0.68125000000000002</v>
      </c>
      <c r="K61" s="1" t="s">
        <v>88</v>
      </c>
      <c r="L61" s="1"/>
      <c r="M61" s="1"/>
      <c r="N61" s="19" t="s">
        <v>132</v>
      </c>
      <c r="O61" s="21"/>
    </row>
    <row r="62" spans="1:15" customFormat="1" ht="28.8" hidden="1" x14ac:dyDescent="0.3">
      <c r="A62" s="47">
        <f t="shared" si="0"/>
        <v>2022</v>
      </c>
      <c r="B62" s="46">
        <f t="shared" si="1"/>
        <v>3</v>
      </c>
      <c r="C62" s="46">
        <f t="shared" si="2"/>
        <v>3</v>
      </c>
      <c r="D62" s="1"/>
      <c r="E62" s="1" t="s">
        <v>126</v>
      </c>
      <c r="F62" s="19" t="s">
        <v>127</v>
      </c>
      <c r="G62" s="1" t="s">
        <v>10</v>
      </c>
      <c r="H62" s="1" t="s">
        <v>91</v>
      </c>
      <c r="I62" s="2">
        <v>44571</v>
      </c>
      <c r="J62" s="3">
        <v>0.45763888888888887</v>
      </c>
      <c r="K62" s="1" t="s">
        <v>88</v>
      </c>
      <c r="L62" s="2">
        <v>44575</v>
      </c>
      <c r="M62" s="1"/>
      <c r="N62" s="19" t="s">
        <v>278</v>
      </c>
      <c r="O62" s="21"/>
    </row>
    <row r="63" spans="1:15" customFormat="1" ht="43.2" hidden="1" x14ac:dyDescent="0.3">
      <c r="A63" s="47">
        <f t="shared" si="0"/>
        <v>2022</v>
      </c>
      <c r="B63" s="46">
        <f t="shared" si="1"/>
        <v>2</v>
      </c>
      <c r="C63" s="46">
        <f t="shared" si="2"/>
        <v>3</v>
      </c>
      <c r="D63" s="1"/>
      <c r="E63" s="1" t="s">
        <v>133</v>
      </c>
      <c r="F63" s="45" t="s">
        <v>190</v>
      </c>
      <c r="G63" s="1" t="s">
        <v>10</v>
      </c>
      <c r="H63" s="1" t="s">
        <v>91</v>
      </c>
      <c r="I63" s="2">
        <v>44568</v>
      </c>
      <c r="J63" s="3">
        <v>0.5131944444444444</v>
      </c>
      <c r="K63" s="1" t="s">
        <v>88</v>
      </c>
      <c r="L63" s="2">
        <v>44575</v>
      </c>
      <c r="M63" s="1"/>
      <c r="N63" s="19" t="s">
        <v>134</v>
      </c>
      <c r="O63" s="21"/>
    </row>
    <row r="64" spans="1:15" customFormat="1" ht="72" hidden="1" x14ac:dyDescent="0.3">
      <c r="A64" s="47">
        <f t="shared" si="0"/>
        <v>2022</v>
      </c>
      <c r="B64" s="46">
        <f t="shared" si="1"/>
        <v>3</v>
      </c>
      <c r="C64" s="46">
        <f t="shared" si="2"/>
        <v>3</v>
      </c>
      <c r="D64" s="1"/>
      <c r="E64" s="1" t="s">
        <v>135</v>
      </c>
      <c r="F64" s="19" t="s">
        <v>136</v>
      </c>
      <c r="G64" s="1" t="s">
        <v>9</v>
      </c>
      <c r="H64" s="1" t="s">
        <v>91</v>
      </c>
      <c r="I64" s="2">
        <v>44571</v>
      </c>
      <c r="J64" s="3">
        <v>0.71527777777777779</v>
      </c>
      <c r="K64" s="1" t="s">
        <v>88</v>
      </c>
      <c r="L64" s="2">
        <v>44575</v>
      </c>
      <c r="M64" s="1"/>
      <c r="N64" s="19" t="s">
        <v>549</v>
      </c>
      <c r="O64" s="21"/>
    </row>
    <row r="65" spans="1:15" customFormat="1" ht="15.6" hidden="1" x14ac:dyDescent="0.3">
      <c r="A65" s="47">
        <f t="shared" si="0"/>
        <v>2022</v>
      </c>
      <c r="B65" s="46">
        <f t="shared" si="1"/>
        <v>4</v>
      </c>
      <c r="C65" s="46">
        <f t="shared" si="2"/>
        <v>4</v>
      </c>
      <c r="D65" s="1"/>
      <c r="E65" s="13" t="s">
        <v>137</v>
      </c>
      <c r="F65" s="19" t="s">
        <v>56</v>
      </c>
      <c r="G65" s="1" t="s">
        <v>10</v>
      </c>
      <c r="H65" s="1" t="s">
        <v>91</v>
      </c>
      <c r="I65" s="2">
        <v>44578</v>
      </c>
      <c r="J65" s="3">
        <v>0.42430555555555555</v>
      </c>
      <c r="K65" s="1" t="s">
        <v>88</v>
      </c>
      <c r="L65" s="2">
        <v>44581</v>
      </c>
      <c r="M65" s="1"/>
      <c r="N65" s="19" t="s">
        <v>128</v>
      </c>
      <c r="O65" s="21"/>
    </row>
    <row r="66" spans="1:15" customFormat="1" ht="28.8" hidden="1" x14ac:dyDescent="0.3">
      <c r="A66" s="47">
        <f t="shared" si="0"/>
        <v>2022</v>
      </c>
      <c r="B66" s="46">
        <f t="shared" si="1"/>
        <v>3</v>
      </c>
      <c r="C66" s="46">
        <f t="shared" si="2"/>
        <v>4</v>
      </c>
      <c r="D66" s="1"/>
      <c r="E66" s="17" t="s">
        <v>138</v>
      </c>
      <c r="F66" s="19" t="s">
        <v>136</v>
      </c>
      <c r="G66" s="1" t="s">
        <v>10</v>
      </c>
      <c r="H66" s="1" t="s">
        <v>91</v>
      </c>
      <c r="I66" s="2">
        <v>44574</v>
      </c>
      <c r="J66" s="3">
        <v>0.43263888888888885</v>
      </c>
      <c r="K66" s="1" t="s">
        <v>88</v>
      </c>
      <c r="L66" s="2">
        <v>44581</v>
      </c>
      <c r="M66" s="1"/>
      <c r="N66" s="19" t="s">
        <v>155</v>
      </c>
      <c r="O66" s="21" t="s">
        <v>170</v>
      </c>
    </row>
    <row r="67" spans="1:15" customFormat="1" ht="28.8" hidden="1" x14ac:dyDescent="0.3">
      <c r="A67" s="47">
        <f t="shared" ref="A67:A130" si="3">YEAR(L67)</f>
        <v>2022</v>
      </c>
      <c r="B67" s="46">
        <f t="shared" ref="B67:B130" si="4">WEEKNUM(I67)</f>
        <v>3</v>
      </c>
      <c r="C67" s="46">
        <f t="shared" ref="C67:C130" si="5">WEEKNUM(L67)</f>
        <v>4</v>
      </c>
      <c r="D67" s="1"/>
      <c r="E67" s="267" t="s">
        <v>139</v>
      </c>
      <c r="F67" s="19" t="s">
        <v>136</v>
      </c>
      <c r="G67" s="1" t="s">
        <v>10</v>
      </c>
      <c r="H67" s="1" t="s">
        <v>91</v>
      </c>
      <c r="I67" s="2">
        <v>44574</v>
      </c>
      <c r="J67" s="3">
        <v>0.44027777777777777</v>
      </c>
      <c r="K67" s="1" t="s">
        <v>88</v>
      </c>
      <c r="L67" s="2">
        <v>44581</v>
      </c>
      <c r="M67" s="1"/>
      <c r="N67" s="19" t="s">
        <v>156</v>
      </c>
      <c r="O67" s="21" t="s">
        <v>170</v>
      </c>
    </row>
    <row r="68" spans="1:15" customFormat="1" ht="28.8" hidden="1" x14ac:dyDescent="0.3">
      <c r="A68" s="47">
        <f t="shared" si="3"/>
        <v>2022</v>
      </c>
      <c r="B68" s="46">
        <f t="shared" si="4"/>
        <v>3</v>
      </c>
      <c r="C68" s="46">
        <f t="shared" si="5"/>
        <v>4</v>
      </c>
      <c r="D68" s="1"/>
      <c r="E68" s="267" t="s">
        <v>140</v>
      </c>
      <c r="F68" s="19" t="s">
        <v>136</v>
      </c>
      <c r="G68" s="1" t="s">
        <v>10</v>
      </c>
      <c r="H68" s="1" t="s">
        <v>91</v>
      </c>
      <c r="I68" s="2">
        <v>44574</v>
      </c>
      <c r="J68" s="3">
        <v>0.45069444444444445</v>
      </c>
      <c r="K68" s="1" t="s">
        <v>88</v>
      </c>
      <c r="L68" s="2">
        <v>44581</v>
      </c>
      <c r="M68" s="1"/>
      <c r="N68" s="19" t="s">
        <v>156</v>
      </c>
      <c r="O68" s="21" t="s">
        <v>170</v>
      </c>
    </row>
    <row r="69" spans="1:15" customFormat="1" ht="28.8" hidden="1" x14ac:dyDescent="0.3">
      <c r="A69" s="47">
        <f t="shared" si="3"/>
        <v>2022</v>
      </c>
      <c r="B69" s="46">
        <f t="shared" si="4"/>
        <v>3</v>
      </c>
      <c r="C69" s="46">
        <f t="shared" si="5"/>
        <v>4</v>
      </c>
      <c r="D69" s="1"/>
      <c r="E69" s="17" t="s">
        <v>141</v>
      </c>
      <c r="F69" s="19" t="s">
        <v>136</v>
      </c>
      <c r="G69" s="1" t="s">
        <v>10</v>
      </c>
      <c r="H69" s="1" t="s">
        <v>91</v>
      </c>
      <c r="I69" s="2">
        <v>44574</v>
      </c>
      <c r="J69" s="3">
        <v>0.45416666666666666</v>
      </c>
      <c r="K69" s="1" t="s">
        <v>88</v>
      </c>
      <c r="L69" s="2">
        <v>44581</v>
      </c>
      <c r="M69" s="1"/>
      <c r="N69" s="19" t="s">
        <v>158</v>
      </c>
      <c r="O69" s="21" t="s">
        <v>170</v>
      </c>
    </row>
    <row r="70" spans="1:15" customFormat="1" ht="43.2" hidden="1" x14ac:dyDescent="0.3">
      <c r="A70" s="47">
        <f t="shared" si="3"/>
        <v>2022</v>
      </c>
      <c r="B70" s="46">
        <f t="shared" si="4"/>
        <v>3</v>
      </c>
      <c r="C70" s="46">
        <f t="shared" si="5"/>
        <v>4</v>
      </c>
      <c r="D70" s="1"/>
      <c r="E70" s="267" t="s">
        <v>142</v>
      </c>
      <c r="F70" s="19" t="s">
        <v>136</v>
      </c>
      <c r="G70" s="1" t="s">
        <v>10</v>
      </c>
      <c r="H70" s="1" t="s">
        <v>91</v>
      </c>
      <c r="I70" s="2">
        <v>44574</v>
      </c>
      <c r="J70" s="3">
        <v>0.45833333333333331</v>
      </c>
      <c r="K70" s="1" t="s">
        <v>88</v>
      </c>
      <c r="L70" s="2">
        <v>44581</v>
      </c>
      <c r="M70" s="1"/>
      <c r="N70" s="19" t="s">
        <v>159</v>
      </c>
      <c r="O70" s="21" t="s">
        <v>170</v>
      </c>
    </row>
    <row r="71" spans="1:15" customFormat="1" ht="28.8" hidden="1" x14ac:dyDescent="0.3">
      <c r="A71" s="47">
        <f t="shared" si="3"/>
        <v>2022</v>
      </c>
      <c r="B71" s="46">
        <f t="shared" si="4"/>
        <v>3</v>
      </c>
      <c r="C71" s="46">
        <f t="shared" si="5"/>
        <v>4</v>
      </c>
      <c r="D71" s="1"/>
      <c r="E71" s="267" t="s">
        <v>143</v>
      </c>
      <c r="F71" s="19" t="s">
        <v>136</v>
      </c>
      <c r="G71" s="1" t="s">
        <v>10</v>
      </c>
      <c r="H71" s="1" t="s">
        <v>91</v>
      </c>
      <c r="I71" s="2">
        <v>44574</v>
      </c>
      <c r="J71" s="12">
        <v>0.46111111111111108</v>
      </c>
      <c r="K71" s="1" t="s">
        <v>88</v>
      </c>
      <c r="L71" s="2">
        <v>44581</v>
      </c>
      <c r="M71" s="1"/>
      <c r="N71" s="19" t="s">
        <v>160</v>
      </c>
      <c r="O71" s="21" t="s">
        <v>170</v>
      </c>
    </row>
    <row r="72" spans="1:15" customFormat="1" ht="28.8" hidden="1" x14ac:dyDescent="0.3">
      <c r="A72" s="47">
        <f t="shared" si="3"/>
        <v>2022</v>
      </c>
      <c r="B72" s="46">
        <f t="shared" si="4"/>
        <v>3</v>
      </c>
      <c r="C72" s="46">
        <f t="shared" si="5"/>
        <v>4</v>
      </c>
      <c r="D72" s="1"/>
      <c r="E72" s="268" t="s">
        <v>144</v>
      </c>
      <c r="F72" s="19" t="s">
        <v>136</v>
      </c>
      <c r="G72" s="1" t="s">
        <v>10</v>
      </c>
      <c r="H72" s="1" t="s">
        <v>91</v>
      </c>
      <c r="I72" s="2">
        <v>44574</v>
      </c>
      <c r="J72" s="3">
        <v>0.67361111111111116</v>
      </c>
      <c r="K72" s="1" t="s">
        <v>88</v>
      </c>
      <c r="L72" s="2">
        <v>44581</v>
      </c>
      <c r="M72" s="1"/>
      <c r="N72" s="83" t="s">
        <v>160</v>
      </c>
      <c r="O72" s="21"/>
    </row>
    <row r="73" spans="1:15" customFormat="1" ht="28.8" hidden="1" x14ac:dyDescent="0.3">
      <c r="A73" s="47">
        <f t="shared" si="3"/>
        <v>2022</v>
      </c>
      <c r="B73" s="46">
        <f t="shared" si="4"/>
        <v>3</v>
      </c>
      <c r="C73" s="46">
        <f t="shared" si="5"/>
        <v>4</v>
      </c>
      <c r="D73" s="1"/>
      <c r="E73" s="268" t="s">
        <v>145</v>
      </c>
      <c r="F73" s="19" t="s">
        <v>136</v>
      </c>
      <c r="G73" s="1" t="s">
        <v>10</v>
      </c>
      <c r="H73" s="1" t="s">
        <v>91</v>
      </c>
      <c r="I73" s="2">
        <v>44575</v>
      </c>
      <c r="J73" s="3">
        <v>0.67708333333333337</v>
      </c>
      <c r="K73" s="1" t="s">
        <v>88</v>
      </c>
      <c r="L73" s="2">
        <v>44581</v>
      </c>
      <c r="M73" s="1"/>
      <c r="N73" s="19" t="s">
        <v>160</v>
      </c>
      <c r="O73" s="21"/>
    </row>
    <row r="74" spans="1:15" customFormat="1" ht="28.8" hidden="1" x14ac:dyDescent="0.3">
      <c r="A74" s="47">
        <f t="shared" si="3"/>
        <v>2022</v>
      </c>
      <c r="B74" s="46">
        <f t="shared" si="4"/>
        <v>3</v>
      </c>
      <c r="C74" s="46">
        <f t="shared" si="5"/>
        <v>4</v>
      </c>
      <c r="D74" s="1"/>
      <c r="E74" s="267" t="s">
        <v>146</v>
      </c>
      <c r="F74" s="19" t="s">
        <v>136</v>
      </c>
      <c r="G74" s="1" t="s">
        <v>10</v>
      </c>
      <c r="H74" s="1" t="s">
        <v>91</v>
      </c>
      <c r="I74" s="2">
        <v>44575</v>
      </c>
      <c r="J74" s="3">
        <v>0.68333333333333324</v>
      </c>
      <c r="K74" s="1" t="s">
        <v>88</v>
      </c>
      <c r="L74" s="2">
        <v>44581</v>
      </c>
      <c r="M74" s="1"/>
      <c r="N74" s="19" t="s">
        <v>160</v>
      </c>
      <c r="O74" s="21" t="s">
        <v>170</v>
      </c>
    </row>
    <row r="75" spans="1:15" customFormat="1" ht="28.8" hidden="1" x14ac:dyDescent="0.3">
      <c r="A75" s="47">
        <f t="shared" si="3"/>
        <v>2022</v>
      </c>
      <c r="B75" s="46">
        <f t="shared" si="4"/>
        <v>3</v>
      </c>
      <c r="C75" s="46">
        <f t="shared" si="5"/>
        <v>4</v>
      </c>
      <c r="D75" s="1"/>
      <c r="E75" s="267" t="s">
        <v>147</v>
      </c>
      <c r="F75" s="19" t="s">
        <v>136</v>
      </c>
      <c r="G75" s="1" t="s">
        <v>10</v>
      </c>
      <c r="H75" s="1" t="s">
        <v>91</v>
      </c>
      <c r="I75" s="2">
        <v>44575</v>
      </c>
      <c r="J75" s="3">
        <v>0.68958333333333333</v>
      </c>
      <c r="K75" s="1" t="s">
        <v>88</v>
      </c>
      <c r="L75" s="2">
        <v>44581</v>
      </c>
      <c r="M75" s="1"/>
      <c r="N75" s="19" t="s">
        <v>160</v>
      </c>
      <c r="O75" s="21" t="s">
        <v>170</v>
      </c>
    </row>
    <row r="76" spans="1:15" customFormat="1" ht="28.8" hidden="1" x14ac:dyDescent="0.3">
      <c r="A76" s="47">
        <f t="shared" si="3"/>
        <v>2022</v>
      </c>
      <c r="B76" s="46">
        <f t="shared" si="4"/>
        <v>4</v>
      </c>
      <c r="C76" s="46">
        <f t="shared" si="5"/>
        <v>4</v>
      </c>
      <c r="D76" s="1"/>
      <c r="E76" s="267" t="s">
        <v>148</v>
      </c>
      <c r="F76" s="19" t="s">
        <v>136</v>
      </c>
      <c r="G76" s="1" t="s">
        <v>10</v>
      </c>
      <c r="H76" s="1" t="s">
        <v>91</v>
      </c>
      <c r="I76" s="2">
        <v>44578</v>
      </c>
      <c r="J76" s="3">
        <v>0.43194444444444446</v>
      </c>
      <c r="K76" s="1" t="s">
        <v>88</v>
      </c>
      <c r="L76" s="2">
        <v>44581</v>
      </c>
      <c r="M76" s="1"/>
      <c r="N76" s="19" t="s">
        <v>160</v>
      </c>
      <c r="O76" s="21" t="s">
        <v>170</v>
      </c>
    </row>
    <row r="77" spans="1:15" customFormat="1" ht="28.8" hidden="1" x14ac:dyDescent="0.3">
      <c r="A77" s="47">
        <f t="shared" si="3"/>
        <v>2022</v>
      </c>
      <c r="B77" s="46">
        <f t="shared" si="4"/>
        <v>4</v>
      </c>
      <c r="C77" s="46">
        <f t="shared" si="5"/>
        <v>4</v>
      </c>
      <c r="D77" s="1"/>
      <c r="E77" s="268" t="s">
        <v>149</v>
      </c>
      <c r="F77" s="19" t="s">
        <v>136</v>
      </c>
      <c r="G77" s="1" t="s">
        <v>10</v>
      </c>
      <c r="H77" s="1" t="s">
        <v>91</v>
      </c>
      <c r="I77" s="2">
        <v>44578</v>
      </c>
      <c r="J77" s="3">
        <v>0.46111111111111108</v>
      </c>
      <c r="K77" s="1" t="s">
        <v>88</v>
      </c>
      <c r="L77" s="2">
        <v>44581</v>
      </c>
      <c r="M77" s="1"/>
      <c r="N77" s="19" t="s">
        <v>160</v>
      </c>
      <c r="O77" s="21"/>
    </row>
    <row r="78" spans="1:15" customFormat="1" ht="28.8" hidden="1" x14ac:dyDescent="0.3">
      <c r="A78" s="47">
        <f t="shared" si="3"/>
        <v>2022</v>
      </c>
      <c r="B78" s="46">
        <f t="shared" si="4"/>
        <v>4</v>
      </c>
      <c r="C78" s="46">
        <f t="shared" si="5"/>
        <v>4</v>
      </c>
      <c r="D78" s="1"/>
      <c r="E78" s="267" t="s">
        <v>150</v>
      </c>
      <c r="F78" s="19" t="s">
        <v>136</v>
      </c>
      <c r="G78" s="1" t="s">
        <v>10</v>
      </c>
      <c r="H78" s="1" t="s">
        <v>91</v>
      </c>
      <c r="I78" s="2">
        <v>44578</v>
      </c>
      <c r="J78" s="3">
        <v>0.46111111111111108</v>
      </c>
      <c r="K78" s="1" t="s">
        <v>88</v>
      </c>
      <c r="L78" s="2">
        <v>44581</v>
      </c>
      <c r="M78" s="1"/>
      <c r="N78" s="19" t="s">
        <v>160</v>
      </c>
      <c r="O78" s="21" t="s">
        <v>170</v>
      </c>
    </row>
    <row r="79" spans="1:15" customFormat="1" ht="28.8" hidden="1" x14ac:dyDescent="0.3">
      <c r="A79" s="47">
        <f t="shared" si="3"/>
        <v>2022</v>
      </c>
      <c r="B79" s="46">
        <f t="shared" si="4"/>
        <v>4</v>
      </c>
      <c r="C79" s="46">
        <f t="shared" si="5"/>
        <v>4</v>
      </c>
      <c r="D79" s="1"/>
      <c r="E79" s="267" t="s">
        <v>151</v>
      </c>
      <c r="F79" s="19" t="s">
        <v>136</v>
      </c>
      <c r="G79" s="1" t="s">
        <v>10</v>
      </c>
      <c r="H79" s="1" t="s">
        <v>91</v>
      </c>
      <c r="I79" s="2">
        <v>44578</v>
      </c>
      <c r="J79" s="3">
        <v>0.47013888888888888</v>
      </c>
      <c r="K79" s="1" t="s">
        <v>88</v>
      </c>
      <c r="L79" s="2">
        <v>44581</v>
      </c>
      <c r="M79" s="1"/>
      <c r="N79" s="19" t="s">
        <v>160</v>
      </c>
      <c r="O79" s="21" t="s">
        <v>170</v>
      </c>
    </row>
    <row r="80" spans="1:15" customFormat="1" ht="28.8" hidden="1" x14ac:dyDescent="0.3">
      <c r="A80" s="47">
        <f t="shared" si="3"/>
        <v>2022</v>
      </c>
      <c r="B80" s="46">
        <f t="shared" si="4"/>
        <v>4</v>
      </c>
      <c r="C80" s="46">
        <f t="shared" si="5"/>
        <v>4</v>
      </c>
      <c r="D80" s="1"/>
      <c r="E80" s="267" t="s">
        <v>152</v>
      </c>
      <c r="F80" s="19" t="s">
        <v>136</v>
      </c>
      <c r="G80" s="1" t="s">
        <v>10</v>
      </c>
      <c r="H80" s="1" t="s">
        <v>91</v>
      </c>
      <c r="I80" s="2">
        <v>44578</v>
      </c>
      <c r="J80" s="3">
        <v>0.48888888888888887</v>
      </c>
      <c r="K80" s="1" t="s">
        <v>88</v>
      </c>
      <c r="L80" s="2">
        <v>44581</v>
      </c>
      <c r="M80" s="1"/>
      <c r="N80" s="19" t="s">
        <v>160</v>
      </c>
      <c r="O80" s="21" t="s">
        <v>170</v>
      </c>
    </row>
    <row r="81" spans="1:15" customFormat="1" ht="28.8" hidden="1" x14ac:dyDescent="0.3">
      <c r="A81" s="47">
        <f t="shared" si="3"/>
        <v>2022</v>
      </c>
      <c r="B81" s="46">
        <f t="shared" si="4"/>
        <v>4</v>
      </c>
      <c r="C81" s="46">
        <f t="shared" si="5"/>
        <v>4</v>
      </c>
      <c r="D81" s="1"/>
      <c r="E81" s="17" t="s">
        <v>153</v>
      </c>
      <c r="F81" s="19" t="s">
        <v>136</v>
      </c>
      <c r="G81" s="1" t="s">
        <v>10</v>
      </c>
      <c r="H81" s="1" t="s">
        <v>91</v>
      </c>
      <c r="I81" s="2">
        <v>44578</v>
      </c>
      <c r="J81" s="3">
        <v>0.50069444444444444</v>
      </c>
      <c r="K81" s="1" t="s">
        <v>88</v>
      </c>
      <c r="L81" s="2">
        <v>44581</v>
      </c>
      <c r="M81" s="1"/>
      <c r="N81" s="19" t="s">
        <v>164</v>
      </c>
      <c r="O81" s="21" t="s">
        <v>170</v>
      </c>
    </row>
    <row r="82" spans="1:15" customFormat="1" ht="72" hidden="1" x14ac:dyDescent="0.3">
      <c r="A82" s="47">
        <f t="shared" si="3"/>
        <v>2022</v>
      </c>
      <c r="B82" s="46">
        <f t="shared" si="4"/>
        <v>0</v>
      </c>
      <c r="C82" s="46">
        <f t="shared" si="5"/>
        <v>4</v>
      </c>
      <c r="D82" s="1"/>
      <c r="E82" s="13" t="s">
        <v>154</v>
      </c>
      <c r="F82" s="19" t="s">
        <v>136</v>
      </c>
      <c r="G82" s="1" t="s">
        <v>10</v>
      </c>
      <c r="H82" s="1" t="s">
        <v>91</v>
      </c>
      <c r="I82" s="1"/>
      <c r="J82" s="1"/>
      <c r="K82" s="1" t="s">
        <v>73</v>
      </c>
      <c r="L82" s="2">
        <v>44581</v>
      </c>
      <c r="M82" s="1"/>
      <c r="N82" s="19" t="s">
        <v>297</v>
      </c>
      <c r="O82" s="21" t="s">
        <v>296</v>
      </c>
    </row>
    <row r="83" spans="1:15" customFormat="1" ht="28.8" hidden="1" x14ac:dyDescent="0.3">
      <c r="A83" s="47">
        <f t="shared" si="3"/>
        <v>2022</v>
      </c>
      <c r="B83" s="46">
        <f t="shared" si="4"/>
        <v>4</v>
      </c>
      <c r="C83" s="46">
        <f t="shared" si="5"/>
        <v>4</v>
      </c>
      <c r="D83" s="1"/>
      <c r="E83" s="17" t="s">
        <v>157</v>
      </c>
      <c r="F83" s="19" t="s">
        <v>136</v>
      </c>
      <c r="G83" s="1" t="s">
        <v>10</v>
      </c>
      <c r="H83" s="1" t="s">
        <v>91</v>
      </c>
      <c r="I83" s="2">
        <v>44581</v>
      </c>
      <c r="J83" s="3">
        <v>0.7006944444444444</v>
      </c>
      <c r="K83" s="1" t="s">
        <v>73</v>
      </c>
      <c r="L83" s="2">
        <v>44581</v>
      </c>
      <c r="M83" s="1"/>
      <c r="N83" s="19"/>
      <c r="O83" s="21" t="s">
        <v>170</v>
      </c>
    </row>
    <row r="84" spans="1:15" customFormat="1" ht="28.8" hidden="1" x14ac:dyDescent="0.3">
      <c r="A84" s="47">
        <f t="shared" si="3"/>
        <v>2022</v>
      </c>
      <c r="B84" s="46">
        <f t="shared" si="4"/>
        <v>4</v>
      </c>
      <c r="C84" s="46">
        <f t="shared" si="5"/>
        <v>4</v>
      </c>
      <c r="D84" s="1"/>
      <c r="E84" s="17" t="s">
        <v>255</v>
      </c>
      <c r="F84" s="19" t="s">
        <v>136</v>
      </c>
      <c r="G84" s="1" t="s">
        <v>10</v>
      </c>
      <c r="H84" s="1" t="s">
        <v>91</v>
      </c>
      <c r="I84" s="2">
        <v>44581</v>
      </c>
      <c r="J84" s="3">
        <v>0.70416666666666661</v>
      </c>
      <c r="K84" s="1" t="s">
        <v>73</v>
      </c>
      <c r="L84" s="2">
        <v>44581</v>
      </c>
      <c r="M84" s="1"/>
      <c r="N84" s="19"/>
      <c r="O84" s="21" t="s">
        <v>170</v>
      </c>
    </row>
    <row r="85" spans="1:15" customFormat="1" ht="28.8" hidden="1" x14ac:dyDescent="0.3">
      <c r="A85" s="47">
        <f t="shared" si="3"/>
        <v>2022</v>
      </c>
      <c r="B85" s="46">
        <f t="shared" si="4"/>
        <v>4</v>
      </c>
      <c r="C85" s="46">
        <f t="shared" si="5"/>
        <v>4</v>
      </c>
      <c r="D85" s="1"/>
      <c r="E85" s="17" t="s">
        <v>161</v>
      </c>
      <c r="F85" s="19" t="s">
        <v>136</v>
      </c>
      <c r="G85" s="1" t="s">
        <v>10</v>
      </c>
      <c r="H85" s="1" t="s">
        <v>91</v>
      </c>
      <c r="I85" s="2">
        <v>44581</v>
      </c>
      <c r="J85" s="3">
        <v>0.70624999999999993</v>
      </c>
      <c r="K85" s="1" t="s">
        <v>73</v>
      </c>
      <c r="L85" s="2">
        <v>44581</v>
      </c>
      <c r="M85" s="1"/>
      <c r="N85" s="19"/>
      <c r="O85" s="21" t="s">
        <v>170</v>
      </c>
    </row>
    <row r="86" spans="1:15" customFormat="1" ht="28.8" hidden="1" x14ac:dyDescent="0.3">
      <c r="A86" s="47">
        <f t="shared" si="3"/>
        <v>2022</v>
      </c>
      <c r="B86" s="46">
        <f t="shared" si="4"/>
        <v>4</v>
      </c>
      <c r="C86" s="46">
        <f t="shared" si="5"/>
        <v>4</v>
      </c>
      <c r="D86" s="1"/>
      <c r="E86" s="4" t="s">
        <v>171</v>
      </c>
      <c r="F86" s="19" t="s">
        <v>136</v>
      </c>
      <c r="G86" s="1" t="s">
        <v>10</v>
      </c>
      <c r="H86" s="1" t="s">
        <v>172</v>
      </c>
      <c r="I86" s="2">
        <v>44579</v>
      </c>
      <c r="J86" s="3">
        <v>0.70833333333333337</v>
      </c>
      <c r="K86" s="1" t="s">
        <v>73</v>
      </c>
      <c r="L86" s="2">
        <v>44581</v>
      </c>
      <c r="M86" s="1"/>
      <c r="N86" s="19"/>
      <c r="O86" s="21" t="s">
        <v>170</v>
      </c>
    </row>
    <row r="87" spans="1:15" customFormat="1" ht="28.8" hidden="1" x14ac:dyDescent="0.3">
      <c r="A87" s="47">
        <f t="shared" si="3"/>
        <v>2022</v>
      </c>
      <c r="B87" s="46">
        <f t="shared" si="4"/>
        <v>4</v>
      </c>
      <c r="C87" s="46">
        <f t="shared" si="5"/>
        <v>4</v>
      </c>
      <c r="D87" s="1"/>
      <c r="E87" s="4" t="s">
        <v>173</v>
      </c>
      <c r="F87" s="19" t="s">
        <v>136</v>
      </c>
      <c r="G87" s="1" t="s">
        <v>10</v>
      </c>
      <c r="H87" s="1" t="s">
        <v>172</v>
      </c>
      <c r="I87" s="2">
        <v>44579</v>
      </c>
      <c r="J87" s="3">
        <v>0.70833333333333337</v>
      </c>
      <c r="K87" s="1" t="s">
        <v>73</v>
      </c>
      <c r="L87" s="2">
        <v>44581</v>
      </c>
      <c r="M87" s="1"/>
      <c r="N87" s="19"/>
      <c r="O87" s="21" t="s">
        <v>170</v>
      </c>
    </row>
    <row r="88" spans="1:15" customFormat="1" ht="28.8" hidden="1" x14ac:dyDescent="0.3">
      <c r="A88" s="47">
        <f t="shared" si="3"/>
        <v>2022</v>
      </c>
      <c r="B88" s="46">
        <f t="shared" si="4"/>
        <v>4</v>
      </c>
      <c r="C88" s="46">
        <f t="shared" si="5"/>
        <v>4</v>
      </c>
      <c r="D88" s="1"/>
      <c r="E88" s="4" t="s">
        <v>174</v>
      </c>
      <c r="F88" s="19" t="s">
        <v>136</v>
      </c>
      <c r="G88" s="1" t="s">
        <v>10</v>
      </c>
      <c r="H88" s="1" t="s">
        <v>172</v>
      </c>
      <c r="I88" s="2">
        <v>44579</v>
      </c>
      <c r="J88" s="3">
        <v>0.71458333333333324</v>
      </c>
      <c r="K88" s="1" t="s">
        <v>73</v>
      </c>
      <c r="L88" s="2">
        <v>44581</v>
      </c>
      <c r="M88" s="1"/>
      <c r="N88" s="19"/>
      <c r="O88" s="21" t="s">
        <v>170</v>
      </c>
    </row>
    <row r="89" spans="1:15" customFormat="1" ht="28.8" hidden="1" x14ac:dyDescent="0.3">
      <c r="A89" s="47">
        <f t="shared" si="3"/>
        <v>2022</v>
      </c>
      <c r="B89" s="46">
        <f t="shared" si="4"/>
        <v>4</v>
      </c>
      <c r="C89" s="46">
        <f t="shared" si="5"/>
        <v>4</v>
      </c>
      <c r="D89" s="1"/>
      <c r="E89" s="4" t="s">
        <v>175</v>
      </c>
      <c r="F89" s="19" t="s">
        <v>136</v>
      </c>
      <c r="G89" s="1" t="s">
        <v>10</v>
      </c>
      <c r="H89" s="1" t="s">
        <v>172</v>
      </c>
      <c r="I89" s="2">
        <v>44579</v>
      </c>
      <c r="J89" s="3">
        <v>0.71597222222222223</v>
      </c>
      <c r="K89" s="1" t="s">
        <v>73</v>
      </c>
      <c r="L89" s="2">
        <v>44581</v>
      </c>
      <c r="M89" s="1"/>
      <c r="N89" s="19"/>
      <c r="O89" s="21" t="s">
        <v>170</v>
      </c>
    </row>
    <row r="90" spans="1:15" customFormat="1" ht="28.8" hidden="1" x14ac:dyDescent="0.3">
      <c r="A90" s="47">
        <f t="shared" si="3"/>
        <v>2022</v>
      </c>
      <c r="B90" s="46">
        <f t="shared" si="4"/>
        <v>4</v>
      </c>
      <c r="C90" s="46">
        <f t="shared" si="5"/>
        <v>4</v>
      </c>
      <c r="D90" s="1"/>
      <c r="E90" s="4" t="s">
        <v>176</v>
      </c>
      <c r="F90" s="19" t="s">
        <v>136</v>
      </c>
      <c r="G90" s="1" t="s">
        <v>10</v>
      </c>
      <c r="H90" s="1" t="s">
        <v>172</v>
      </c>
      <c r="I90" s="2">
        <v>44579</v>
      </c>
      <c r="J90" s="3">
        <v>0.71875</v>
      </c>
      <c r="K90" s="1" t="s">
        <v>73</v>
      </c>
      <c r="L90" s="2">
        <v>44581</v>
      </c>
      <c r="M90" s="1"/>
      <c r="N90" s="19"/>
      <c r="O90" s="21" t="s">
        <v>170</v>
      </c>
    </row>
    <row r="91" spans="1:15" customFormat="1" ht="28.8" hidden="1" x14ac:dyDescent="0.3">
      <c r="A91" s="47">
        <f t="shared" si="3"/>
        <v>2022</v>
      </c>
      <c r="B91" s="46">
        <f t="shared" si="4"/>
        <v>4</v>
      </c>
      <c r="C91" s="46">
        <f t="shared" si="5"/>
        <v>4</v>
      </c>
      <c r="D91" s="1"/>
      <c r="E91" s="4" t="s">
        <v>177</v>
      </c>
      <c r="F91" s="19" t="s">
        <v>136</v>
      </c>
      <c r="G91" s="1" t="s">
        <v>10</v>
      </c>
      <c r="H91" s="1" t="s">
        <v>172</v>
      </c>
      <c r="I91" s="2">
        <v>44579</v>
      </c>
      <c r="J91" s="3">
        <v>0.72222222222222221</v>
      </c>
      <c r="K91" s="1" t="s">
        <v>73</v>
      </c>
      <c r="L91" s="2">
        <v>44581</v>
      </c>
      <c r="M91" s="1"/>
      <c r="N91" s="19"/>
      <c r="O91" s="21" t="s">
        <v>170</v>
      </c>
    </row>
    <row r="92" spans="1:15" customFormat="1" ht="28.8" hidden="1" x14ac:dyDescent="0.3">
      <c r="A92" s="47">
        <f t="shared" si="3"/>
        <v>2022</v>
      </c>
      <c r="B92" s="46">
        <f t="shared" si="4"/>
        <v>4</v>
      </c>
      <c r="C92" s="46">
        <f t="shared" si="5"/>
        <v>4</v>
      </c>
      <c r="D92" s="1"/>
      <c r="E92" s="4" t="s">
        <v>178</v>
      </c>
      <c r="F92" s="19" t="s">
        <v>136</v>
      </c>
      <c r="G92" s="1" t="s">
        <v>10</v>
      </c>
      <c r="H92" s="1" t="s">
        <v>172</v>
      </c>
      <c r="I92" s="2">
        <v>44579</v>
      </c>
      <c r="J92" s="3">
        <v>0.72430555555555554</v>
      </c>
      <c r="K92" s="1" t="s">
        <v>73</v>
      </c>
      <c r="L92" s="2">
        <v>44581</v>
      </c>
      <c r="M92" s="1"/>
      <c r="N92" s="19"/>
      <c r="O92" s="21" t="s">
        <v>170</v>
      </c>
    </row>
    <row r="93" spans="1:15" customFormat="1" ht="28.8" hidden="1" x14ac:dyDescent="0.3">
      <c r="A93" s="47">
        <f t="shared" si="3"/>
        <v>2022</v>
      </c>
      <c r="B93" s="46">
        <f t="shared" si="4"/>
        <v>4</v>
      </c>
      <c r="C93" s="46">
        <f t="shared" si="5"/>
        <v>4</v>
      </c>
      <c r="D93" s="1"/>
      <c r="E93" s="4" t="s">
        <v>179</v>
      </c>
      <c r="F93" s="19" t="s">
        <v>136</v>
      </c>
      <c r="G93" s="1" t="s">
        <v>10</v>
      </c>
      <c r="H93" s="1" t="s">
        <v>172</v>
      </c>
      <c r="I93" s="2">
        <v>44580</v>
      </c>
      <c r="J93" s="3">
        <v>0.32222222222222224</v>
      </c>
      <c r="K93" s="1" t="s">
        <v>73</v>
      </c>
      <c r="L93" s="2">
        <v>44581</v>
      </c>
      <c r="M93" s="1"/>
      <c r="N93" s="19"/>
      <c r="O93" s="21" t="s">
        <v>170</v>
      </c>
    </row>
    <row r="94" spans="1:15" customFormat="1" ht="28.8" hidden="1" x14ac:dyDescent="0.3">
      <c r="A94" s="47">
        <f t="shared" si="3"/>
        <v>2022</v>
      </c>
      <c r="B94" s="46">
        <f t="shared" si="4"/>
        <v>4</v>
      </c>
      <c r="C94" s="46">
        <f t="shared" si="5"/>
        <v>4</v>
      </c>
      <c r="D94" s="1"/>
      <c r="E94" s="1" t="s">
        <v>180</v>
      </c>
      <c r="F94" s="19" t="s">
        <v>193</v>
      </c>
      <c r="G94" s="1" t="s">
        <v>9</v>
      </c>
      <c r="H94" s="1" t="s">
        <v>172</v>
      </c>
      <c r="I94" s="2">
        <v>44581</v>
      </c>
      <c r="J94" s="3">
        <v>0.37083333333333335</v>
      </c>
      <c r="K94" s="1" t="s">
        <v>73</v>
      </c>
      <c r="L94" s="2">
        <v>44582</v>
      </c>
      <c r="M94" s="3">
        <v>0.41319444444444442</v>
      </c>
      <c r="N94" s="19" t="s">
        <v>182</v>
      </c>
      <c r="O94" s="21"/>
    </row>
    <row r="95" spans="1:15" customFormat="1" hidden="1" x14ac:dyDescent="0.3">
      <c r="A95" s="47">
        <f t="shared" si="3"/>
        <v>2022</v>
      </c>
      <c r="B95" s="46">
        <f t="shared" si="4"/>
        <v>4</v>
      </c>
      <c r="C95" s="46">
        <f t="shared" si="5"/>
        <v>5</v>
      </c>
      <c r="D95" s="1"/>
      <c r="E95" s="1" t="s">
        <v>183</v>
      </c>
      <c r="F95" s="19" t="s">
        <v>193</v>
      </c>
      <c r="G95" s="1" t="s">
        <v>9</v>
      </c>
      <c r="H95" s="1" t="s">
        <v>172</v>
      </c>
      <c r="I95" s="2">
        <v>44581</v>
      </c>
      <c r="J95" s="3">
        <v>0.37291666666666662</v>
      </c>
      <c r="K95" s="1" t="s">
        <v>73</v>
      </c>
      <c r="L95" s="2">
        <v>44585</v>
      </c>
      <c r="M95" s="3">
        <v>0.30972222222222223</v>
      </c>
      <c r="N95" s="19" t="s">
        <v>184</v>
      </c>
      <c r="O95" s="21"/>
    </row>
    <row r="96" spans="1:15" customFormat="1" hidden="1" x14ac:dyDescent="0.3">
      <c r="A96" s="47">
        <f t="shared" si="3"/>
        <v>2022</v>
      </c>
      <c r="B96" s="46">
        <f t="shared" si="4"/>
        <v>4</v>
      </c>
      <c r="C96" s="46">
        <f t="shared" si="5"/>
        <v>5</v>
      </c>
      <c r="D96" s="1"/>
      <c r="E96" s="1" t="s">
        <v>185</v>
      </c>
      <c r="F96" s="19" t="s">
        <v>193</v>
      </c>
      <c r="G96" s="1" t="s">
        <v>9</v>
      </c>
      <c r="H96" s="1" t="s">
        <v>172</v>
      </c>
      <c r="I96" s="2">
        <v>44581</v>
      </c>
      <c r="J96" s="3">
        <v>0.37638888888888888</v>
      </c>
      <c r="K96" s="1" t="s">
        <v>73</v>
      </c>
      <c r="L96" s="2">
        <v>44585</v>
      </c>
      <c r="M96" s="3">
        <v>0.3611111111111111</v>
      </c>
      <c r="N96" s="19" t="s">
        <v>186</v>
      </c>
      <c r="O96" s="21"/>
    </row>
    <row r="97" spans="1:15" customFormat="1" hidden="1" x14ac:dyDescent="0.3">
      <c r="A97" s="47">
        <f t="shared" si="3"/>
        <v>2022</v>
      </c>
      <c r="B97" s="46">
        <f t="shared" si="4"/>
        <v>4</v>
      </c>
      <c r="C97" s="46">
        <f t="shared" si="5"/>
        <v>5</v>
      </c>
      <c r="D97" s="1"/>
      <c r="E97" s="1" t="s">
        <v>187</v>
      </c>
      <c r="F97" s="19" t="s">
        <v>193</v>
      </c>
      <c r="G97" s="1" t="s">
        <v>9</v>
      </c>
      <c r="H97" s="1" t="s">
        <v>172</v>
      </c>
      <c r="I97" s="2">
        <v>44581</v>
      </c>
      <c r="J97" s="3">
        <v>0.3833333333333333</v>
      </c>
      <c r="K97" s="1" t="s">
        <v>73</v>
      </c>
      <c r="L97" s="2">
        <v>44585</v>
      </c>
      <c r="M97" s="3">
        <v>0.42083333333333334</v>
      </c>
      <c r="N97" s="19" t="s">
        <v>186</v>
      </c>
      <c r="O97" s="21"/>
    </row>
    <row r="98" spans="1:15" customFormat="1" ht="28.8" hidden="1" x14ac:dyDescent="0.3">
      <c r="A98" s="47">
        <f t="shared" si="3"/>
        <v>2022</v>
      </c>
      <c r="B98" s="46">
        <f t="shared" si="4"/>
        <v>4</v>
      </c>
      <c r="C98" s="46">
        <f t="shared" si="5"/>
        <v>5</v>
      </c>
      <c r="D98" s="1"/>
      <c r="E98" s="1" t="s">
        <v>188</v>
      </c>
      <c r="F98" s="19" t="s">
        <v>193</v>
      </c>
      <c r="G98" s="1" t="s">
        <v>9</v>
      </c>
      <c r="H98" s="1" t="s">
        <v>172</v>
      </c>
      <c r="I98" s="2">
        <v>44581</v>
      </c>
      <c r="J98" s="3">
        <v>0.68263888888888891</v>
      </c>
      <c r="K98" s="1" t="s">
        <v>73</v>
      </c>
      <c r="L98" s="2">
        <v>44585</v>
      </c>
      <c r="M98" s="3">
        <v>0.4375</v>
      </c>
      <c r="N98" s="19" t="s">
        <v>550</v>
      </c>
      <c r="O98" s="21"/>
    </row>
    <row r="99" spans="1:15" customFormat="1" ht="28.8" hidden="1" x14ac:dyDescent="0.3">
      <c r="A99" s="47">
        <f t="shared" si="3"/>
        <v>2022</v>
      </c>
      <c r="B99" s="46">
        <f t="shared" si="4"/>
        <v>4</v>
      </c>
      <c r="C99" s="46">
        <f t="shared" si="5"/>
        <v>5</v>
      </c>
      <c r="D99" s="1"/>
      <c r="E99" s="1" t="s">
        <v>189</v>
      </c>
      <c r="F99" s="19" t="s">
        <v>194</v>
      </c>
      <c r="G99" s="1" t="s">
        <v>10</v>
      </c>
      <c r="H99" s="1" t="s">
        <v>172</v>
      </c>
      <c r="I99" s="2">
        <v>44579</v>
      </c>
      <c r="J99" s="3">
        <v>0.69652777777777775</v>
      </c>
      <c r="K99" s="1" t="s">
        <v>88</v>
      </c>
      <c r="L99" s="2">
        <v>44585</v>
      </c>
      <c r="M99" s="3">
        <v>0.45833333333333331</v>
      </c>
      <c r="N99" s="19" t="s">
        <v>195</v>
      </c>
      <c r="O99" s="21"/>
    </row>
    <row r="100" spans="1:15" customFormat="1" ht="28.8" hidden="1" x14ac:dyDescent="0.3">
      <c r="A100" s="47">
        <f t="shared" si="3"/>
        <v>2022</v>
      </c>
      <c r="B100" s="46">
        <f t="shared" si="4"/>
        <v>4</v>
      </c>
      <c r="C100" s="46">
        <f t="shared" si="5"/>
        <v>5</v>
      </c>
      <c r="D100" s="1"/>
      <c r="E100" s="1" t="s">
        <v>179</v>
      </c>
      <c r="F100" s="19" t="s">
        <v>194</v>
      </c>
      <c r="G100" s="1" t="s">
        <v>10</v>
      </c>
      <c r="H100" s="1" t="s">
        <v>172</v>
      </c>
      <c r="I100" s="2">
        <v>44580</v>
      </c>
      <c r="J100" s="1"/>
      <c r="K100" s="1" t="s">
        <v>88</v>
      </c>
      <c r="L100" s="2">
        <v>44585</v>
      </c>
      <c r="M100" s="3">
        <v>0.50416666666666665</v>
      </c>
      <c r="N100" s="19" t="s">
        <v>196</v>
      </c>
      <c r="O100" s="21"/>
    </row>
    <row r="101" spans="1:15" customFormat="1" ht="28.8" hidden="1" x14ac:dyDescent="0.3">
      <c r="A101" s="47">
        <f t="shared" si="3"/>
        <v>2022</v>
      </c>
      <c r="B101" s="46">
        <f t="shared" si="4"/>
        <v>4</v>
      </c>
      <c r="C101" s="46">
        <f t="shared" si="5"/>
        <v>5</v>
      </c>
      <c r="D101" s="1"/>
      <c r="E101" s="1" t="s">
        <v>197</v>
      </c>
      <c r="F101" s="19" t="s">
        <v>199</v>
      </c>
      <c r="G101" s="1" t="s">
        <v>10</v>
      </c>
      <c r="H101" s="1" t="s">
        <v>172</v>
      </c>
      <c r="I101" s="2">
        <v>44579</v>
      </c>
      <c r="J101" s="1"/>
      <c r="K101" s="1" t="s">
        <v>88</v>
      </c>
      <c r="L101" s="2">
        <v>44585</v>
      </c>
      <c r="M101" s="3">
        <v>0.51180555555555551</v>
      </c>
      <c r="N101" s="19" t="s">
        <v>198</v>
      </c>
      <c r="O101" s="10"/>
    </row>
    <row r="102" spans="1:15" customFormat="1" ht="28.8" hidden="1" x14ac:dyDescent="0.3">
      <c r="A102" s="47">
        <f t="shared" si="3"/>
        <v>2022</v>
      </c>
      <c r="B102" s="46">
        <f t="shared" si="4"/>
        <v>4</v>
      </c>
      <c r="C102" s="46">
        <f t="shared" si="5"/>
        <v>5</v>
      </c>
      <c r="D102" s="1"/>
      <c r="E102" s="1" t="s">
        <v>173</v>
      </c>
      <c r="F102" s="19" t="s">
        <v>199</v>
      </c>
      <c r="G102" s="1" t="s">
        <v>10</v>
      </c>
      <c r="H102" s="1" t="s">
        <v>172</v>
      </c>
      <c r="I102" s="2">
        <v>44579</v>
      </c>
      <c r="J102" s="1"/>
      <c r="K102" s="1" t="s">
        <v>88</v>
      </c>
      <c r="L102" s="2">
        <v>44585</v>
      </c>
      <c r="M102" s="1"/>
      <c r="N102" s="19" t="s">
        <v>200</v>
      </c>
      <c r="O102" s="21"/>
    </row>
    <row r="103" spans="1:15" customFormat="1" hidden="1" x14ac:dyDescent="0.3">
      <c r="A103" s="47">
        <f t="shared" si="3"/>
        <v>2022</v>
      </c>
      <c r="B103" s="46">
        <f t="shared" si="4"/>
        <v>4</v>
      </c>
      <c r="C103" s="46">
        <f t="shared" si="5"/>
        <v>5</v>
      </c>
      <c r="D103" s="1"/>
      <c r="E103" s="1" t="s">
        <v>201</v>
      </c>
      <c r="F103" s="19" t="s">
        <v>181</v>
      </c>
      <c r="G103" s="1" t="s">
        <v>10</v>
      </c>
      <c r="H103" s="1" t="s">
        <v>172</v>
      </c>
      <c r="I103" s="2">
        <v>44581</v>
      </c>
      <c r="J103" s="3">
        <v>0.68680555555555556</v>
      </c>
      <c r="K103" s="1" t="s">
        <v>73</v>
      </c>
      <c r="L103" s="2">
        <v>44585</v>
      </c>
      <c r="M103" s="3">
        <v>0.66041666666666665</v>
      </c>
      <c r="N103" s="19" t="s">
        <v>202</v>
      </c>
      <c r="O103" s="21"/>
    </row>
    <row r="104" spans="1:15" customFormat="1" ht="28.8" hidden="1" x14ac:dyDescent="0.3">
      <c r="A104" s="47">
        <f t="shared" si="3"/>
        <v>2022</v>
      </c>
      <c r="B104" s="46">
        <f t="shared" si="4"/>
        <v>4</v>
      </c>
      <c r="C104" s="46">
        <f t="shared" si="5"/>
        <v>5</v>
      </c>
      <c r="D104" s="1"/>
      <c r="E104" s="1" t="s">
        <v>203</v>
      </c>
      <c r="F104" s="19" t="s">
        <v>204</v>
      </c>
      <c r="G104" s="1" t="s">
        <v>10</v>
      </c>
      <c r="H104" s="1" t="s">
        <v>172</v>
      </c>
      <c r="I104" s="2">
        <v>44582</v>
      </c>
      <c r="J104" s="3">
        <v>0.64930555555555558</v>
      </c>
      <c r="K104" s="1" t="s">
        <v>73</v>
      </c>
      <c r="L104" s="2">
        <v>44585</v>
      </c>
      <c r="M104" s="3">
        <v>0.67361111111111116</v>
      </c>
      <c r="N104" s="19" t="s">
        <v>205</v>
      </c>
      <c r="O104" s="21"/>
    </row>
    <row r="105" spans="1:15" customFormat="1" ht="28.8" hidden="1" x14ac:dyDescent="0.3">
      <c r="A105" s="47">
        <f t="shared" si="3"/>
        <v>2022</v>
      </c>
      <c r="B105" s="46">
        <f t="shared" si="4"/>
        <v>4</v>
      </c>
      <c r="C105" s="46">
        <f t="shared" si="5"/>
        <v>5</v>
      </c>
      <c r="D105" s="1"/>
      <c r="E105" s="1" t="s">
        <v>206</v>
      </c>
      <c r="F105" s="19" t="s">
        <v>207</v>
      </c>
      <c r="G105" s="1" t="s">
        <v>10</v>
      </c>
      <c r="H105" s="1" t="s">
        <v>172</v>
      </c>
      <c r="I105" s="2">
        <v>44582</v>
      </c>
      <c r="J105" s="3">
        <v>0.68611111111111101</v>
      </c>
      <c r="K105" s="1" t="s">
        <v>73</v>
      </c>
      <c r="L105" s="2">
        <v>44586</v>
      </c>
      <c r="M105" s="3">
        <v>0.2986111111111111</v>
      </c>
      <c r="N105" s="19" t="s">
        <v>208</v>
      </c>
      <c r="O105" s="21"/>
    </row>
    <row r="106" spans="1:15" customFormat="1" hidden="1" x14ac:dyDescent="0.3">
      <c r="A106" s="47">
        <f t="shared" si="3"/>
        <v>2021</v>
      </c>
      <c r="B106" s="46">
        <f t="shared" si="4"/>
        <v>4</v>
      </c>
      <c r="C106" s="46">
        <f t="shared" si="5"/>
        <v>5</v>
      </c>
      <c r="D106" s="1"/>
      <c r="E106" s="1" t="s">
        <v>209</v>
      </c>
      <c r="F106" s="19" t="s">
        <v>210</v>
      </c>
      <c r="G106" s="1" t="s">
        <v>10</v>
      </c>
      <c r="H106" s="1" t="s">
        <v>172</v>
      </c>
      <c r="I106" s="2">
        <v>44582</v>
      </c>
      <c r="J106" s="3">
        <v>0.62430555555555556</v>
      </c>
      <c r="K106" s="1" t="s">
        <v>88</v>
      </c>
      <c r="L106" s="2">
        <v>44221</v>
      </c>
      <c r="M106" s="3">
        <v>0.52083333333333337</v>
      </c>
      <c r="N106" s="19" t="s">
        <v>115</v>
      </c>
      <c r="O106" s="21"/>
    </row>
    <row r="107" spans="1:15" customFormat="1" hidden="1" x14ac:dyDescent="0.3">
      <c r="A107" s="47">
        <f t="shared" si="3"/>
        <v>2021</v>
      </c>
      <c r="B107" s="46">
        <f t="shared" si="4"/>
        <v>4</v>
      </c>
      <c r="C107" s="46">
        <f t="shared" si="5"/>
        <v>5</v>
      </c>
      <c r="D107" s="1"/>
      <c r="E107" s="1" t="s">
        <v>212</v>
      </c>
      <c r="F107" s="19" t="s">
        <v>211</v>
      </c>
      <c r="G107" s="1" t="s">
        <v>10</v>
      </c>
      <c r="H107" s="1" t="s">
        <v>172</v>
      </c>
      <c r="I107" s="2">
        <v>44582</v>
      </c>
      <c r="J107" s="3">
        <v>0.625</v>
      </c>
      <c r="K107" s="1" t="s">
        <v>88</v>
      </c>
      <c r="L107" s="2">
        <v>44221</v>
      </c>
      <c r="M107" s="3">
        <v>0.52361111111111114</v>
      </c>
      <c r="N107" s="19" t="s">
        <v>213</v>
      </c>
      <c r="O107" s="21"/>
    </row>
    <row r="108" spans="1:15" customFormat="1" hidden="1" x14ac:dyDescent="0.3">
      <c r="A108" s="47">
        <f t="shared" si="3"/>
        <v>2021</v>
      </c>
      <c r="B108" s="46">
        <f t="shared" si="4"/>
        <v>4</v>
      </c>
      <c r="C108" s="46">
        <f t="shared" si="5"/>
        <v>5</v>
      </c>
      <c r="D108" s="1"/>
      <c r="E108" s="1" t="s">
        <v>214</v>
      </c>
      <c r="F108" s="19" t="s">
        <v>215</v>
      </c>
      <c r="G108" s="1" t="s">
        <v>10</v>
      </c>
      <c r="H108" s="1" t="s">
        <v>172</v>
      </c>
      <c r="I108" s="2">
        <v>44582</v>
      </c>
      <c r="J108" s="3">
        <v>0.64444444444444449</v>
      </c>
      <c r="K108" s="1" t="s">
        <v>88</v>
      </c>
      <c r="L108" s="2">
        <v>44221</v>
      </c>
      <c r="M108" s="3">
        <v>0.52405092592592595</v>
      </c>
      <c r="N108" s="19" t="s">
        <v>216</v>
      </c>
      <c r="O108" s="21"/>
    </row>
    <row r="109" spans="1:15" customFormat="1" hidden="1" x14ac:dyDescent="0.3">
      <c r="A109" s="47">
        <f t="shared" si="3"/>
        <v>2021</v>
      </c>
      <c r="B109" s="46">
        <f t="shared" si="4"/>
        <v>4</v>
      </c>
      <c r="C109" s="46">
        <f t="shared" si="5"/>
        <v>5</v>
      </c>
      <c r="D109" s="1"/>
      <c r="E109" s="1" t="s">
        <v>217</v>
      </c>
      <c r="F109" s="19" t="s">
        <v>218</v>
      </c>
      <c r="G109" s="1" t="s">
        <v>10</v>
      </c>
      <c r="H109" s="1" t="s">
        <v>172</v>
      </c>
      <c r="I109" s="2">
        <v>44582</v>
      </c>
      <c r="J109" s="3">
        <v>0.64861111111111114</v>
      </c>
      <c r="K109" s="1" t="s">
        <v>88</v>
      </c>
      <c r="L109" s="2">
        <v>44221</v>
      </c>
      <c r="M109" s="3">
        <v>0.52410879629629636</v>
      </c>
      <c r="N109" s="19" t="s">
        <v>216</v>
      </c>
      <c r="O109" s="21"/>
    </row>
    <row r="110" spans="1:15" customFormat="1" hidden="1" x14ac:dyDescent="0.3">
      <c r="A110" s="47">
        <f t="shared" si="3"/>
        <v>2021</v>
      </c>
      <c r="B110" s="46">
        <f t="shared" si="4"/>
        <v>4</v>
      </c>
      <c r="C110" s="46">
        <f t="shared" si="5"/>
        <v>5</v>
      </c>
      <c r="D110" s="1"/>
      <c r="E110" s="1" t="s">
        <v>220</v>
      </c>
      <c r="F110" s="19" t="s">
        <v>221</v>
      </c>
      <c r="G110" s="1" t="s">
        <v>10</v>
      </c>
      <c r="H110" s="1" t="s">
        <v>172</v>
      </c>
      <c r="I110" s="2">
        <v>44582</v>
      </c>
      <c r="J110" s="3">
        <v>0.67222222222222217</v>
      </c>
      <c r="K110" s="1" t="s">
        <v>88</v>
      </c>
      <c r="L110" s="2">
        <v>44221</v>
      </c>
      <c r="M110" s="3">
        <v>0.54305555555555551</v>
      </c>
      <c r="N110" s="19" t="s">
        <v>219</v>
      </c>
      <c r="O110" s="21"/>
    </row>
    <row r="111" spans="1:15" customFormat="1" hidden="1" x14ac:dyDescent="0.3">
      <c r="A111" s="47">
        <f t="shared" si="3"/>
        <v>2021</v>
      </c>
      <c r="B111" s="46">
        <f t="shared" si="4"/>
        <v>5</v>
      </c>
      <c r="C111" s="46">
        <f t="shared" si="5"/>
        <v>5</v>
      </c>
      <c r="D111" s="1"/>
      <c r="E111" s="1" t="s">
        <v>225</v>
      </c>
      <c r="F111" s="19" t="s">
        <v>226</v>
      </c>
      <c r="G111" s="1" t="s">
        <v>10</v>
      </c>
      <c r="H111" s="1" t="s">
        <v>172</v>
      </c>
      <c r="I111" s="2">
        <v>44585</v>
      </c>
      <c r="J111" s="3">
        <v>0.5625</v>
      </c>
      <c r="K111" s="1" t="s">
        <v>88</v>
      </c>
      <c r="L111" s="2">
        <v>44221</v>
      </c>
      <c r="M111" s="3">
        <v>0.5493055555555556</v>
      </c>
      <c r="N111" s="19" t="s">
        <v>115</v>
      </c>
      <c r="O111" s="21"/>
    </row>
    <row r="112" spans="1:15" customFormat="1" hidden="1" x14ac:dyDescent="0.3">
      <c r="A112" s="47">
        <f t="shared" si="3"/>
        <v>2022</v>
      </c>
      <c r="B112" s="46">
        <f t="shared" si="4"/>
        <v>5</v>
      </c>
      <c r="C112" s="46">
        <f t="shared" si="5"/>
        <v>5</v>
      </c>
      <c r="D112" s="4"/>
      <c r="E112" s="1" t="s">
        <v>222</v>
      </c>
      <c r="F112" s="19" t="s">
        <v>181</v>
      </c>
      <c r="G112" s="1" t="s">
        <v>223</v>
      </c>
      <c r="H112" s="1" t="s">
        <v>172</v>
      </c>
      <c r="I112" s="2">
        <v>44585</v>
      </c>
      <c r="J112" s="3">
        <v>0.55972222222222223</v>
      </c>
      <c r="K112" s="1" t="s">
        <v>73</v>
      </c>
      <c r="L112" s="2">
        <v>44586</v>
      </c>
      <c r="M112" s="3">
        <v>0.54513888888888895</v>
      </c>
      <c r="N112" s="19" t="s">
        <v>224</v>
      </c>
      <c r="O112" s="21"/>
    </row>
    <row r="113" spans="1:15" customFormat="1" hidden="1" x14ac:dyDescent="0.3">
      <c r="A113" s="47">
        <f t="shared" si="3"/>
        <v>2022</v>
      </c>
      <c r="B113" s="46">
        <f t="shared" si="4"/>
        <v>4</v>
      </c>
      <c r="C113" s="46">
        <f t="shared" si="5"/>
        <v>5</v>
      </c>
      <c r="D113" s="4"/>
      <c r="E113" s="4" t="s">
        <v>227</v>
      </c>
      <c r="F113" s="69" t="s">
        <v>230</v>
      </c>
      <c r="G113" s="4" t="s">
        <v>10</v>
      </c>
      <c r="H113" s="4" t="s">
        <v>172</v>
      </c>
      <c r="I113" s="5">
        <v>44582</v>
      </c>
      <c r="J113" s="4"/>
      <c r="K113" s="4" t="s">
        <v>73</v>
      </c>
      <c r="L113" s="5">
        <v>44587</v>
      </c>
      <c r="M113" s="6">
        <v>0.70833333333333337</v>
      </c>
      <c r="N113" s="69" t="s">
        <v>248</v>
      </c>
      <c r="O113" s="21"/>
    </row>
    <row r="114" spans="1:15" customFormat="1" hidden="1" x14ac:dyDescent="0.3">
      <c r="A114" s="47">
        <f t="shared" si="3"/>
        <v>2022</v>
      </c>
      <c r="B114" s="46">
        <f t="shared" si="4"/>
        <v>4</v>
      </c>
      <c r="C114" s="46">
        <f t="shared" si="5"/>
        <v>5</v>
      </c>
      <c r="D114" s="1"/>
      <c r="E114" s="1" t="s">
        <v>228</v>
      </c>
      <c r="F114" s="19" t="s">
        <v>231</v>
      </c>
      <c r="G114" s="1" t="s">
        <v>10</v>
      </c>
      <c r="H114" s="1" t="s">
        <v>172</v>
      </c>
      <c r="I114" s="2">
        <v>44582</v>
      </c>
      <c r="J114" s="1"/>
      <c r="K114" s="1" t="s">
        <v>73</v>
      </c>
      <c r="L114" s="2">
        <v>44587</v>
      </c>
      <c r="M114" s="3">
        <v>0.70833333333333337</v>
      </c>
      <c r="N114" s="19" t="s">
        <v>249</v>
      </c>
      <c r="O114" s="21"/>
    </row>
    <row r="115" spans="1:15" customFormat="1" hidden="1" x14ac:dyDescent="0.3">
      <c r="A115" s="47">
        <f t="shared" si="3"/>
        <v>2022</v>
      </c>
      <c r="B115" s="46">
        <f t="shared" si="4"/>
        <v>5</v>
      </c>
      <c r="C115" s="46">
        <f t="shared" si="5"/>
        <v>5</v>
      </c>
      <c r="D115" s="1"/>
      <c r="E115" s="1" t="s">
        <v>229</v>
      </c>
      <c r="F115" s="19" t="s">
        <v>232</v>
      </c>
      <c r="G115" s="1" t="s">
        <v>10</v>
      </c>
      <c r="H115" s="1" t="s">
        <v>172</v>
      </c>
      <c r="I115" s="2">
        <v>44585</v>
      </c>
      <c r="J115" s="3">
        <v>0.34236111111111112</v>
      </c>
      <c r="K115" s="1" t="s">
        <v>88</v>
      </c>
      <c r="L115" s="2">
        <v>44587</v>
      </c>
      <c r="M115" s="3">
        <v>0.3611111111111111</v>
      </c>
      <c r="N115" s="19" t="s">
        <v>233</v>
      </c>
      <c r="O115" s="21"/>
    </row>
    <row r="116" spans="1:15" customFormat="1" ht="43.2" hidden="1" x14ac:dyDescent="0.3">
      <c r="A116" s="47">
        <f t="shared" si="3"/>
        <v>2022</v>
      </c>
      <c r="B116" s="46">
        <f t="shared" si="4"/>
        <v>5</v>
      </c>
      <c r="C116" s="46">
        <f t="shared" si="5"/>
        <v>5</v>
      </c>
      <c r="D116" s="1"/>
      <c r="E116" s="38" t="s">
        <v>234</v>
      </c>
      <c r="F116" s="19" t="s">
        <v>181</v>
      </c>
      <c r="G116" s="1" t="s">
        <v>9</v>
      </c>
      <c r="H116" s="1" t="s">
        <v>172</v>
      </c>
      <c r="I116" s="2">
        <v>44585</v>
      </c>
      <c r="J116" s="3">
        <v>0.69305555555555554</v>
      </c>
      <c r="K116" s="1" t="s">
        <v>88</v>
      </c>
      <c r="L116" s="2">
        <v>44587</v>
      </c>
      <c r="M116" s="3">
        <v>0.4069444444444445</v>
      </c>
      <c r="N116" s="19" t="s">
        <v>240</v>
      </c>
      <c r="O116" s="21"/>
    </row>
    <row r="117" spans="1:15" customFormat="1" hidden="1" x14ac:dyDescent="0.3">
      <c r="A117" s="47">
        <f t="shared" si="3"/>
        <v>2022</v>
      </c>
      <c r="B117" s="46">
        <f t="shared" si="4"/>
        <v>5</v>
      </c>
      <c r="C117" s="46">
        <f t="shared" si="5"/>
        <v>5</v>
      </c>
      <c r="D117" s="1"/>
      <c r="E117" s="1" t="s">
        <v>235</v>
      </c>
      <c r="F117" s="19" t="s">
        <v>236</v>
      </c>
      <c r="G117" s="1" t="s">
        <v>9</v>
      </c>
      <c r="H117" s="1" t="s">
        <v>172</v>
      </c>
      <c r="I117" s="2">
        <v>44585</v>
      </c>
      <c r="J117" s="3">
        <v>0.71111111111111114</v>
      </c>
      <c r="K117" s="1" t="s">
        <v>73</v>
      </c>
      <c r="L117" s="2">
        <v>44587</v>
      </c>
      <c r="M117" s="3">
        <v>0.3743055555555555</v>
      </c>
      <c r="N117" s="19" t="s">
        <v>239</v>
      </c>
      <c r="O117" s="21"/>
    </row>
    <row r="118" spans="1:15" customFormat="1" ht="28.8" hidden="1" x14ac:dyDescent="0.3">
      <c r="A118" s="47">
        <f t="shared" si="3"/>
        <v>2022</v>
      </c>
      <c r="B118" s="46">
        <f t="shared" si="4"/>
        <v>5</v>
      </c>
      <c r="C118" s="46">
        <f t="shared" si="5"/>
        <v>5</v>
      </c>
      <c r="D118" s="1"/>
      <c r="E118" s="1" t="s">
        <v>237</v>
      </c>
      <c r="F118" s="19" t="s">
        <v>238</v>
      </c>
      <c r="G118" s="1" t="s">
        <v>9</v>
      </c>
      <c r="H118" s="1" t="s">
        <v>172</v>
      </c>
      <c r="I118" s="2">
        <v>44586</v>
      </c>
      <c r="J118" s="3">
        <v>0.37847222222222227</v>
      </c>
      <c r="K118" s="1" t="s">
        <v>73</v>
      </c>
      <c r="L118" s="2">
        <v>44587</v>
      </c>
      <c r="M118" s="3">
        <v>0.4152777777777778</v>
      </c>
      <c r="N118" s="19" t="s">
        <v>241</v>
      </c>
      <c r="O118" s="21"/>
    </row>
    <row r="119" spans="1:15" customFormat="1" ht="28.8" hidden="1" x14ac:dyDescent="0.3">
      <c r="A119" s="47">
        <f t="shared" si="3"/>
        <v>2022</v>
      </c>
      <c r="B119" s="46">
        <f t="shared" si="4"/>
        <v>5</v>
      </c>
      <c r="C119" s="46">
        <f t="shared" si="5"/>
        <v>5</v>
      </c>
      <c r="D119" s="1"/>
      <c r="E119" s="1" t="s">
        <v>242</v>
      </c>
      <c r="F119" s="19" t="s">
        <v>243</v>
      </c>
      <c r="G119" s="1" t="s">
        <v>9</v>
      </c>
      <c r="H119" s="1" t="s">
        <v>172</v>
      </c>
      <c r="I119" s="2">
        <v>44586</v>
      </c>
      <c r="J119" s="3">
        <v>0.38194444444444442</v>
      </c>
      <c r="K119" s="1" t="s">
        <v>73</v>
      </c>
      <c r="L119" s="2">
        <v>44587</v>
      </c>
      <c r="M119" s="3">
        <v>0.42499999999999999</v>
      </c>
      <c r="N119" s="19" t="s">
        <v>244</v>
      </c>
      <c r="O119" s="21"/>
    </row>
    <row r="120" spans="1:15" customFormat="1" ht="28.8" hidden="1" x14ac:dyDescent="0.3">
      <c r="A120" s="47">
        <f t="shared" si="3"/>
        <v>2022</v>
      </c>
      <c r="B120" s="46">
        <f t="shared" si="4"/>
        <v>5</v>
      </c>
      <c r="C120" s="46">
        <f t="shared" si="5"/>
        <v>5</v>
      </c>
      <c r="D120" s="1"/>
      <c r="E120" s="1" t="s">
        <v>245</v>
      </c>
      <c r="F120" s="19" t="s">
        <v>246</v>
      </c>
      <c r="G120" s="1" t="s">
        <v>10</v>
      </c>
      <c r="H120" s="1" t="s">
        <v>172</v>
      </c>
      <c r="I120" s="2">
        <v>44587</v>
      </c>
      <c r="J120" s="3">
        <v>0.44305555555555554</v>
      </c>
      <c r="K120" s="1" t="s">
        <v>73</v>
      </c>
      <c r="L120" s="2">
        <v>44587</v>
      </c>
      <c r="M120" s="3">
        <v>0.54305555555555551</v>
      </c>
      <c r="N120" s="19" t="s">
        <v>247</v>
      </c>
      <c r="O120" s="21"/>
    </row>
    <row r="121" spans="1:15" customFormat="1" hidden="1" x14ac:dyDescent="0.3">
      <c r="A121" s="47">
        <f t="shared" si="3"/>
        <v>2022</v>
      </c>
      <c r="B121" s="46">
        <f t="shared" si="4"/>
        <v>5</v>
      </c>
      <c r="C121" s="46">
        <f t="shared" si="5"/>
        <v>5</v>
      </c>
      <c r="D121" s="1"/>
      <c r="E121" s="1" t="s">
        <v>250</v>
      </c>
      <c r="F121" s="19" t="s">
        <v>246</v>
      </c>
      <c r="G121" s="1" t="s">
        <v>10</v>
      </c>
      <c r="H121" s="1" t="s">
        <v>251</v>
      </c>
      <c r="I121" s="2">
        <v>44588</v>
      </c>
      <c r="J121" s="3">
        <v>0.37361111111111112</v>
      </c>
      <c r="K121" s="1" t="s">
        <v>88</v>
      </c>
      <c r="L121" s="2">
        <v>44589</v>
      </c>
      <c r="M121" s="3">
        <v>0.24722222222222223</v>
      </c>
      <c r="N121" s="19" t="s">
        <v>252</v>
      </c>
      <c r="O121" s="21"/>
    </row>
    <row r="122" spans="1:15" customFormat="1" hidden="1" x14ac:dyDescent="0.3">
      <c r="A122" s="47">
        <f t="shared" si="3"/>
        <v>2022</v>
      </c>
      <c r="B122" s="46">
        <f t="shared" si="4"/>
        <v>5</v>
      </c>
      <c r="C122" s="46">
        <f t="shared" si="5"/>
        <v>5</v>
      </c>
      <c r="D122" s="1"/>
      <c r="E122" s="1" t="s">
        <v>253</v>
      </c>
      <c r="F122" s="19" t="s">
        <v>56</v>
      </c>
      <c r="G122" s="1" t="s">
        <v>10</v>
      </c>
      <c r="H122" s="1" t="s">
        <v>251</v>
      </c>
      <c r="I122" s="2">
        <v>44588</v>
      </c>
      <c r="J122" s="3">
        <v>0.37638888888888888</v>
      </c>
      <c r="K122" s="1" t="s">
        <v>88</v>
      </c>
      <c r="L122" s="2">
        <v>44589</v>
      </c>
      <c r="M122" s="3">
        <v>0.25277777777777777</v>
      </c>
      <c r="N122" s="19" t="s">
        <v>115</v>
      </c>
      <c r="O122" s="21"/>
    </row>
    <row r="123" spans="1:15" customFormat="1" hidden="1" x14ac:dyDescent="0.3">
      <c r="A123" s="47">
        <f t="shared" si="3"/>
        <v>2022</v>
      </c>
      <c r="B123" s="46">
        <f t="shared" si="4"/>
        <v>4</v>
      </c>
      <c r="C123" s="46">
        <f t="shared" si="5"/>
        <v>6</v>
      </c>
      <c r="D123" s="1"/>
      <c r="E123" s="1" t="s">
        <v>157</v>
      </c>
      <c r="F123" s="19" t="s">
        <v>246</v>
      </c>
      <c r="G123" s="1" t="s">
        <v>10</v>
      </c>
      <c r="H123" s="1" t="s">
        <v>251</v>
      </c>
      <c r="I123" s="2">
        <v>44579</v>
      </c>
      <c r="J123" s="3">
        <v>0.7006944444444444</v>
      </c>
      <c r="K123" s="1" t="s">
        <v>73</v>
      </c>
      <c r="L123" s="2">
        <v>44597</v>
      </c>
      <c r="M123" s="1"/>
      <c r="N123" s="19" t="s">
        <v>256</v>
      </c>
      <c r="O123" s="21"/>
    </row>
    <row r="124" spans="1:15" customFormat="1" hidden="1" x14ac:dyDescent="0.3">
      <c r="A124" s="47">
        <f t="shared" si="3"/>
        <v>2022</v>
      </c>
      <c r="B124" s="46">
        <f t="shared" si="4"/>
        <v>6</v>
      </c>
      <c r="C124" s="46">
        <f t="shared" si="5"/>
        <v>7</v>
      </c>
      <c r="D124" s="1"/>
      <c r="E124" s="1" t="s">
        <v>254</v>
      </c>
      <c r="F124" s="19" t="s">
        <v>246</v>
      </c>
      <c r="G124" s="1" t="s">
        <v>10</v>
      </c>
      <c r="H124" s="1" t="s">
        <v>251</v>
      </c>
      <c r="I124" s="2">
        <v>44595</v>
      </c>
      <c r="J124" s="3">
        <v>0.42430555555555555</v>
      </c>
      <c r="K124" s="1" t="s">
        <v>73</v>
      </c>
      <c r="L124" s="2">
        <v>44598</v>
      </c>
      <c r="M124" s="1"/>
      <c r="N124" s="19" t="s">
        <v>256</v>
      </c>
      <c r="O124" s="21"/>
    </row>
    <row r="125" spans="1:15" customFormat="1" hidden="1" x14ac:dyDescent="0.3">
      <c r="A125" s="47">
        <f t="shared" si="3"/>
        <v>2022</v>
      </c>
      <c r="B125" s="46">
        <f t="shared" si="4"/>
        <v>4</v>
      </c>
      <c r="C125" s="46">
        <f t="shared" si="5"/>
        <v>7</v>
      </c>
      <c r="D125" s="1"/>
      <c r="E125" s="1" t="s">
        <v>177</v>
      </c>
      <c r="F125" s="19" t="s">
        <v>246</v>
      </c>
      <c r="G125" s="1" t="s">
        <v>10</v>
      </c>
      <c r="H125" s="1" t="s">
        <v>251</v>
      </c>
      <c r="I125" s="2">
        <v>44579</v>
      </c>
      <c r="J125" s="3">
        <v>0.72222222222222221</v>
      </c>
      <c r="K125" s="1" t="s">
        <v>73</v>
      </c>
      <c r="L125" s="2">
        <v>44599</v>
      </c>
      <c r="M125" s="1"/>
      <c r="N125" s="19" t="s">
        <v>256</v>
      </c>
      <c r="O125" s="21"/>
    </row>
    <row r="126" spans="1:15" customFormat="1" hidden="1" x14ac:dyDescent="0.3">
      <c r="A126" s="47">
        <f t="shared" si="3"/>
        <v>2022</v>
      </c>
      <c r="B126" s="46">
        <f t="shared" si="4"/>
        <v>4</v>
      </c>
      <c r="C126" s="46">
        <f t="shared" si="5"/>
        <v>7</v>
      </c>
      <c r="D126" s="1"/>
      <c r="E126" s="1" t="s">
        <v>255</v>
      </c>
      <c r="F126" s="19" t="s">
        <v>246</v>
      </c>
      <c r="G126" s="1" t="s">
        <v>10</v>
      </c>
      <c r="H126" s="1" t="s">
        <v>251</v>
      </c>
      <c r="I126" s="2">
        <v>44579</v>
      </c>
      <c r="J126" s="3">
        <v>0.70624999999999993</v>
      </c>
      <c r="K126" s="1" t="s">
        <v>73</v>
      </c>
      <c r="L126" s="2">
        <v>44600</v>
      </c>
      <c r="M126" s="1"/>
      <c r="N126" s="19" t="s">
        <v>256</v>
      </c>
      <c r="O126" s="21"/>
    </row>
    <row r="127" spans="1:15" customFormat="1" hidden="1" x14ac:dyDescent="0.3">
      <c r="A127" s="47">
        <f t="shared" si="3"/>
        <v>2022</v>
      </c>
      <c r="B127" s="46">
        <f t="shared" si="4"/>
        <v>4</v>
      </c>
      <c r="C127" s="46">
        <f t="shared" si="5"/>
        <v>7</v>
      </c>
      <c r="D127" s="1"/>
      <c r="E127" s="1" t="s">
        <v>174</v>
      </c>
      <c r="F127" s="19" t="s">
        <v>246</v>
      </c>
      <c r="G127" s="1" t="s">
        <v>10</v>
      </c>
      <c r="H127" s="1" t="s">
        <v>251</v>
      </c>
      <c r="I127" s="2">
        <v>44579</v>
      </c>
      <c r="J127" s="3">
        <v>0.71458333333333324</v>
      </c>
      <c r="K127" s="1" t="s">
        <v>73</v>
      </c>
      <c r="L127" s="2">
        <v>44601</v>
      </c>
      <c r="M127" s="1"/>
      <c r="N127" s="19" t="s">
        <v>256</v>
      </c>
      <c r="O127" s="21"/>
    </row>
    <row r="128" spans="1:15" customFormat="1" hidden="1" x14ac:dyDescent="0.3">
      <c r="A128" s="47">
        <f t="shared" si="3"/>
        <v>2022</v>
      </c>
      <c r="B128" s="46">
        <f t="shared" si="4"/>
        <v>4</v>
      </c>
      <c r="C128" s="46">
        <f t="shared" si="5"/>
        <v>7</v>
      </c>
      <c r="D128" s="1"/>
      <c r="E128" s="1" t="s">
        <v>178</v>
      </c>
      <c r="F128" s="19" t="s">
        <v>246</v>
      </c>
      <c r="G128" s="1" t="s">
        <v>10</v>
      </c>
      <c r="H128" s="1" t="s">
        <v>251</v>
      </c>
      <c r="I128" s="2">
        <v>44579</v>
      </c>
      <c r="J128" s="3">
        <v>0.72430555555555554</v>
      </c>
      <c r="K128" s="1" t="s">
        <v>73</v>
      </c>
      <c r="L128" s="2">
        <v>44602</v>
      </c>
      <c r="M128" s="1"/>
      <c r="N128" s="19" t="s">
        <v>256</v>
      </c>
      <c r="O128" s="21"/>
    </row>
    <row r="129" spans="1:15" customFormat="1" hidden="1" x14ac:dyDescent="0.3">
      <c r="A129" s="47">
        <f t="shared" si="3"/>
        <v>2022</v>
      </c>
      <c r="B129" s="46">
        <f t="shared" si="4"/>
        <v>4</v>
      </c>
      <c r="C129" s="46">
        <f t="shared" si="5"/>
        <v>7</v>
      </c>
      <c r="D129" s="1"/>
      <c r="E129" s="1" t="s">
        <v>161</v>
      </c>
      <c r="F129" s="19" t="s">
        <v>246</v>
      </c>
      <c r="G129" s="1" t="s">
        <v>10</v>
      </c>
      <c r="H129" s="1" t="s">
        <v>251</v>
      </c>
      <c r="I129" s="2">
        <v>44579</v>
      </c>
      <c r="J129" s="3">
        <v>0.70763888888888893</v>
      </c>
      <c r="K129" s="1" t="s">
        <v>73</v>
      </c>
      <c r="L129" s="2">
        <v>44603</v>
      </c>
      <c r="M129" s="1"/>
      <c r="N129" s="19" t="s">
        <v>256</v>
      </c>
      <c r="O129" s="21"/>
    </row>
    <row r="130" spans="1:15" customFormat="1" hidden="1" x14ac:dyDescent="0.3">
      <c r="A130" s="47">
        <f t="shared" si="3"/>
        <v>2022</v>
      </c>
      <c r="B130" s="46">
        <f t="shared" si="4"/>
        <v>4</v>
      </c>
      <c r="C130" s="46">
        <f t="shared" si="5"/>
        <v>7</v>
      </c>
      <c r="D130" s="1"/>
      <c r="E130" s="1" t="s">
        <v>175</v>
      </c>
      <c r="F130" s="19" t="s">
        <v>246</v>
      </c>
      <c r="G130" s="1" t="s">
        <v>10</v>
      </c>
      <c r="H130" s="1" t="s">
        <v>251</v>
      </c>
      <c r="I130" s="2">
        <v>44579</v>
      </c>
      <c r="J130" s="3">
        <v>0.71597222222222223</v>
      </c>
      <c r="K130" s="1" t="s">
        <v>73</v>
      </c>
      <c r="L130" s="2">
        <v>44604</v>
      </c>
      <c r="M130" s="1"/>
      <c r="N130" s="19" t="s">
        <v>256</v>
      </c>
      <c r="O130" s="21"/>
    </row>
    <row r="131" spans="1:15" customFormat="1" hidden="1" x14ac:dyDescent="0.3">
      <c r="A131" s="47">
        <f t="shared" ref="A131:A194" si="6">YEAR(L131)</f>
        <v>2022</v>
      </c>
      <c r="B131" s="46">
        <f t="shared" ref="B131:B194" si="7">WEEKNUM(I131)</f>
        <v>4</v>
      </c>
      <c r="C131" s="46">
        <f t="shared" ref="C131:C194" si="8">WEEKNUM(L131)</f>
        <v>8</v>
      </c>
      <c r="D131" s="1"/>
      <c r="E131" s="1" t="s">
        <v>179</v>
      </c>
      <c r="F131" s="19" t="s">
        <v>246</v>
      </c>
      <c r="G131" s="1" t="s">
        <v>10</v>
      </c>
      <c r="H131" s="1" t="s">
        <v>251</v>
      </c>
      <c r="I131" s="2">
        <v>44580</v>
      </c>
      <c r="J131" s="3">
        <v>0.32222222222222224</v>
      </c>
      <c r="K131" s="1" t="s">
        <v>73</v>
      </c>
      <c r="L131" s="2">
        <v>44605</v>
      </c>
      <c r="M131" s="1"/>
      <c r="N131" s="19" t="s">
        <v>256</v>
      </c>
      <c r="O131" s="21"/>
    </row>
    <row r="132" spans="1:15" customFormat="1" hidden="1" x14ac:dyDescent="0.3">
      <c r="A132" s="47">
        <f t="shared" si="6"/>
        <v>2022</v>
      </c>
      <c r="B132" s="46">
        <f t="shared" si="7"/>
        <v>4</v>
      </c>
      <c r="C132" s="46">
        <f t="shared" si="8"/>
        <v>8</v>
      </c>
      <c r="D132" s="1"/>
      <c r="E132" s="1" t="s">
        <v>171</v>
      </c>
      <c r="F132" s="19" t="s">
        <v>246</v>
      </c>
      <c r="G132" s="1" t="s">
        <v>10</v>
      </c>
      <c r="H132" s="1" t="s">
        <v>251</v>
      </c>
      <c r="I132" s="2">
        <v>44579</v>
      </c>
      <c r="J132" s="3">
        <v>0.7104166666666667</v>
      </c>
      <c r="K132" s="1" t="s">
        <v>73</v>
      </c>
      <c r="L132" s="2">
        <v>44606</v>
      </c>
      <c r="M132" s="1"/>
      <c r="N132" s="19" t="s">
        <v>256</v>
      </c>
      <c r="O132" s="21"/>
    </row>
    <row r="133" spans="1:15" customFormat="1" hidden="1" x14ac:dyDescent="0.3">
      <c r="A133" s="47">
        <f t="shared" si="6"/>
        <v>2022</v>
      </c>
      <c r="B133" s="46">
        <f t="shared" si="7"/>
        <v>4</v>
      </c>
      <c r="C133" s="46">
        <f t="shared" si="8"/>
        <v>8</v>
      </c>
      <c r="D133" s="1"/>
      <c r="E133" s="1" t="s">
        <v>176</v>
      </c>
      <c r="F133" s="19" t="s">
        <v>246</v>
      </c>
      <c r="G133" s="1" t="s">
        <v>10</v>
      </c>
      <c r="H133" s="1" t="s">
        <v>251</v>
      </c>
      <c r="I133" s="2">
        <v>44579</v>
      </c>
      <c r="J133" s="3">
        <v>0.71875</v>
      </c>
      <c r="K133" s="1" t="s">
        <v>73</v>
      </c>
      <c r="L133" s="2">
        <v>44607</v>
      </c>
      <c r="M133" s="1"/>
      <c r="N133" s="19" t="s">
        <v>256</v>
      </c>
      <c r="O133" s="21"/>
    </row>
    <row r="134" spans="1:15" customFormat="1" hidden="1" x14ac:dyDescent="0.3">
      <c r="A134" s="47">
        <f t="shared" si="6"/>
        <v>2022</v>
      </c>
      <c r="B134" s="46">
        <f t="shared" si="7"/>
        <v>3</v>
      </c>
      <c r="C134" s="46">
        <f t="shared" si="8"/>
        <v>8</v>
      </c>
      <c r="D134" s="1"/>
      <c r="E134" s="1" t="s">
        <v>138</v>
      </c>
      <c r="F134" s="19" t="s">
        <v>246</v>
      </c>
      <c r="G134" s="1" t="s">
        <v>10</v>
      </c>
      <c r="H134" s="1" t="s">
        <v>251</v>
      </c>
      <c r="I134" s="2">
        <v>44574</v>
      </c>
      <c r="J134" s="3">
        <v>0.43402777777777773</v>
      </c>
      <c r="K134" s="1" t="s">
        <v>73</v>
      </c>
      <c r="L134" s="2">
        <v>44608</v>
      </c>
      <c r="M134" s="1"/>
      <c r="N134" s="19" t="s">
        <v>256</v>
      </c>
      <c r="O134" s="21"/>
    </row>
    <row r="135" spans="1:15" customFormat="1" hidden="1" x14ac:dyDescent="0.3">
      <c r="A135" s="47">
        <f t="shared" si="6"/>
        <v>2022</v>
      </c>
      <c r="B135" s="46">
        <f t="shared" si="7"/>
        <v>3</v>
      </c>
      <c r="C135" s="46">
        <f t="shared" si="8"/>
        <v>8</v>
      </c>
      <c r="D135" s="1"/>
      <c r="E135" s="1" t="s">
        <v>139</v>
      </c>
      <c r="F135" s="19" t="s">
        <v>246</v>
      </c>
      <c r="G135" s="1" t="s">
        <v>10</v>
      </c>
      <c r="H135" s="1" t="s">
        <v>251</v>
      </c>
      <c r="I135" s="2">
        <v>44574</v>
      </c>
      <c r="J135" s="3">
        <v>0.44166666666666665</v>
      </c>
      <c r="K135" s="1" t="s">
        <v>73</v>
      </c>
      <c r="L135" s="2">
        <v>44609</v>
      </c>
      <c r="M135" s="1"/>
      <c r="N135" s="19" t="s">
        <v>256</v>
      </c>
      <c r="O135" s="21"/>
    </row>
    <row r="136" spans="1:15" customFormat="1" hidden="1" x14ac:dyDescent="0.3">
      <c r="A136" s="47">
        <f t="shared" si="6"/>
        <v>2022</v>
      </c>
      <c r="B136" s="46">
        <f t="shared" si="7"/>
        <v>3</v>
      </c>
      <c r="C136" s="46">
        <f t="shared" si="8"/>
        <v>8</v>
      </c>
      <c r="D136" s="1"/>
      <c r="E136" s="1" t="s">
        <v>140</v>
      </c>
      <c r="F136" s="19" t="s">
        <v>246</v>
      </c>
      <c r="G136" s="1" t="s">
        <v>10</v>
      </c>
      <c r="H136" s="1" t="s">
        <v>251</v>
      </c>
      <c r="I136" s="2">
        <v>44574</v>
      </c>
      <c r="J136" s="3">
        <v>0.45277777777777778</v>
      </c>
      <c r="K136" s="1" t="s">
        <v>73</v>
      </c>
      <c r="L136" s="2">
        <v>44610</v>
      </c>
      <c r="M136" s="1"/>
      <c r="N136" s="19" t="s">
        <v>256</v>
      </c>
      <c r="O136" s="21"/>
    </row>
    <row r="137" spans="1:15" customFormat="1" hidden="1" x14ac:dyDescent="0.3">
      <c r="A137" s="47">
        <f t="shared" si="6"/>
        <v>2022</v>
      </c>
      <c r="B137" s="46">
        <f t="shared" si="7"/>
        <v>3</v>
      </c>
      <c r="C137" s="46">
        <f t="shared" si="8"/>
        <v>8</v>
      </c>
      <c r="D137" s="1"/>
      <c r="E137" s="1" t="s">
        <v>141</v>
      </c>
      <c r="F137" s="19" t="s">
        <v>246</v>
      </c>
      <c r="G137" s="1" t="s">
        <v>10</v>
      </c>
      <c r="H137" s="1" t="s">
        <v>251</v>
      </c>
      <c r="I137" s="2">
        <v>44574</v>
      </c>
      <c r="J137" s="3">
        <v>0.4548611111111111</v>
      </c>
      <c r="K137" s="1" t="s">
        <v>73</v>
      </c>
      <c r="L137" s="2">
        <v>44611</v>
      </c>
      <c r="M137" s="1"/>
      <c r="N137" s="19" t="s">
        <v>256</v>
      </c>
      <c r="O137" s="21"/>
    </row>
    <row r="138" spans="1:15" customFormat="1" hidden="1" x14ac:dyDescent="0.3">
      <c r="A138" s="47">
        <f t="shared" si="6"/>
        <v>2022</v>
      </c>
      <c r="B138" s="46">
        <f t="shared" si="7"/>
        <v>3</v>
      </c>
      <c r="C138" s="46">
        <f t="shared" si="8"/>
        <v>9</v>
      </c>
      <c r="D138" s="1"/>
      <c r="E138" s="1" t="s">
        <v>142</v>
      </c>
      <c r="F138" s="19" t="s">
        <v>246</v>
      </c>
      <c r="G138" s="1" t="s">
        <v>10</v>
      </c>
      <c r="H138" s="1" t="s">
        <v>251</v>
      </c>
      <c r="I138" s="2">
        <v>44574</v>
      </c>
      <c r="J138" s="3">
        <v>0.45833333333333331</v>
      </c>
      <c r="K138" s="1" t="s">
        <v>73</v>
      </c>
      <c r="L138" s="2">
        <v>44612</v>
      </c>
      <c r="M138" s="1"/>
      <c r="N138" s="19" t="s">
        <v>256</v>
      </c>
      <c r="O138" s="21"/>
    </row>
    <row r="139" spans="1:15" customFormat="1" hidden="1" x14ac:dyDescent="0.3">
      <c r="A139" s="47">
        <f t="shared" si="6"/>
        <v>2022</v>
      </c>
      <c r="B139" s="46">
        <f t="shared" si="7"/>
        <v>3</v>
      </c>
      <c r="C139" s="46">
        <f t="shared" si="8"/>
        <v>9</v>
      </c>
      <c r="D139" s="1"/>
      <c r="E139" s="1" t="s">
        <v>143</v>
      </c>
      <c r="F139" s="19" t="s">
        <v>246</v>
      </c>
      <c r="G139" s="1" t="s">
        <v>10</v>
      </c>
      <c r="H139" s="1" t="s">
        <v>251</v>
      </c>
      <c r="I139" s="2">
        <v>44574</v>
      </c>
      <c r="J139" s="3">
        <v>0.46388888888888885</v>
      </c>
      <c r="K139" s="1" t="s">
        <v>73</v>
      </c>
      <c r="L139" s="2">
        <v>44613</v>
      </c>
      <c r="M139" s="1"/>
      <c r="N139" s="19" t="s">
        <v>256</v>
      </c>
      <c r="O139" s="21"/>
    </row>
    <row r="140" spans="1:15" customFormat="1" hidden="1" x14ac:dyDescent="0.3">
      <c r="A140" s="47">
        <f t="shared" si="6"/>
        <v>2022</v>
      </c>
      <c r="B140" s="46">
        <f t="shared" si="7"/>
        <v>4</v>
      </c>
      <c r="C140" s="46">
        <f t="shared" si="8"/>
        <v>9</v>
      </c>
      <c r="D140" s="1"/>
      <c r="E140" s="1" t="s">
        <v>146</v>
      </c>
      <c r="F140" s="19" t="s">
        <v>246</v>
      </c>
      <c r="G140" s="1" t="s">
        <v>10</v>
      </c>
      <c r="H140" s="1" t="s">
        <v>251</v>
      </c>
      <c r="I140" s="2">
        <v>44581</v>
      </c>
      <c r="J140" s="3">
        <v>0.49722222222222223</v>
      </c>
      <c r="K140" s="1" t="s">
        <v>73</v>
      </c>
      <c r="L140" s="2">
        <v>44614</v>
      </c>
      <c r="M140" s="1"/>
      <c r="N140" s="19" t="s">
        <v>256</v>
      </c>
      <c r="O140" s="21"/>
    </row>
    <row r="141" spans="1:15" customFormat="1" hidden="1" x14ac:dyDescent="0.3">
      <c r="A141" s="47">
        <f t="shared" si="6"/>
        <v>2022</v>
      </c>
      <c r="B141" s="46">
        <f t="shared" si="7"/>
        <v>6</v>
      </c>
      <c r="C141" s="46">
        <f t="shared" si="8"/>
        <v>9</v>
      </c>
      <c r="D141" s="1"/>
      <c r="E141" s="1" t="s">
        <v>147</v>
      </c>
      <c r="F141" s="19" t="s">
        <v>246</v>
      </c>
      <c r="G141" s="1" t="s">
        <v>10</v>
      </c>
      <c r="H141" s="1" t="s">
        <v>251</v>
      </c>
      <c r="I141" s="2">
        <v>44596</v>
      </c>
      <c r="J141" s="3">
        <v>0.60138888888888886</v>
      </c>
      <c r="K141" s="1" t="s">
        <v>73</v>
      </c>
      <c r="L141" s="2">
        <v>44615</v>
      </c>
      <c r="M141" s="1"/>
      <c r="N141" s="19" t="s">
        <v>256</v>
      </c>
      <c r="O141" s="21"/>
    </row>
    <row r="142" spans="1:15" customFormat="1" hidden="1" x14ac:dyDescent="0.3">
      <c r="A142" s="47">
        <f t="shared" si="6"/>
        <v>2022</v>
      </c>
      <c r="B142" s="46">
        <f t="shared" si="7"/>
        <v>6</v>
      </c>
      <c r="C142" s="46">
        <f t="shared" si="8"/>
        <v>9</v>
      </c>
      <c r="D142" s="1"/>
      <c r="E142" s="1" t="s">
        <v>148</v>
      </c>
      <c r="F142" s="19" t="s">
        <v>246</v>
      </c>
      <c r="G142" s="1" t="s">
        <v>10</v>
      </c>
      <c r="H142" s="1" t="s">
        <v>251</v>
      </c>
      <c r="I142" s="2">
        <v>44596</v>
      </c>
      <c r="J142" s="3">
        <v>0.6020833333333333</v>
      </c>
      <c r="K142" s="1" t="s">
        <v>73</v>
      </c>
      <c r="L142" s="2">
        <v>44616</v>
      </c>
      <c r="M142" s="1"/>
      <c r="N142" s="19" t="s">
        <v>256</v>
      </c>
      <c r="O142" s="21"/>
    </row>
    <row r="143" spans="1:15" customFormat="1" hidden="1" x14ac:dyDescent="0.3">
      <c r="A143" s="47">
        <f t="shared" si="6"/>
        <v>2022</v>
      </c>
      <c r="B143" s="46">
        <f t="shared" si="7"/>
        <v>6</v>
      </c>
      <c r="C143" s="46">
        <f t="shared" si="8"/>
        <v>9</v>
      </c>
      <c r="D143" s="1"/>
      <c r="E143" s="1" t="s">
        <v>150</v>
      </c>
      <c r="F143" s="19" t="s">
        <v>246</v>
      </c>
      <c r="G143" s="1" t="s">
        <v>10</v>
      </c>
      <c r="H143" s="1" t="s">
        <v>251</v>
      </c>
      <c r="I143" s="2">
        <v>44596</v>
      </c>
      <c r="J143" s="3">
        <v>0.60138888888888886</v>
      </c>
      <c r="K143" s="1" t="s">
        <v>73</v>
      </c>
      <c r="L143" s="2">
        <v>44617</v>
      </c>
      <c r="M143" s="1"/>
      <c r="N143" s="19" t="s">
        <v>256</v>
      </c>
      <c r="O143" s="21"/>
    </row>
    <row r="144" spans="1:15" customFormat="1" hidden="1" x14ac:dyDescent="0.3">
      <c r="A144" s="47">
        <f t="shared" si="6"/>
        <v>2022</v>
      </c>
      <c r="B144" s="46">
        <f t="shared" si="7"/>
        <v>6</v>
      </c>
      <c r="C144" s="46">
        <f t="shared" si="8"/>
        <v>9</v>
      </c>
      <c r="D144" s="1"/>
      <c r="E144" s="1" t="s">
        <v>151</v>
      </c>
      <c r="F144" s="19" t="s">
        <v>246</v>
      </c>
      <c r="G144" s="1" t="s">
        <v>10</v>
      </c>
      <c r="H144" s="1" t="s">
        <v>251</v>
      </c>
      <c r="I144" s="2">
        <v>44596</v>
      </c>
      <c r="J144" s="3">
        <v>0.60347222222222219</v>
      </c>
      <c r="K144" s="1" t="s">
        <v>73</v>
      </c>
      <c r="L144" s="2">
        <v>44618</v>
      </c>
      <c r="M144" s="1"/>
      <c r="N144" s="19" t="s">
        <v>256</v>
      </c>
      <c r="O144" s="21"/>
    </row>
    <row r="145" spans="1:15" customFormat="1" hidden="1" x14ac:dyDescent="0.3">
      <c r="A145" s="47">
        <f t="shared" si="6"/>
        <v>2022</v>
      </c>
      <c r="B145" s="46">
        <f t="shared" si="7"/>
        <v>6</v>
      </c>
      <c r="C145" s="46">
        <f t="shared" si="8"/>
        <v>10</v>
      </c>
      <c r="D145" s="1"/>
      <c r="E145" s="1" t="s">
        <v>152</v>
      </c>
      <c r="F145" s="19" t="s">
        <v>246</v>
      </c>
      <c r="G145" s="1" t="s">
        <v>10</v>
      </c>
      <c r="H145" s="1" t="s">
        <v>251</v>
      </c>
      <c r="I145" s="2">
        <v>44596</v>
      </c>
      <c r="J145" s="3">
        <v>0.61597222222222225</v>
      </c>
      <c r="K145" s="1" t="s">
        <v>73</v>
      </c>
      <c r="L145" s="2">
        <v>44619</v>
      </c>
      <c r="M145" s="1"/>
      <c r="N145" s="19" t="s">
        <v>256</v>
      </c>
      <c r="O145" s="21"/>
    </row>
    <row r="146" spans="1:15" customFormat="1" hidden="1" x14ac:dyDescent="0.3">
      <c r="A146" s="47">
        <f t="shared" si="6"/>
        <v>2022</v>
      </c>
      <c r="B146" s="46">
        <f t="shared" si="7"/>
        <v>6</v>
      </c>
      <c r="C146" s="46">
        <f t="shared" si="8"/>
        <v>10</v>
      </c>
      <c r="D146" s="1"/>
      <c r="E146" s="1" t="s">
        <v>153</v>
      </c>
      <c r="F146" s="19" t="s">
        <v>246</v>
      </c>
      <c r="G146" s="1" t="s">
        <v>10</v>
      </c>
      <c r="H146" s="1" t="s">
        <v>251</v>
      </c>
      <c r="I146" s="2">
        <v>44596</v>
      </c>
      <c r="J146" s="3">
        <v>0.61736111111111114</v>
      </c>
      <c r="K146" s="1" t="s">
        <v>73</v>
      </c>
      <c r="L146" s="2">
        <v>44620</v>
      </c>
      <c r="M146" s="1"/>
      <c r="N146" s="19" t="s">
        <v>256</v>
      </c>
      <c r="O146" s="21"/>
    </row>
    <row r="147" spans="1:15" customFormat="1" hidden="1" x14ac:dyDescent="0.3">
      <c r="A147" s="47">
        <f t="shared" si="6"/>
        <v>2022</v>
      </c>
      <c r="B147" s="46">
        <f t="shared" si="7"/>
        <v>6</v>
      </c>
      <c r="C147" s="46">
        <f t="shared" si="8"/>
        <v>7</v>
      </c>
      <c r="D147" s="1"/>
      <c r="E147" s="1" t="s">
        <v>257</v>
      </c>
      <c r="F147" s="19" t="s">
        <v>258</v>
      </c>
      <c r="G147" s="1" t="s">
        <v>10</v>
      </c>
      <c r="H147" s="1" t="s">
        <v>251</v>
      </c>
      <c r="I147" s="2">
        <v>44595</v>
      </c>
      <c r="J147" s="3">
        <v>0.42083333333333334</v>
      </c>
      <c r="K147" s="1" t="s">
        <v>73</v>
      </c>
      <c r="L147" s="2">
        <v>44599</v>
      </c>
      <c r="M147" s="1"/>
      <c r="N147" s="19" t="s">
        <v>259</v>
      </c>
      <c r="O147" s="21"/>
    </row>
    <row r="148" spans="1:15" customFormat="1" hidden="1" x14ac:dyDescent="0.3">
      <c r="A148" s="47">
        <f t="shared" si="6"/>
        <v>2022</v>
      </c>
      <c r="B148" s="46">
        <f t="shared" si="7"/>
        <v>6</v>
      </c>
      <c r="C148" s="46">
        <f t="shared" si="8"/>
        <v>7</v>
      </c>
      <c r="D148" s="1"/>
      <c r="E148" s="1" t="s">
        <v>254</v>
      </c>
      <c r="F148" s="19" t="s">
        <v>136</v>
      </c>
      <c r="G148" s="1" t="s">
        <v>10</v>
      </c>
      <c r="H148" s="1" t="s">
        <v>251</v>
      </c>
      <c r="I148" s="2">
        <v>44595</v>
      </c>
      <c r="J148" s="3">
        <v>0.42430555555555555</v>
      </c>
      <c r="K148" s="1" t="s">
        <v>73</v>
      </c>
      <c r="L148" s="2">
        <v>44599</v>
      </c>
      <c r="M148" s="1"/>
      <c r="N148" s="19" t="s">
        <v>83</v>
      </c>
      <c r="O148" s="21"/>
    </row>
    <row r="149" spans="1:15" customFormat="1" hidden="1" x14ac:dyDescent="0.3">
      <c r="A149" s="47">
        <f t="shared" si="6"/>
        <v>2022</v>
      </c>
      <c r="B149" s="46">
        <f t="shared" si="7"/>
        <v>6</v>
      </c>
      <c r="C149" s="46">
        <f t="shared" si="8"/>
        <v>7</v>
      </c>
      <c r="D149" s="1"/>
      <c r="E149" s="1" t="s">
        <v>260</v>
      </c>
      <c r="F149" s="19" t="s">
        <v>261</v>
      </c>
      <c r="G149" s="1" t="s">
        <v>9</v>
      </c>
      <c r="H149" s="1" t="s">
        <v>251</v>
      </c>
      <c r="I149" s="2">
        <v>44595</v>
      </c>
      <c r="J149" s="3">
        <v>0.4284722222222222</v>
      </c>
      <c r="K149" s="1" t="s">
        <v>73</v>
      </c>
      <c r="L149" s="2">
        <v>44600</v>
      </c>
      <c r="M149" s="1"/>
      <c r="N149" s="19" t="s">
        <v>262</v>
      </c>
      <c r="O149" s="21"/>
    </row>
    <row r="150" spans="1:15" customFormat="1" hidden="1" x14ac:dyDescent="0.3">
      <c r="A150" s="47">
        <f t="shared" si="6"/>
        <v>2022</v>
      </c>
      <c r="B150" s="46">
        <f t="shared" si="7"/>
        <v>6</v>
      </c>
      <c r="C150" s="46">
        <f t="shared" si="8"/>
        <v>7</v>
      </c>
      <c r="D150" s="1"/>
      <c r="E150" s="1" t="s">
        <v>263</v>
      </c>
      <c r="F150" s="19" t="s">
        <v>264</v>
      </c>
      <c r="G150" s="1" t="s">
        <v>9</v>
      </c>
      <c r="H150" s="1" t="s">
        <v>251</v>
      </c>
      <c r="I150" s="2">
        <v>44595</v>
      </c>
      <c r="J150" s="3">
        <v>0.43402777777777773</v>
      </c>
      <c r="K150" s="1" t="s">
        <v>73</v>
      </c>
      <c r="L150" s="2">
        <v>44600</v>
      </c>
      <c r="M150" s="1"/>
      <c r="N150" s="19" t="s">
        <v>262</v>
      </c>
      <c r="O150" s="21"/>
    </row>
    <row r="151" spans="1:15" customFormat="1" hidden="1" x14ac:dyDescent="0.3">
      <c r="A151" s="47">
        <f t="shared" si="6"/>
        <v>2022</v>
      </c>
      <c r="B151" s="46">
        <f t="shared" si="7"/>
        <v>6</v>
      </c>
      <c r="C151" s="46">
        <f t="shared" si="8"/>
        <v>7</v>
      </c>
      <c r="D151" s="1"/>
      <c r="E151" s="1" t="s">
        <v>265</v>
      </c>
      <c r="F151" s="19" t="s">
        <v>264</v>
      </c>
      <c r="G151" s="1" t="s">
        <v>9</v>
      </c>
      <c r="H151" s="1" t="s">
        <v>251</v>
      </c>
      <c r="I151" s="2">
        <v>44595</v>
      </c>
      <c r="J151" s="3">
        <v>0.57013888888888886</v>
      </c>
      <c r="K151" s="1" t="s">
        <v>73</v>
      </c>
      <c r="L151" s="2">
        <v>44600</v>
      </c>
      <c r="M151" s="3">
        <v>0.3520833333333333</v>
      </c>
      <c r="N151" s="19" t="s">
        <v>262</v>
      </c>
      <c r="O151" s="21"/>
    </row>
    <row r="152" spans="1:15" customFormat="1" hidden="1" x14ac:dyDescent="0.3">
      <c r="A152" s="47">
        <f t="shared" si="6"/>
        <v>2022</v>
      </c>
      <c r="B152" s="46">
        <f t="shared" si="7"/>
        <v>6</v>
      </c>
      <c r="C152" s="46">
        <f t="shared" si="8"/>
        <v>7</v>
      </c>
      <c r="D152" s="1"/>
      <c r="E152" s="1" t="s">
        <v>266</v>
      </c>
      <c r="F152" s="19" t="s">
        <v>264</v>
      </c>
      <c r="G152" s="1" t="s">
        <v>9</v>
      </c>
      <c r="H152" s="1" t="s">
        <v>251</v>
      </c>
      <c r="I152" s="2">
        <v>44595</v>
      </c>
      <c r="J152" s="3">
        <v>0.6875</v>
      </c>
      <c r="K152" s="1" t="s">
        <v>73</v>
      </c>
      <c r="L152" s="2">
        <v>44600</v>
      </c>
      <c r="M152" s="3">
        <v>0.35555555555555557</v>
      </c>
      <c r="N152" s="19" t="s">
        <v>262</v>
      </c>
      <c r="O152" s="21"/>
    </row>
    <row r="153" spans="1:15" customFormat="1" hidden="1" x14ac:dyDescent="0.3">
      <c r="A153" s="47">
        <f t="shared" si="6"/>
        <v>2022</v>
      </c>
      <c r="B153" s="46">
        <f t="shared" si="7"/>
        <v>6</v>
      </c>
      <c r="C153" s="46">
        <f t="shared" si="8"/>
        <v>7</v>
      </c>
      <c r="D153" s="1"/>
      <c r="E153" s="1" t="s">
        <v>267</v>
      </c>
      <c r="F153" s="19" t="s">
        <v>264</v>
      </c>
      <c r="G153" s="1" t="s">
        <v>9</v>
      </c>
      <c r="H153" s="1" t="s">
        <v>251</v>
      </c>
      <c r="I153" s="2">
        <v>44595</v>
      </c>
      <c r="J153" s="3">
        <v>0.69097222222222221</v>
      </c>
      <c r="K153" s="1" t="s">
        <v>73</v>
      </c>
      <c r="L153" s="2">
        <v>44600</v>
      </c>
      <c r="M153" s="3">
        <v>0.36041666666666666</v>
      </c>
      <c r="N153" s="19" t="s">
        <v>262</v>
      </c>
      <c r="O153" s="21"/>
    </row>
    <row r="154" spans="1:15" customFormat="1" hidden="1" x14ac:dyDescent="0.3">
      <c r="A154" s="47">
        <f t="shared" si="6"/>
        <v>2022</v>
      </c>
      <c r="B154" s="46">
        <f t="shared" si="7"/>
        <v>6</v>
      </c>
      <c r="C154" s="46">
        <f t="shared" si="8"/>
        <v>7</v>
      </c>
      <c r="D154" s="1"/>
      <c r="E154" s="1" t="s">
        <v>268</v>
      </c>
      <c r="F154" s="19" t="s">
        <v>264</v>
      </c>
      <c r="G154" s="1" t="s">
        <v>9</v>
      </c>
      <c r="H154" s="1" t="s">
        <v>251</v>
      </c>
      <c r="I154" s="2">
        <v>44596</v>
      </c>
      <c r="J154" s="3">
        <v>0.69236111111111109</v>
      </c>
      <c r="K154" s="1" t="s">
        <v>73</v>
      </c>
      <c r="L154" s="2">
        <v>44600</v>
      </c>
      <c r="M154" s="3">
        <v>0.36180555555555555</v>
      </c>
      <c r="N154" s="19" t="s">
        <v>262</v>
      </c>
      <c r="O154" s="21"/>
    </row>
    <row r="155" spans="1:15" customFormat="1" hidden="1" x14ac:dyDescent="0.3">
      <c r="A155" s="47">
        <f t="shared" si="6"/>
        <v>2022</v>
      </c>
      <c r="B155" s="46">
        <f t="shared" si="7"/>
        <v>7</v>
      </c>
      <c r="C155" s="46">
        <f t="shared" si="8"/>
        <v>7</v>
      </c>
      <c r="D155" s="1"/>
      <c r="E155" s="1" t="s">
        <v>269</v>
      </c>
      <c r="F155" s="19" t="s">
        <v>56</v>
      </c>
      <c r="G155" s="1" t="s">
        <v>10</v>
      </c>
      <c r="H155" s="1" t="s">
        <v>251</v>
      </c>
      <c r="I155" s="2">
        <v>44599</v>
      </c>
      <c r="J155" s="3">
        <v>0.36874999999999997</v>
      </c>
      <c r="K155" s="1" t="s">
        <v>73</v>
      </c>
      <c r="L155" s="2">
        <v>44600</v>
      </c>
      <c r="M155" s="3">
        <v>0.375</v>
      </c>
      <c r="N155" s="19" t="s">
        <v>262</v>
      </c>
      <c r="O155" s="21"/>
    </row>
    <row r="156" spans="1:15" customFormat="1" hidden="1" x14ac:dyDescent="0.3">
      <c r="A156" s="47">
        <f t="shared" si="6"/>
        <v>2022</v>
      </c>
      <c r="B156" s="46">
        <f t="shared" si="7"/>
        <v>7</v>
      </c>
      <c r="C156" s="46">
        <f t="shared" si="8"/>
        <v>7</v>
      </c>
      <c r="D156" s="1"/>
      <c r="E156" s="1" t="s">
        <v>270</v>
      </c>
      <c r="F156" s="19" t="s">
        <v>271</v>
      </c>
      <c r="G156" s="1" t="s">
        <v>10</v>
      </c>
      <c r="H156" s="1" t="s">
        <v>251</v>
      </c>
      <c r="I156" s="2">
        <v>44599</v>
      </c>
      <c r="J156" s="3">
        <v>0.38750000000000001</v>
      </c>
      <c r="K156" s="1" t="s">
        <v>73</v>
      </c>
      <c r="L156" s="2">
        <v>44600</v>
      </c>
      <c r="M156" s="3">
        <v>0.43472222222222223</v>
      </c>
      <c r="N156" s="19" t="s">
        <v>262</v>
      </c>
      <c r="O156" s="21"/>
    </row>
    <row r="157" spans="1:15" customFormat="1" ht="43.2" hidden="1" x14ac:dyDescent="0.3">
      <c r="A157" s="47">
        <f t="shared" si="6"/>
        <v>2022</v>
      </c>
      <c r="B157" s="46">
        <f t="shared" si="7"/>
        <v>7</v>
      </c>
      <c r="C157" s="46">
        <f t="shared" si="8"/>
        <v>7</v>
      </c>
      <c r="D157" s="25" t="s">
        <v>274</v>
      </c>
      <c r="E157" s="25" t="s">
        <v>272</v>
      </c>
      <c r="F157" s="84" t="s">
        <v>273</v>
      </c>
      <c r="G157" s="25" t="s">
        <v>10</v>
      </c>
      <c r="H157" s="25" t="s">
        <v>251</v>
      </c>
      <c r="I157" s="26">
        <v>44601</v>
      </c>
      <c r="J157" s="27">
        <v>0.37013888888888885</v>
      </c>
      <c r="K157" s="25" t="s">
        <v>73</v>
      </c>
      <c r="L157" s="26">
        <v>44602</v>
      </c>
      <c r="M157" s="27">
        <v>0.48055555555555557</v>
      </c>
      <c r="N157" s="84" t="s">
        <v>275</v>
      </c>
      <c r="O157" s="21"/>
    </row>
    <row r="158" spans="1:15" customFormat="1" hidden="1" x14ac:dyDescent="0.3">
      <c r="A158" s="47">
        <f t="shared" si="6"/>
        <v>2022</v>
      </c>
      <c r="B158" s="46">
        <f t="shared" si="7"/>
        <v>7</v>
      </c>
      <c r="C158" s="46">
        <f t="shared" si="8"/>
        <v>8</v>
      </c>
      <c r="D158" s="1"/>
      <c r="E158" s="1" t="s">
        <v>276</v>
      </c>
      <c r="F158" s="19" t="s">
        <v>277</v>
      </c>
      <c r="G158" s="1" t="s">
        <v>10</v>
      </c>
      <c r="H158" s="1" t="s">
        <v>251</v>
      </c>
      <c r="I158" s="2">
        <v>44603</v>
      </c>
      <c r="J158" s="3">
        <v>0.35416666666666669</v>
      </c>
      <c r="K158" s="1" t="s">
        <v>73</v>
      </c>
      <c r="L158" s="2">
        <v>44608</v>
      </c>
      <c r="M158" s="3">
        <v>0.44375000000000003</v>
      </c>
      <c r="N158" s="19" t="s">
        <v>262</v>
      </c>
      <c r="O158" s="21"/>
    </row>
    <row r="159" spans="1:15" customFormat="1" ht="158.4" hidden="1" x14ac:dyDescent="0.3">
      <c r="A159" s="47">
        <f t="shared" si="6"/>
        <v>2022</v>
      </c>
      <c r="B159" s="46">
        <f t="shared" si="7"/>
        <v>8</v>
      </c>
      <c r="C159" s="46">
        <f t="shared" si="8"/>
        <v>8</v>
      </c>
      <c r="D159" s="1"/>
      <c r="E159" s="1" t="s">
        <v>279</v>
      </c>
      <c r="F159" s="19" t="s">
        <v>280</v>
      </c>
      <c r="G159" s="1" t="s">
        <v>10</v>
      </c>
      <c r="H159" s="1" t="s">
        <v>251</v>
      </c>
      <c r="I159" s="2">
        <v>44607</v>
      </c>
      <c r="J159" s="3">
        <v>0.41319444444444442</v>
      </c>
      <c r="K159" s="1" t="s">
        <v>73</v>
      </c>
      <c r="L159" s="2">
        <v>44610</v>
      </c>
      <c r="M159" s="3">
        <v>0.38611111111111113</v>
      </c>
      <c r="N159" s="19" t="s">
        <v>281</v>
      </c>
      <c r="O159" s="21"/>
    </row>
    <row r="160" spans="1:15" customFormat="1" ht="28.8" hidden="1" x14ac:dyDescent="0.3">
      <c r="A160" s="47">
        <f t="shared" si="6"/>
        <v>2022</v>
      </c>
      <c r="B160" s="46">
        <f t="shared" si="7"/>
        <v>8</v>
      </c>
      <c r="C160" s="46">
        <f t="shared" si="8"/>
        <v>8</v>
      </c>
      <c r="D160" s="1"/>
      <c r="E160" s="1" t="s">
        <v>282</v>
      </c>
      <c r="F160" s="19" t="s">
        <v>287</v>
      </c>
      <c r="G160" s="1" t="s">
        <v>9</v>
      </c>
      <c r="H160" s="1" t="s">
        <v>251</v>
      </c>
      <c r="I160" s="2">
        <v>44607</v>
      </c>
      <c r="J160" s="3">
        <v>0.44513888888888892</v>
      </c>
      <c r="K160" s="1" t="s">
        <v>73</v>
      </c>
      <c r="L160" s="2">
        <v>44610</v>
      </c>
      <c r="M160" s="3">
        <v>0.49305555555555558</v>
      </c>
      <c r="N160" s="19" t="s">
        <v>83</v>
      </c>
      <c r="O160" s="21" t="s">
        <v>283</v>
      </c>
    </row>
    <row r="161" spans="1:22" customFormat="1" ht="28.8" hidden="1" x14ac:dyDescent="0.3">
      <c r="A161" s="47">
        <f t="shared" si="6"/>
        <v>2022</v>
      </c>
      <c r="B161" s="46">
        <f t="shared" si="7"/>
        <v>8</v>
      </c>
      <c r="C161" s="46">
        <f t="shared" si="8"/>
        <v>8</v>
      </c>
      <c r="D161" s="1"/>
      <c r="E161" s="1" t="s">
        <v>284</v>
      </c>
      <c r="F161" s="19" t="s">
        <v>287</v>
      </c>
      <c r="G161" s="1" t="s">
        <v>9</v>
      </c>
      <c r="H161" s="1" t="s">
        <v>251</v>
      </c>
      <c r="I161" s="2">
        <v>44607</v>
      </c>
      <c r="J161" s="3">
        <v>0.4458333333333333</v>
      </c>
      <c r="K161" s="1" t="s">
        <v>73</v>
      </c>
      <c r="L161" s="2">
        <v>44610</v>
      </c>
      <c r="M161" s="3">
        <v>0.49652777777777773</v>
      </c>
      <c r="N161" s="19" t="s">
        <v>83</v>
      </c>
      <c r="O161" s="21" t="s">
        <v>285</v>
      </c>
    </row>
    <row r="162" spans="1:22" customFormat="1" ht="28.8" hidden="1" x14ac:dyDescent="0.3">
      <c r="A162" s="47">
        <f t="shared" si="6"/>
        <v>2022</v>
      </c>
      <c r="B162" s="46">
        <f t="shared" si="7"/>
        <v>8</v>
      </c>
      <c r="C162" s="46">
        <f t="shared" si="8"/>
        <v>8</v>
      </c>
      <c r="D162" s="1"/>
      <c r="E162" s="1" t="s">
        <v>286</v>
      </c>
      <c r="F162" s="19" t="s">
        <v>287</v>
      </c>
      <c r="G162" s="1" t="s">
        <v>9</v>
      </c>
      <c r="H162" s="1" t="s">
        <v>251</v>
      </c>
      <c r="I162" s="2">
        <v>44607</v>
      </c>
      <c r="J162" s="3">
        <v>0.44791666666666669</v>
      </c>
      <c r="K162" s="1" t="s">
        <v>73</v>
      </c>
      <c r="L162" s="2">
        <v>44610</v>
      </c>
      <c r="M162" s="3">
        <v>0.49861111111111112</v>
      </c>
      <c r="N162" s="19" t="s">
        <v>83</v>
      </c>
      <c r="O162" s="21" t="s">
        <v>285</v>
      </c>
    </row>
    <row r="163" spans="1:22" customFormat="1" hidden="1" x14ac:dyDescent="0.3">
      <c r="A163" s="47">
        <f t="shared" si="6"/>
        <v>2022</v>
      </c>
      <c r="B163" s="46">
        <f t="shared" si="7"/>
        <v>7</v>
      </c>
      <c r="C163" s="46">
        <f t="shared" si="8"/>
        <v>8</v>
      </c>
      <c r="D163" s="1"/>
      <c r="E163" s="1" t="s">
        <v>288</v>
      </c>
      <c r="F163" s="19" t="s">
        <v>289</v>
      </c>
      <c r="G163" s="1" t="s">
        <v>10</v>
      </c>
      <c r="H163" s="1" t="s">
        <v>251</v>
      </c>
      <c r="I163" s="2">
        <v>44603</v>
      </c>
      <c r="J163" s="3">
        <v>0.36874999999999997</v>
      </c>
      <c r="K163" s="1" t="s">
        <v>73</v>
      </c>
      <c r="L163" s="2">
        <v>44610</v>
      </c>
      <c r="M163" s="3">
        <v>0.61736111111111114</v>
      </c>
      <c r="N163" s="19" t="s">
        <v>290</v>
      </c>
      <c r="O163" s="21"/>
    </row>
    <row r="164" spans="1:22" customFormat="1" ht="43.2" hidden="1" x14ac:dyDescent="0.3">
      <c r="A164" s="47">
        <f t="shared" si="6"/>
        <v>2022</v>
      </c>
      <c r="B164" s="46">
        <f t="shared" si="7"/>
        <v>7</v>
      </c>
      <c r="C164" s="46">
        <f t="shared" si="8"/>
        <v>8</v>
      </c>
      <c r="D164" s="1"/>
      <c r="E164" s="1" t="s">
        <v>293</v>
      </c>
      <c r="F164" s="19" t="s">
        <v>289</v>
      </c>
      <c r="G164" s="1" t="s">
        <v>10</v>
      </c>
      <c r="H164" s="1" t="s">
        <v>251</v>
      </c>
      <c r="I164" s="2">
        <v>44603</v>
      </c>
      <c r="J164" s="3">
        <v>0.36527777777777781</v>
      </c>
      <c r="K164" s="1" t="s">
        <v>73</v>
      </c>
      <c r="L164" s="2">
        <v>44610</v>
      </c>
      <c r="M164" s="3">
        <v>0.63888888888888895</v>
      </c>
      <c r="N164" s="19" t="s">
        <v>292</v>
      </c>
      <c r="O164" s="21"/>
    </row>
    <row r="165" spans="1:22" customFormat="1" ht="43.2" hidden="1" x14ac:dyDescent="0.3">
      <c r="A165" s="47">
        <f t="shared" si="6"/>
        <v>2022</v>
      </c>
      <c r="B165" s="46">
        <f t="shared" si="7"/>
        <v>7</v>
      </c>
      <c r="C165" s="46">
        <f t="shared" si="8"/>
        <v>8</v>
      </c>
      <c r="D165" s="1"/>
      <c r="E165" s="1" t="s">
        <v>291</v>
      </c>
      <c r="F165" s="19" t="s">
        <v>289</v>
      </c>
      <c r="G165" s="1" t="s">
        <v>10</v>
      </c>
      <c r="H165" s="1" t="s">
        <v>251</v>
      </c>
      <c r="I165" s="2">
        <v>44603</v>
      </c>
      <c r="J165" s="3">
        <v>0.35972222222222222</v>
      </c>
      <c r="K165" s="1" t="s">
        <v>73</v>
      </c>
      <c r="L165" s="2">
        <v>44610</v>
      </c>
      <c r="M165" s="3">
        <v>0.64097222222222217</v>
      </c>
      <c r="N165" s="19" t="s">
        <v>292</v>
      </c>
      <c r="O165" s="21"/>
    </row>
    <row r="166" spans="1:22" customFormat="1" hidden="1" x14ac:dyDescent="0.3">
      <c r="A166" s="47">
        <f t="shared" si="6"/>
        <v>2022</v>
      </c>
      <c r="B166" s="46">
        <f t="shared" si="7"/>
        <v>7</v>
      </c>
      <c r="C166" s="46">
        <f t="shared" si="8"/>
        <v>8</v>
      </c>
      <c r="D166" s="1"/>
      <c r="E166" s="1" t="s">
        <v>294</v>
      </c>
      <c r="F166" s="19" t="s">
        <v>287</v>
      </c>
      <c r="G166" s="1" t="s">
        <v>9</v>
      </c>
      <c r="H166" s="1" t="s">
        <v>251</v>
      </c>
      <c r="I166" s="2">
        <v>44603</v>
      </c>
      <c r="J166" s="3">
        <v>0.60833333333333328</v>
      </c>
      <c r="K166" s="1" t="s">
        <v>73</v>
      </c>
      <c r="L166" s="2">
        <v>44610</v>
      </c>
      <c r="M166" s="3">
        <v>0.6694444444444444</v>
      </c>
      <c r="N166" s="19" t="s">
        <v>295</v>
      </c>
      <c r="O166" s="21"/>
    </row>
    <row r="167" spans="1:22" customFormat="1" hidden="1" x14ac:dyDescent="0.3">
      <c r="A167" s="47">
        <f t="shared" si="6"/>
        <v>2022</v>
      </c>
      <c r="B167" s="46">
        <f t="shared" si="7"/>
        <v>8</v>
      </c>
      <c r="C167" s="46">
        <f t="shared" si="8"/>
        <v>9</v>
      </c>
      <c r="D167" s="1"/>
      <c r="E167" s="1" t="s">
        <v>298</v>
      </c>
      <c r="F167" s="19" t="s">
        <v>299</v>
      </c>
      <c r="G167" s="1" t="s">
        <v>9</v>
      </c>
      <c r="H167" s="1" t="s">
        <v>251</v>
      </c>
      <c r="I167" s="2">
        <v>44607</v>
      </c>
      <c r="J167" s="3">
        <v>0.60902777777777783</v>
      </c>
      <c r="K167" s="1" t="s">
        <v>73</v>
      </c>
      <c r="L167" s="2">
        <v>44614</v>
      </c>
      <c r="M167" s="3">
        <v>0.34513888888888888</v>
      </c>
      <c r="N167" s="19" t="s">
        <v>300</v>
      </c>
      <c r="O167" s="21"/>
    </row>
    <row r="168" spans="1:22" customFormat="1" ht="72" hidden="1" x14ac:dyDescent="0.3">
      <c r="A168" s="47">
        <f t="shared" si="6"/>
        <v>2022</v>
      </c>
      <c r="B168" s="46">
        <f t="shared" si="7"/>
        <v>8</v>
      </c>
      <c r="C168" s="46">
        <f t="shared" si="8"/>
        <v>9</v>
      </c>
      <c r="D168" s="1"/>
      <c r="E168" s="1" t="s">
        <v>301</v>
      </c>
      <c r="F168" s="19" t="s">
        <v>302</v>
      </c>
      <c r="G168" s="1" t="s">
        <v>10</v>
      </c>
      <c r="H168" s="1" t="s">
        <v>251</v>
      </c>
      <c r="I168" s="2">
        <v>44607</v>
      </c>
      <c r="J168" s="3">
        <v>0.41805555555555557</v>
      </c>
      <c r="K168" s="1" t="s">
        <v>73</v>
      </c>
      <c r="L168" s="2">
        <v>44614</v>
      </c>
      <c r="M168" s="3">
        <v>0.43472222222222223</v>
      </c>
      <c r="N168" s="19" t="s">
        <v>313</v>
      </c>
      <c r="O168" s="21"/>
    </row>
    <row r="169" spans="1:22" customFormat="1" hidden="1" x14ac:dyDescent="0.3">
      <c r="A169" s="47">
        <f t="shared" si="6"/>
        <v>2022</v>
      </c>
      <c r="B169" s="46">
        <f t="shared" si="7"/>
        <v>9</v>
      </c>
      <c r="C169" s="46">
        <f t="shared" si="8"/>
        <v>9</v>
      </c>
      <c r="D169" s="1"/>
      <c r="E169" s="1" t="s">
        <v>303</v>
      </c>
      <c r="F169" s="19" t="s">
        <v>305</v>
      </c>
      <c r="G169" s="1" t="s">
        <v>10</v>
      </c>
      <c r="H169" s="1" t="s">
        <v>251</v>
      </c>
      <c r="I169" s="2">
        <v>44613</v>
      </c>
      <c r="J169" s="3">
        <v>0.58472222222222225</v>
      </c>
      <c r="K169" s="1" t="s">
        <v>73</v>
      </c>
      <c r="L169" s="2">
        <v>44614</v>
      </c>
      <c r="M169" s="3">
        <v>0.40277777777777773</v>
      </c>
      <c r="N169" s="19" t="s">
        <v>83</v>
      </c>
      <c r="O169" s="21"/>
    </row>
    <row r="170" spans="1:22" customFormat="1" ht="57.6" hidden="1" x14ac:dyDescent="0.3">
      <c r="A170" s="47">
        <f t="shared" si="6"/>
        <v>2022</v>
      </c>
      <c r="B170" s="46">
        <f t="shared" si="7"/>
        <v>8</v>
      </c>
      <c r="C170" s="46">
        <f t="shared" si="8"/>
        <v>9</v>
      </c>
      <c r="D170" s="1"/>
      <c r="E170" s="1" t="s">
        <v>304</v>
      </c>
      <c r="F170" s="19" t="s">
        <v>306</v>
      </c>
      <c r="G170" s="1" t="s">
        <v>10</v>
      </c>
      <c r="H170" s="1" t="s">
        <v>251</v>
      </c>
      <c r="I170" s="2">
        <v>44607</v>
      </c>
      <c r="J170" s="3">
        <v>0.42083333333333334</v>
      </c>
      <c r="K170" s="1" t="s">
        <v>73</v>
      </c>
      <c r="L170" s="2">
        <v>44614</v>
      </c>
      <c r="M170" s="3">
        <v>0.5</v>
      </c>
      <c r="N170" s="19" t="s">
        <v>316</v>
      </c>
      <c r="O170" s="21"/>
    </row>
    <row r="171" spans="1:22" customFormat="1" ht="43.2" hidden="1" x14ac:dyDescent="0.3">
      <c r="A171" s="47">
        <f t="shared" si="6"/>
        <v>2022</v>
      </c>
      <c r="B171" s="46">
        <f t="shared" si="7"/>
        <v>8</v>
      </c>
      <c r="C171" s="46">
        <f t="shared" si="8"/>
        <v>9</v>
      </c>
      <c r="D171" s="1"/>
      <c r="E171" s="1" t="s">
        <v>308</v>
      </c>
      <c r="F171" s="19" t="s">
        <v>309</v>
      </c>
      <c r="G171" s="1" t="s">
        <v>10</v>
      </c>
      <c r="H171" s="1" t="s">
        <v>251</v>
      </c>
      <c r="I171" s="2">
        <v>44607</v>
      </c>
      <c r="J171" s="3">
        <v>0.4236111111111111</v>
      </c>
      <c r="K171" s="1" t="s">
        <v>73</v>
      </c>
      <c r="L171" s="2">
        <v>44614</v>
      </c>
      <c r="M171" s="3">
        <v>0.50347222222222221</v>
      </c>
      <c r="N171" s="19" t="s">
        <v>307</v>
      </c>
      <c r="O171" s="21"/>
    </row>
    <row r="172" spans="1:22" customFormat="1" hidden="1" x14ac:dyDescent="0.3">
      <c r="A172" s="47">
        <f t="shared" si="6"/>
        <v>2022</v>
      </c>
      <c r="B172" s="46">
        <f t="shared" si="7"/>
        <v>8</v>
      </c>
      <c r="C172" s="46">
        <f t="shared" si="8"/>
        <v>9</v>
      </c>
      <c r="D172" s="1"/>
      <c r="E172" s="1" t="s">
        <v>310</v>
      </c>
      <c r="F172" s="19" t="s">
        <v>306</v>
      </c>
      <c r="G172" s="1" t="s">
        <v>10</v>
      </c>
      <c r="H172" s="1" t="s">
        <v>251</v>
      </c>
      <c r="I172" s="2">
        <v>44607</v>
      </c>
      <c r="J172" s="3">
        <v>0.42777777777777781</v>
      </c>
      <c r="K172" s="1" t="s">
        <v>73</v>
      </c>
      <c r="L172" s="2">
        <v>44614</v>
      </c>
      <c r="M172" s="3">
        <v>0.51388888888888895</v>
      </c>
      <c r="N172" s="19" t="s">
        <v>311</v>
      </c>
      <c r="O172" s="21"/>
    </row>
    <row r="173" spans="1:22" customFormat="1" hidden="1" x14ac:dyDescent="0.3">
      <c r="A173" s="47">
        <f t="shared" si="6"/>
        <v>2022</v>
      </c>
      <c r="B173" s="46">
        <f t="shared" si="7"/>
        <v>8</v>
      </c>
      <c r="C173" s="46">
        <f t="shared" si="8"/>
        <v>9</v>
      </c>
      <c r="D173" s="1"/>
      <c r="E173" s="1" t="s">
        <v>312</v>
      </c>
      <c r="F173" s="19" t="s">
        <v>136</v>
      </c>
      <c r="G173" s="1" t="s">
        <v>10</v>
      </c>
      <c r="H173" s="1" t="s">
        <v>251</v>
      </c>
      <c r="I173" s="2">
        <v>44607</v>
      </c>
      <c r="J173" s="3">
        <v>0.4284722222222222</v>
      </c>
      <c r="K173" s="1" t="s">
        <v>73</v>
      </c>
      <c r="L173" s="2">
        <v>44614</v>
      </c>
      <c r="M173" s="1"/>
      <c r="N173" s="19" t="s">
        <v>311</v>
      </c>
      <c r="O173" s="21"/>
    </row>
    <row r="174" spans="1:22" customFormat="1" hidden="1" x14ac:dyDescent="0.3">
      <c r="A174" s="47">
        <f t="shared" si="6"/>
        <v>2022</v>
      </c>
      <c r="B174" s="46">
        <f t="shared" si="7"/>
        <v>8</v>
      </c>
      <c r="C174" s="46">
        <f t="shared" si="8"/>
        <v>9</v>
      </c>
      <c r="D174" s="1"/>
      <c r="E174" s="1" t="s">
        <v>314</v>
      </c>
      <c r="F174" s="19" t="s">
        <v>302</v>
      </c>
      <c r="G174" s="1" t="s">
        <v>10</v>
      </c>
      <c r="H174" s="1" t="s">
        <v>251</v>
      </c>
      <c r="I174" s="2">
        <v>44607</v>
      </c>
      <c r="J174" s="3">
        <v>0.43958333333333338</v>
      </c>
      <c r="K174" s="1" t="s">
        <v>73</v>
      </c>
      <c r="L174" s="2">
        <v>44614</v>
      </c>
      <c r="M174" s="3">
        <v>0.43472222222222223</v>
      </c>
      <c r="N174" s="19" t="s">
        <v>315</v>
      </c>
      <c r="O174" s="24"/>
      <c r="P174" s="1"/>
      <c r="Q174" s="2"/>
      <c r="R174" s="3"/>
      <c r="S174" s="1"/>
      <c r="T174" s="2"/>
      <c r="U174" s="3"/>
      <c r="V174" s="21"/>
    </row>
    <row r="175" spans="1:22" customFormat="1" ht="43.2" hidden="1" x14ac:dyDescent="0.3">
      <c r="A175" s="47">
        <f t="shared" si="6"/>
        <v>2022</v>
      </c>
      <c r="B175" s="46">
        <f t="shared" si="7"/>
        <v>8</v>
      </c>
      <c r="C175" s="46">
        <f t="shared" si="8"/>
        <v>9</v>
      </c>
      <c r="D175" s="1"/>
      <c r="E175" s="1" t="s">
        <v>317</v>
      </c>
      <c r="F175" s="19" t="s">
        <v>136</v>
      </c>
      <c r="G175" s="1" t="s">
        <v>10</v>
      </c>
      <c r="H175" s="1" t="s">
        <v>251</v>
      </c>
      <c r="I175" s="2">
        <v>44607</v>
      </c>
      <c r="J175" s="3">
        <v>0.44236111111111115</v>
      </c>
      <c r="K175" s="1" t="s">
        <v>73</v>
      </c>
      <c r="L175" s="2">
        <v>44614</v>
      </c>
      <c r="M175" s="3">
        <v>0.60833333333333328</v>
      </c>
      <c r="N175" s="19" t="s">
        <v>318</v>
      </c>
      <c r="O175" s="21"/>
    </row>
    <row r="176" spans="1:22" customFormat="1" ht="28.8" hidden="1" x14ac:dyDescent="0.3">
      <c r="A176" s="47">
        <f t="shared" si="6"/>
        <v>2022</v>
      </c>
      <c r="B176" s="46">
        <f t="shared" si="7"/>
        <v>8</v>
      </c>
      <c r="C176" s="46">
        <f t="shared" si="8"/>
        <v>9</v>
      </c>
      <c r="D176" s="1"/>
      <c r="E176" s="1" t="s">
        <v>319</v>
      </c>
      <c r="F176" s="19" t="s">
        <v>136</v>
      </c>
      <c r="G176" s="1" t="s">
        <v>10</v>
      </c>
      <c r="H176" s="1" t="s">
        <v>251</v>
      </c>
      <c r="I176" s="2">
        <v>44607</v>
      </c>
      <c r="J176" s="3">
        <v>0.44375000000000003</v>
      </c>
      <c r="K176" s="1" t="s">
        <v>73</v>
      </c>
      <c r="L176" s="2">
        <v>44614</v>
      </c>
      <c r="M176" s="3">
        <v>0.62291666666666667</v>
      </c>
      <c r="N176" s="19" t="s">
        <v>320</v>
      </c>
      <c r="O176" s="21"/>
    </row>
    <row r="177" spans="1:15" customFormat="1" hidden="1" x14ac:dyDescent="0.3">
      <c r="A177" s="47">
        <f t="shared" si="6"/>
        <v>2022</v>
      </c>
      <c r="B177" s="46">
        <f t="shared" si="7"/>
        <v>8</v>
      </c>
      <c r="C177" s="46">
        <f t="shared" si="8"/>
        <v>9</v>
      </c>
      <c r="D177" s="1"/>
      <c r="E177" s="1" t="s">
        <v>321</v>
      </c>
      <c r="F177" s="19" t="s">
        <v>322</v>
      </c>
      <c r="G177" s="1" t="s">
        <v>10</v>
      </c>
      <c r="H177" s="1" t="s">
        <v>251</v>
      </c>
      <c r="I177" s="2">
        <v>44607</v>
      </c>
      <c r="J177" s="3">
        <v>0.4152777777777778</v>
      </c>
      <c r="K177" s="1" t="s">
        <v>73</v>
      </c>
      <c r="L177" s="2">
        <v>44614</v>
      </c>
      <c r="M177" s="3">
        <v>0.64236111111111105</v>
      </c>
      <c r="N177" s="19" t="s">
        <v>323</v>
      </c>
      <c r="O177" s="21"/>
    </row>
    <row r="178" spans="1:15" customFormat="1" hidden="1" x14ac:dyDescent="0.3">
      <c r="A178" s="47">
        <f t="shared" si="6"/>
        <v>2022</v>
      </c>
      <c r="B178" s="46">
        <f t="shared" si="7"/>
        <v>8</v>
      </c>
      <c r="C178" s="46">
        <f t="shared" si="8"/>
        <v>9</v>
      </c>
      <c r="D178" s="1"/>
      <c r="E178" s="1" t="s">
        <v>324</v>
      </c>
      <c r="F178" s="19" t="s">
        <v>325</v>
      </c>
      <c r="G178" s="1" t="s">
        <v>10</v>
      </c>
      <c r="H178" s="1" t="s">
        <v>251</v>
      </c>
      <c r="I178" s="2">
        <v>44609</v>
      </c>
      <c r="J178" s="3">
        <v>0.62361111111111112</v>
      </c>
      <c r="K178" s="1" t="s">
        <v>73</v>
      </c>
      <c r="L178" s="2">
        <v>44614</v>
      </c>
      <c r="M178" s="3">
        <v>0.64930555555555558</v>
      </c>
      <c r="N178" s="19" t="s">
        <v>326</v>
      </c>
      <c r="O178" s="21"/>
    </row>
    <row r="179" spans="1:15" customFormat="1" ht="28.8" hidden="1" x14ac:dyDescent="0.3">
      <c r="A179" s="47">
        <f t="shared" si="6"/>
        <v>2022</v>
      </c>
      <c r="B179" s="46">
        <f t="shared" si="7"/>
        <v>8</v>
      </c>
      <c r="C179" s="46">
        <f t="shared" si="8"/>
        <v>9</v>
      </c>
      <c r="D179" s="1"/>
      <c r="E179" s="1" t="s">
        <v>327</v>
      </c>
      <c r="F179" s="19" t="s">
        <v>258</v>
      </c>
      <c r="G179" s="1" t="s">
        <v>10</v>
      </c>
      <c r="H179" s="1" t="s">
        <v>251</v>
      </c>
      <c r="I179" s="2">
        <v>44609</v>
      </c>
      <c r="J179" s="3">
        <v>0.63472222222222219</v>
      </c>
      <c r="K179" s="1" t="s">
        <v>73</v>
      </c>
      <c r="L179" s="2">
        <v>44614</v>
      </c>
      <c r="M179" s="3">
        <v>0.65625</v>
      </c>
      <c r="N179" s="19" t="s">
        <v>328</v>
      </c>
      <c r="O179" s="21"/>
    </row>
    <row r="180" spans="1:15" customFormat="1" hidden="1" x14ac:dyDescent="0.3">
      <c r="A180" s="47">
        <f t="shared" si="6"/>
        <v>2022</v>
      </c>
      <c r="B180" s="46">
        <f t="shared" si="7"/>
        <v>9</v>
      </c>
      <c r="C180" s="46">
        <f t="shared" si="8"/>
        <v>9</v>
      </c>
      <c r="D180" s="1"/>
      <c r="E180" s="1" t="s">
        <v>329</v>
      </c>
      <c r="F180" s="19" t="s">
        <v>330</v>
      </c>
      <c r="G180" s="1" t="s">
        <v>10</v>
      </c>
      <c r="H180" s="1" t="s">
        <v>251</v>
      </c>
      <c r="I180" s="2">
        <v>44613</v>
      </c>
      <c r="J180" s="3">
        <v>0.37222222222222223</v>
      </c>
      <c r="K180" s="1" t="s">
        <v>73</v>
      </c>
      <c r="L180" s="2">
        <v>44614</v>
      </c>
      <c r="M180" s="1"/>
      <c r="N180" s="19" t="s">
        <v>339</v>
      </c>
      <c r="O180" s="21"/>
    </row>
    <row r="181" spans="1:15" customFormat="1" ht="28.8" hidden="1" x14ac:dyDescent="0.3">
      <c r="A181" s="47">
        <f t="shared" si="6"/>
        <v>2022</v>
      </c>
      <c r="B181" s="46">
        <f t="shared" si="7"/>
        <v>9</v>
      </c>
      <c r="C181" s="46">
        <f t="shared" si="8"/>
        <v>9</v>
      </c>
      <c r="D181" s="1"/>
      <c r="E181" s="1" t="s">
        <v>331</v>
      </c>
      <c r="F181" s="19" t="s">
        <v>332</v>
      </c>
      <c r="G181" s="1" t="s">
        <v>10</v>
      </c>
      <c r="H181" s="1" t="s">
        <v>251</v>
      </c>
      <c r="I181" s="2">
        <v>44613</v>
      </c>
      <c r="J181" s="3">
        <v>0.65277777777777779</v>
      </c>
      <c r="K181" s="1" t="s">
        <v>73</v>
      </c>
      <c r="L181" s="2">
        <v>44615</v>
      </c>
      <c r="M181" s="1"/>
      <c r="N181" s="19" t="s">
        <v>333</v>
      </c>
      <c r="O181" s="21"/>
    </row>
    <row r="182" spans="1:15" customFormat="1" hidden="1" x14ac:dyDescent="0.3">
      <c r="A182" s="47">
        <f t="shared" si="6"/>
        <v>2022</v>
      </c>
      <c r="B182" s="46">
        <f t="shared" si="7"/>
        <v>9</v>
      </c>
      <c r="C182" s="46">
        <f t="shared" si="8"/>
        <v>9</v>
      </c>
      <c r="D182" s="1"/>
      <c r="E182" s="1" t="s">
        <v>334</v>
      </c>
      <c r="F182" s="19" t="s">
        <v>335</v>
      </c>
      <c r="G182" s="1" t="s">
        <v>10</v>
      </c>
      <c r="H182" s="1" t="s">
        <v>251</v>
      </c>
      <c r="I182" s="2">
        <v>44614</v>
      </c>
      <c r="J182" s="3">
        <v>0.72569444444444453</v>
      </c>
      <c r="K182" s="1" t="s">
        <v>73</v>
      </c>
      <c r="L182" s="2">
        <v>44615</v>
      </c>
      <c r="M182" s="3">
        <v>0.5854166666666667</v>
      </c>
      <c r="N182" s="19" t="s">
        <v>336</v>
      </c>
      <c r="O182" s="21"/>
    </row>
    <row r="183" spans="1:15" customFormat="1" hidden="1" x14ac:dyDescent="0.3">
      <c r="A183" s="47">
        <f t="shared" si="6"/>
        <v>2022</v>
      </c>
      <c r="B183" s="46">
        <f t="shared" si="7"/>
        <v>8</v>
      </c>
      <c r="C183" s="46">
        <f t="shared" si="8"/>
        <v>9</v>
      </c>
      <c r="D183" s="1"/>
      <c r="E183" s="1" t="s">
        <v>337</v>
      </c>
      <c r="F183" s="19" t="s">
        <v>338</v>
      </c>
      <c r="G183" s="1" t="s">
        <v>10</v>
      </c>
      <c r="H183" s="1" t="s">
        <v>251</v>
      </c>
      <c r="I183" s="2">
        <v>44611</v>
      </c>
      <c r="J183" s="3">
        <v>0.63124999999999998</v>
      </c>
      <c r="K183" s="1" t="s">
        <v>73</v>
      </c>
      <c r="L183" s="2">
        <v>44615</v>
      </c>
      <c r="M183" s="3">
        <v>0.59236111111111112</v>
      </c>
      <c r="N183" s="19" t="s">
        <v>336</v>
      </c>
      <c r="O183" s="21"/>
    </row>
    <row r="184" spans="1:15" customFormat="1" ht="57.6" hidden="1" x14ac:dyDescent="0.3">
      <c r="A184" s="47">
        <f t="shared" si="6"/>
        <v>2022</v>
      </c>
      <c r="B184" s="46">
        <f t="shared" si="7"/>
        <v>9</v>
      </c>
      <c r="C184" s="46">
        <f t="shared" si="8"/>
        <v>9</v>
      </c>
      <c r="D184" s="1"/>
      <c r="E184" s="1" t="s">
        <v>340</v>
      </c>
      <c r="F184" s="19" t="s">
        <v>332</v>
      </c>
      <c r="G184" s="1" t="s">
        <v>10</v>
      </c>
      <c r="H184" s="1" t="s">
        <v>251</v>
      </c>
      <c r="I184" s="2">
        <v>44613</v>
      </c>
      <c r="J184" s="3">
        <v>0.38194444444444442</v>
      </c>
      <c r="K184" s="1" t="s">
        <v>73</v>
      </c>
      <c r="L184" s="2">
        <v>44615</v>
      </c>
      <c r="M184" s="3">
        <v>0.61458333333333337</v>
      </c>
      <c r="N184" s="19" t="s">
        <v>341</v>
      </c>
      <c r="O184" s="21"/>
    </row>
    <row r="185" spans="1:15" customFormat="1" hidden="1" x14ac:dyDescent="0.3">
      <c r="A185" s="47">
        <f t="shared" si="6"/>
        <v>2022</v>
      </c>
      <c r="B185" s="46">
        <f t="shared" si="7"/>
        <v>9</v>
      </c>
      <c r="C185" s="46">
        <f t="shared" si="8"/>
        <v>9</v>
      </c>
      <c r="D185" s="1"/>
      <c r="E185" s="1" t="s">
        <v>342</v>
      </c>
      <c r="F185" s="19" t="s">
        <v>258</v>
      </c>
      <c r="G185" s="1" t="s">
        <v>10</v>
      </c>
      <c r="H185" s="1" t="s">
        <v>251</v>
      </c>
      <c r="I185" s="2">
        <v>44613</v>
      </c>
      <c r="J185" s="3">
        <v>0.3840277777777778</v>
      </c>
      <c r="K185" s="1" t="s">
        <v>73</v>
      </c>
      <c r="L185" s="2">
        <v>44615</v>
      </c>
      <c r="M185" s="3">
        <v>0.62152777777777779</v>
      </c>
      <c r="N185" s="19" t="s">
        <v>343</v>
      </c>
      <c r="O185" s="21"/>
    </row>
    <row r="186" spans="1:15" customFormat="1" hidden="1" x14ac:dyDescent="0.3">
      <c r="A186" s="47">
        <f t="shared" si="6"/>
        <v>2022</v>
      </c>
      <c r="B186" s="46">
        <f t="shared" si="7"/>
        <v>9</v>
      </c>
      <c r="C186" s="46">
        <f t="shared" si="8"/>
        <v>9</v>
      </c>
      <c r="D186" s="1"/>
      <c r="E186" s="1" t="s">
        <v>344</v>
      </c>
      <c r="F186" s="19" t="s">
        <v>345</v>
      </c>
      <c r="G186" s="1" t="s">
        <v>10</v>
      </c>
      <c r="H186" s="1" t="s">
        <v>251</v>
      </c>
      <c r="I186" s="2">
        <v>44616</v>
      </c>
      <c r="J186" s="3">
        <v>0.35069444444444442</v>
      </c>
      <c r="K186" s="1" t="s">
        <v>73</v>
      </c>
      <c r="L186" s="2">
        <v>44616</v>
      </c>
      <c r="M186" s="3">
        <v>0.4861111111111111</v>
      </c>
      <c r="N186" s="19" t="s">
        <v>343</v>
      </c>
      <c r="O186" s="21"/>
    </row>
    <row r="187" spans="1:15" customFormat="1" hidden="1" x14ac:dyDescent="0.3">
      <c r="A187" s="47">
        <f t="shared" si="6"/>
        <v>2022</v>
      </c>
      <c r="B187" s="46">
        <f t="shared" si="7"/>
        <v>9</v>
      </c>
      <c r="C187" s="46">
        <f t="shared" si="8"/>
        <v>9</v>
      </c>
      <c r="D187" s="1"/>
      <c r="E187" s="4" t="s">
        <v>346</v>
      </c>
      <c r="F187" s="19" t="s">
        <v>345</v>
      </c>
      <c r="G187" s="1" t="s">
        <v>10</v>
      </c>
      <c r="H187" s="1" t="s">
        <v>251</v>
      </c>
      <c r="I187" s="2">
        <v>44616</v>
      </c>
      <c r="J187" s="3">
        <v>0.35625000000000001</v>
      </c>
      <c r="K187" s="1" t="s">
        <v>73</v>
      </c>
      <c r="L187" s="2">
        <v>44616</v>
      </c>
      <c r="M187" s="3">
        <v>0.4916666666666667</v>
      </c>
      <c r="N187" s="19" t="s">
        <v>343</v>
      </c>
      <c r="O187" s="21"/>
    </row>
    <row r="188" spans="1:15" customFormat="1" hidden="1" x14ac:dyDescent="0.3">
      <c r="A188" s="47">
        <f t="shared" si="6"/>
        <v>2022</v>
      </c>
      <c r="B188" s="46">
        <f t="shared" si="7"/>
        <v>9</v>
      </c>
      <c r="C188" s="46">
        <f t="shared" si="8"/>
        <v>9</v>
      </c>
      <c r="D188" s="1"/>
      <c r="E188" s="1" t="s">
        <v>347</v>
      </c>
      <c r="F188" s="19" t="s">
        <v>348</v>
      </c>
      <c r="G188" s="1" t="s">
        <v>10</v>
      </c>
      <c r="H188" s="1" t="s">
        <v>251</v>
      </c>
      <c r="I188" s="2">
        <v>44616</v>
      </c>
      <c r="J188" s="3">
        <v>0.63611111111111118</v>
      </c>
      <c r="K188" s="1" t="s">
        <v>73</v>
      </c>
      <c r="L188" s="2">
        <v>44616</v>
      </c>
      <c r="M188" s="3">
        <v>0.63750000000000007</v>
      </c>
      <c r="N188" s="19"/>
      <c r="O188" s="21"/>
    </row>
    <row r="189" spans="1:15" customFormat="1" ht="86.4" hidden="1" x14ac:dyDescent="0.3">
      <c r="A189" s="47">
        <f t="shared" si="6"/>
        <v>2022</v>
      </c>
      <c r="B189" s="46">
        <f t="shared" si="7"/>
        <v>10</v>
      </c>
      <c r="C189" s="46">
        <f t="shared" si="8"/>
        <v>10</v>
      </c>
      <c r="D189" s="1"/>
      <c r="E189" s="1" t="s">
        <v>349</v>
      </c>
      <c r="F189" s="19" t="s">
        <v>350</v>
      </c>
      <c r="G189" s="1" t="s">
        <v>10</v>
      </c>
      <c r="H189" s="1" t="s">
        <v>251</v>
      </c>
      <c r="I189" s="2">
        <v>44622</v>
      </c>
      <c r="J189" s="3">
        <v>0.4055555555555555</v>
      </c>
      <c r="K189" s="1" t="s">
        <v>73</v>
      </c>
      <c r="L189" s="2">
        <v>44624</v>
      </c>
      <c r="M189" s="3">
        <v>0.4368055555555555</v>
      </c>
      <c r="N189" s="19" t="s">
        <v>351</v>
      </c>
      <c r="O189" s="21"/>
    </row>
    <row r="190" spans="1:15" customFormat="1" ht="100.8" hidden="1" x14ac:dyDescent="0.3">
      <c r="A190" s="47">
        <f t="shared" si="6"/>
        <v>2022</v>
      </c>
      <c r="B190" s="46">
        <f t="shared" si="7"/>
        <v>10</v>
      </c>
      <c r="C190" s="46">
        <f t="shared" si="8"/>
        <v>10</v>
      </c>
      <c r="D190" s="1"/>
      <c r="E190" s="1" t="s">
        <v>352</v>
      </c>
      <c r="F190" s="19" t="s">
        <v>353</v>
      </c>
      <c r="G190" s="1" t="s">
        <v>10</v>
      </c>
      <c r="H190" s="1" t="s">
        <v>251</v>
      </c>
      <c r="I190" s="2">
        <v>44622</v>
      </c>
      <c r="J190" s="3">
        <v>0.40972222222222227</v>
      </c>
      <c r="K190" s="1" t="s">
        <v>73</v>
      </c>
      <c r="L190" s="2">
        <v>44624</v>
      </c>
      <c r="M190" s="3">
        <v>0.4604166666666667</v>
      </c>
      <c r="N190" s="19" t="s">
        <v>354</v>
      </c>
      <c r="O190" s="21"/>
    </row>
    <row r="191" spans="1:15" customFormat="1" ht="86.4" hidden="1" x14ac:dyDescent="0.3">
      <c r="A191" s="47">
        <f t="shared" si="6"/>
        <v>2022</v>
      </c>
      <c r="B191" s="46">
        <f t="shared" si="7"/>
        <v>10</v>
      </c>
      <c r="C191" s="46">
        <f t="shared" si="8"/>
        <v>10</v>
      </c>
      <c r="D191" s="1"/>
      <c r="E191" s="1" t="s">
        <v>355</v>
      </c>
      <c r="F191" s="19" t="s">
        <v>353</v>
      </c>
      <c r="G191" s="1" t="s">
        <v>10</v>
      </c>
      <c r="H191" s="1" t="s">
        <v>251</v>
      </c>
      <c r="I191" s="2">
        <v>44622</v>
      </c>
      <c r="J191" s="3">
        <v>0.4145833333333333</v>
      </c>
      <c r="K191" s="1" t="s">
        <v>73</v>
      </c>
      <c r="L191" s="2">
        <v>44624</v>
      </c>
      <c r="M191" s="3">
        <v>0.4604166666666667</v>
      </c>
      <c r="N191" s="19" t="s">
        <v>356</v>
      </c>
      <c r="O191" s="21"/>
    </row>
    <row r="192" spans="1:15" customFormat="1" ht="86.4" hidden="1" x14ac:dyDescent="0.3">
      <c r="A192" s="47">
        <f t="shared" si="6"/>
        <v>2022</v>
      </c>
      <c r="B192" s="46">
        <f t="shared" si="7"/>
        <v>10</v>
      </c>
      <c r="C192" s="46">
        <f t="shared" si="8"/>
        <v>10</v>
      </c>
      <c r="D192" s="1"/>
      <c r="E192" s="1" t="s">
        <v>357</v>
      </c>
      <c r="F192" s="19" t="s">
        <v>353</v>
      </c>
      <c r="G192" s="1" t="s">
        <v>10</v>
      </c>
      <c r="H192" s="1" t="s">
        <v>251</v>
      </c>
      <c r="I192" s="2">
        <v>44622</v>
      </c>
      <c r="J192" s="3">
        <v>0.42152777777777778</v>
      </c>
      <c r="K192" s="1" t="s">
        <v>73</v>
      </c>
      <c r="L192" s="2">
        <v>44624</v>
      </c>
      <c r="M192" s="3">
        <v>0.5</v>
      </c>
      <c r="N192" s="19" t="s">
        <v>358</v>
      </c>
      <c r="O192" s="21"/>
    </row>
    <row r="193" spans="1:15" customFormat="1" ht="43.2" hidden="1" x14ac:dyDescent="0.3">
      <c r="A193" s="47">
        <f t="shared" si="6"/>
        <v>2022</v>
      </c>
      <c r="B193" s="46">
        <f t="shared" si="7"/>
        <v>10</v>
      </c>
      <c r="C193" s="46">
        <f t="shared" si="8"/>
        <v>10</v>
      </c>
      <c r="D193" s="1"/>
      <c r="E193" s="1" t="s">
        <v>359</v>
      </c>
      <c r="F193" s="19" t="s">
        <v>353</v>
      </c>
      <c r="G193" s="1" t="s">
        <v>10</v>
      </c>
      <c r="H193" s="1" t="s">
        <v>251</v>
      </c>
      <c r="I193" s="2">
        <v>44623</v>
      </c>
      <c r="J193" s="3">
        <v>0.34861111111111115</v>
      </c>
      <c r="K193" s="1" t="s">
        <v>73</v>
      </c>
      <c r="L193" s="2">
        <v>44624</v>
      </c>
      <c r="M193" s="3">
        <v>0.59236111111111112</v>
      </c>
      <c r="N193" s="19" t="s">
        <v>360</v>
      </c>
      <c r="O193" s="21"/>
    </row>
    <row r="194" spans="1:15" customFormat="1" ht="43.2" hidden="1" x14ac:dyDescent="0.3">
      <c r="A194" s="47">
        <f t="shared" si="6"/>
        <v>2022</v>
      </c>
      <c r="B194" s="46">
        <f t="shared" si="7"/>
        <v>10</v>
      </c>
      <c r="C194" s="46">
        <f t="shared" si="8"/>
        <v>10</v>
      </c>
      <c r="D194" s="1"/>
      <c r="E194" s="1" t="s">
        <v>361</v>
      </c>
      <c r="F194" s="19" t="s">
        <v>353</v>
      </c>
      <c r="G194" s="1" t="s">
        <v>10</v>
      </c>
      <c r="H194" s="1" t="s">
        <v>251</v>
      </c>
      <c r="I194" s="2">
        <v>44623</v>
      </c>
      <c r="J194" s="3">
        <v>0.35347222222222219</v>
      </c>
      <c r="K194" s="1" t="s">
        <v>73</v>
      </c>
      <c r="L194" s="2">
        <v>44624</v>
      </c>
      <c r="M194" s="3">
        <v>0.59791666666666665</v>
      </c>
      <c r="N194" s="19" t="s">
        <v>360</v>
      </c>
      <c r="O194" s="21"/>
    </row>
    <row r="195" spans="1:15" customFormat="1" ht="43.2" hidden="1" x14ac:dyDescent="0.3">
      <c r="A195" s="47">
        <f t="shared" ref="A195:A258" si="9">YEAR(L195)</f>
        <v>2022</v>
      </c>
      <c r="B195" s="46">
        <f t="shared" ref="B195:B258" si="10">WEEKNUM(I195)</f>
        <v>10</v>
      </c>
      <c r="C195" s="46">
        <f t="shared" ref="C195:C258" si="11">WEEKNUM(L195)</f>
        <v>10</v>
      </c>
      <c r="D195" s="1"/>
      <c r="E195" s="1" t="s">
        <v>362</v>
      </c>
      <c r="F195" s="19" t="s">
        <v>353</v>
      </c>
      <c r="G195" s="1" t="s">
        <v>10</v>
      </c>
      <c r="H195" s="1" t="s">
        <v>251</v>
      </c>
      <c r="I195" s="2">
        <v>44623</v>
      </c>
      <c r="J195" s="3">
        <v>0.35625000000000001</v>
      </c>
      <c r="K195" s="1" t="s">
        <v>73</v>
      </c>
      <c r="L195" s="2">
        <v>44624</v>
      </c>
      <c r="M195" s="3">
        <v>0.59791666666666665</v>
      </c>
      <c r="N195" s="19" t="s">
        <v>360</v>
      </c>
      <c r="O195" s="21"/>
    </row>
    <row r="196" spans="1:15" customFormat="1" ht="43.2" hidden="1" x14ac:dyDescent="0.3">
      <c r="A196" s="47">
        <f t="shared" si="9"/>
        <v>2022</v>
      </c>
      <c r="B196" s="46">
        <f t="shared" si="10"/>
        <v>10</v>
      </c>
      <c r="C196" s="46">
        <f t="shared" si="11"/>
        <v>10</v>
      </c>
      <c r="D196" s="1"/>
      <c r="E196" s="1" t="s">
        <v>363</v>
      </c>
      <c r="F196" s="19" t="s">
        <v>353</v>
      </c>
      <c r="G196" s="1" t="s">
        <v>10</v>
      </c>
      <c r="H196" s="1" t="s">
        <v>251</v>
      </c>
      <c r="I196" s="2">
        <v>44623</v>
      </c>
      <c r="J196" s="3">
        <v>0.35833333333333334</v>
      </c>
      <c r="K196" s="1" t="s">
        <v>73</v>
      </c>
      <c r="L196" s="2">
        <v>44624</v>
      </c>
      <c r="M196" s="3">
        <v>0.62222222222222223</v>
      </c>
      <c r="N196" s="19" t="s">
        <v>360</v>
      </c>
      <c r="O196" s="21"/>
    </row>
    <row r="197" spans="1:15" customFormat="1" ht="43.2" hidden="1" x14ac:dyDescent="0.3">
      <c r="A197" s="47">
        <f t="shared" si="9"/>
        <v>2022</v>
      </c>
      <c r="B197" s="46">
        <f t="shared" si="10"/>
        <v>10</v>
      </c>
      <c r="C197" s="46">
        <f t="shared" si="11"/>
        <v>10</v>
      </c>
      <c r="D197" s="1"/>
      <c r="E197" s="1" t="s">
        <v>364</v>
      </c>
      <c r="F197" s="19" t="s">
        <v>353</v>
      </c>
      <c r="G197" s="1" t="s">
        <v>10</v>
      </c>
      <c r="H197" s="1" t="s">
        <v>251</v>
      </c>
      <c r="I197" s="2">
        <v>44624</v>
      </c>
      <c r="J197" s="3">
        <v>0.38472222222222219</v>
      </c>
      <c r="K197" s="1" t="s">
        <v>73</v>
      </c>
      <c r="L197" s="2">
        <v>44624</v>
      </c>
      <c r="M197" s="3"/>
      <c r="N197" s="19" t="s">
        <v>454</v>
      </c>
      <c r="O197" s="21"/>
    </row>
    <row r="198" spans="1:15" customFormat="1" hidden="1" x14ac:dyDescent="0.3">
      <c r="A198" s="47">
        <f t="shared" si="9"/>
        <v>2022</v>
      </c>
      <c r="B198" s="46">
        <f t="shared" si="10"/>
        <v>10</v>
      </c>
      <c r="C198" s="46">
        <f t="shared" si="11"/>
        <v>10</v>
      </c>
      <c r="D198" s="1"/>
      <c r="E198" s="1" t="s">
        <v>365</v>
      </c>
      <c r="F198" s="19" t="s">
        <v>353</v>
      </c>
      <c r="G198" s="1" t="s">
        <v>9</v>
      </c>
      <c r="H198" s="1" t="s">
        <v>251</v>
      </c>
      <c r="I198" s="2">
        <v>44624</v>
      </c>
      <c r="J198" s="3">
        <v>0.4152777777777778</v>
      </c>
      <c r="K198" s="1" t="s">
        <v>73</v>
      </c>
      <c r="L198" s="2">
        <v>44624</v>
      </c>
      <c r="M198" s="3">
        <v>0.6791666666666667</v>
      </c>
      <c r="N198" s="19" t="s">
        <v>311</v>
      </c>
      <c r="O198" s="21"/>
    </row>
    <row r="199" spans="1:15" customFormat="1" hidden="1" x14ac:dyDescent="0.3">
      <c r="A199" s="47">
        <f t="shared" si="9"/>
        <v>2022</v>
      </c>
      <c r="B199" s="46">
        <f t="shared" si="10"/>
        <v>10</v>
      </c>
      <c r="C199" s="46">
        <f t="shared" si="11"/>
        <v>11</v>
      </c>
      <c r="D199" s="1"/>
      <c r="E199" s="1" t="s">
        <v>366</v>
      </c>
      <c r="F199" s="19" t="s">
        <v>367</v>
      </c>
      <c r="G199" s="1" t="s">
        <v>9</v>
      </c>
      <c r="H199" s="1" t="s">
        <v>251</v>
      </c>
      <c r="I199" s="2">
        <v>44624</v>
      </c>
      <c r="J199" s="3">
        <v>0.62916666666666665</v>
      </c>
      <c r="K199" s="1" t="s">
        <v>73</v>
      </c>
      <c r="L199" s="2">
        <v>44627</v>
      </c>
      <c r="M199" s="3">
        <v>0.34375</v>
      </c>
      <c r="N199" s="19" t="s">
        <v>311</v>
      </c>
      <c r="O199" s="21"/>
    </row>
    <row r="200" spans="1:15" customFormat="1" ht="129.6" hidden="1" x14ac:dyDescent="0.3">
      <c r="A200" s="47">
        <f t="shared" si="9"/>
        <v>2022</v>
      </c>
      <c r="B200" s="46">
        <f t="shared" si="10"/>
        <v>11</v>
      </c>
      <c r="C200" s="46">
        <f t="shared" si="11"/>
        <v>13</v>
      </c>
      <c r="D200" s="1"/>
      <c r="E200" s="29" t="s">
        <v>369</v>
      </c>
      <c r="F200" s="85" t="s">
        <v>368</v>
      </c>
      <c r="G200" s="29" t="s">
        <v>10</v>
      </c>
      <c r="H200" s="29" t="s">
        <v>251</v>
      </c>
      <c r="I200" s="30">
        <v>44627</v>
      </c>
      <c r="J200" s="31">
        <v>0.35138888888888892</v>
      </c>
      <c r="K200" s="29" t="s">
        <v>73</v>
      </c>
      <c r="L200" s="32">
        <v>44642</v>
      </c>
      <c r="M200" s="33" t="s">
        <v>426</v>
      </c>
      <c r="N200" s="85" t="s">
        <v>425</v>
      </c>
      <c r="O200" s="21"/>
    </row>
    <row r="201" spans="1:15" customFormat="1" ht="216" hidden="1" x14ac:dyDescent="0.3">
      <c r="A201" s="47">
        <f t="shared" si="9"/>
        <v>2022</v>
      </c>
      <c r="B201" s="46">
        <f t="shared" si="10"/>
        <v>11</v>
      </c>
      <c r="C201" s="46">
        <f t="shared" si="11"/>
        <v>13</v>
      </c>
      <c r="D201" s="1"/>
      <c r="E201" s="52" t="s">
        <v>370</v>
      </c>
      <c r="F201" s="85" t="s">
        <v>371</v>
      </c>
      <c r="G201" s="29" t="s">
        <v>10</v>
      </c>
      <c r="H201" s="29" t="s">
        <v>251</v>
      </c>
      <c r="I201" s="30">
        <v>44628</v>
      </c>
      <c r="J201" s="31">
        <v>0.3520833333333333</v>
      </c>
      <c r="K201" s="29" t="s">
        <v>73</v>
      </c>
      <c r="L201" s="32">
        <v>44642</v>
      </c>
      <c r="M201" s="33" t="s">
        <v>428</v>
      </c>
      <c r="N201" s="85" t="s">
        <v>427</v>
      </c>
      <c r="O201" s="21"/>
    </row>
    <row r="202" spans="1:15" customFormat="1" ht="43.2" hidden="1" x14ac:dyDescent="0.3">
      <c r="A202" s="47" t="e">
        <f t="shared" si="9"/>
        <v>#VALUE!</v>
      </c>
      <c r="B202" s="46">
        <f t="shared" si="10"/>
        <v>11</v>
      </c>
      <c r="C202" s="46" t="e">
        <f t="shared" si="11"/>
        <v>#VALUE!</v>
      </c>
      <c r="D202" s="1"/>
      <c r="E202" s="1" t="s">
        <v>372</v>
      </c>
      <c r="F202" s="19" t="s">
        <v>373</v>
      </c>
      <c r="G202" s="1" t="s">
        <v>10</v>
      </c>
      <c r="H202" s="1" t="s">
        <v>251</v>
      </c>
      <c r="I202" s="2">
        <v>44628</v>
      </c>
      <c r="J202" s="3">
        <v>0.37152777777777773</v>
      </c>
      <c r="K202" s="1" t="s">
        <v>73</v>
      </c>
      <c r="L202" s="34" t="s">
        <v>429</v>
      </c>
      <c r="M202" s="28" t="s">
        <v>430</v>
      </c>
      <c r="N202" s="19" t="s">
        <v>431</v>
      </c>
      <c r="O202" s="21"/>
    </row>
    <row r="203" spans="1:15" customFormat="1" hidden="1" x14ac:dyDescent="0.3">
      <c r="A203" s="47">
        <f t="shared" si="9"/>
        <v>2022</v>
      </c>
      <c r="B203" s="46">
        <f t="shared" si="10"/>
        <v>11</v>
      </c>
      <c r="C203" s="46">
        <f t="shared" si="11"/>
        <v>11</v>
      </c>
      <c r="D203" s="1"/>
      <c r="E203" s="1" t="s">
        <v>374</v>
      </c>
      <c r="F203" s="19" t="s">
        <v>373</v>
      </c>
      <c r="G203" s="1" t="s">
        <v>10</v>
      </c>
      <c r="H203" s="1" t="s">
        <v>251</v>
      </c>
      <c r="I203" s="2">
        <v>44628</v>
      </c>
      <c r="J203" s="3">
        <v>0.45624999999999999</v>
      </c>
      <c r="K203" s="1" t="s">
        <v>73</v>
      </c>
      <c r="L203" s="2">
        <v>44631</v>
      </c>
      <c r="M203" s="3">
        <v>0.52152777777777781</v>
      </c>
      <c r="N203" s="19" t="s">
        <v>311</v>
      </c>
      <c r="O203" s="21"/>
    </row>
    <row r="204" spans="1:15" customFormat="1" hidden="1" x14ac:dyDescent="0.3">
      <c r="A204" s="47">
        <f t="shared" si="9"/>
        <v>2022</v>
      </c>
      <c r="B204" s="46">
        <f t="shared" si="10"/>
        <v>11</v>
      </c>
      <c r="C204" s="46">
        <f t="shared" si="11"/>
        <v>11</v>
      </c>
      <c r="D204" s="1"/>
      <c r="E204" s="1" t="s">
        <v>375</v>
      </c>
      <c r="F204" s="19" t="s">
        <v>373</v>
      </c>
      <c r="G204" s="1" t="s">
        <v>10</v>
      </c>
      <c r="H204" s="1" t="s">
        <v>251</v>
      </c>
      <c r="I204" s="2">
        <v>44628</v>
      </c>
      <c r="J204" s="3">
        <v>0.45902777777777781</v>
      </c>
      <c r="K204" s="1" t="s">
        <v>73</v>
      </c>
      <c r="L204" s="2">
        <v>44631</v>
      </c>
      <c r="M204" s="3">
        <v>0.52569444444444446</v>
      </c>
      <c r="N204" s="19" t="s">
        <v>311</v>
      </c>
      <c r="O204" s="21"/>
    </row>
    <row r="205" spans="1:15" customFormat="1" ht="43.2" hidden="1" x14ac:dyDescent="0.3">
      <c r="A205" s="47" t="e">
        <f t="shared" si="9"/>
        <v>#VALUE!</v>
      </c>
      <c r="B205" s="46">
        <f t="shared" si="10"/>
        <v>11</v>
      </c>
      <c r="C205" s="46" t="e">
        <f t="shared" si="11"/>
        <v>#VALUE!</v>
      </c>
      <c r="D205" s="1"/>
      <c r="E205" s="1" t="s">
        <v>376</v>
      </c>
      <c r="F205" s="19" t="s">
        <v>377</v>
      </c>
      <c r="G205" s="1" t="s">
        <v>10</v>
      </c>
      <c r="H205" s="1" t="s">
        <v>251</v>
      </c>
      <c r="I205" s="2">
        <v>44630</v>
      </c>
      <c r="J205" s="3">
        <v>0.63611111111111118</v>
      </c>
      <c r="K205" s="1" t="s">
        <v>73</v>
      </c>
      <c r="L205" s="34" t="s">
        <v>432</v>
      </c>
      <c r="M205" s="28" t="s">
        <v>433</v>
      </c>
      <c r="N205" s="19" t="s">
        <v>434</v>
      </c>
      <c r="O205" s="21"/>
    </row>
    <row r="206" spans="1:15" customFormat="1" ht="28.8" hidden="1" x14ac:dyDescent="0.3">
      <c r="A206" s="47" t="e">
        <f t="shared" si="9"/>
        <v>#VALUE!</v>
      </c>
      <c r="B206" s="46">
        <f t="shared" si="10"/>
        <v>12</v>
      </c>
      <c r="C206" s="46" t="e">
        <f t="shared" si="11"/>
        <v>#VALUE!</v>
      </c>
      <c r="D206" s="1"/>
      <c r="E206" s="1" t="s">
        <v>378</v>
      </c>
      <c r="F206" s="19" t="s">
        <v>379</v>
      </c>
      <c r="G206" s="1" t="s">
        <v>10</v>
      </c>
      <c r="H206" s="1" t="s">
        <v>251</v>
      </c>
      <c r="I206" s="2">
        <v>44634</v>
      </c>
      <c r="J206" s="3">
        <v>0.63611111111111118</v>
      </c>
      <c r="K206" s="1" t="s">
        <v>73</v>
      </c>
      <c r="L206" s="34" t="s">
        <v>436</v>
      </c>
      <c r="M206" s="28" t="s">
        <v>458</v>
      </c>
      <c r="N206" s="19" t="s">
        <v>380</v>
      </c>
      <c r="O206" s="21"/>
    </row>
    <row r="207" spans="1:15" customFormat="1" ht="43.2" hidden="1" x14ac:dyDescent="0.3">
      <c r="A207" s="47" t="e">
        <f t="shared" si="9"/>
        <v>#VALUE!</v>
      </c>
      <c r="B207" s="46">
        <f t="shared" si="10"/>
        <v>11</v>
      </c>
      <c r="C207" s="46" t="e">
        <f t="shared" si="11"/>
        <v>#VALUE!</v>
      </c>
      <c r="D207" s="1"/>
      <c r="E207" s="1" t="s">
        <v>381</v>
      </c>
      <c r="F207" s="19" t="s">
        <v>382</v>
      </c>
      <c r="G207" s="1" t="s">
        <v>10</v>
      </c>
      <c r="H207" s="1" t="s">
        <v>251</v>
      </c>
      <c r="I207" s="2">
        <v>44631</v>
      </c>
      <c r="J207" s="3">
        <v>0.625</v>
      </c>
      <c r="K207" s="1" t="s">
        <v>73</v>
      </c>
      <c r="L207" s="34" t="s">
        <v>436</v>
      </c>
      <c r="M207" s="28" t="s">
        <v>435</v>
      </c>
      <c r="N207" s="19" t="s">
        <v>459</v>
      </c>
      <c r="O207" s="21"/>
    </row>
    <row r="208" spans="1:15" customFormat="1" ht="28.8" hidden="1" x14ac:dyDescent="0.3">
      <c r="A208" s="47" t="e">
        <f t="shared" si="9"/>
        <v>#VALUE!</v>
      </c>
      <c r="B208" s="46">
        <f t="shared" si="10"/>
        <v>11</v>
      </c>
      <c r="C208" s="46" t="e">
        <f t="shared" si="11"/>
        <v>#VALUE!</v>
      </c>
      <c r="D208" s="1"/>
      <c r="E208" s="1" t="s">
        <v>383</v>
      </c>
      <c r="F208" s="19" t="s">
        <v>382</v>
      </c>
      <c r="G208" s="1" t="s">
        <v>10</v>
      </c>
      <c r="H208" s="1" t="s">
        <v>251</v>
      </c>
      <c r="I208" s="2">
        <v>44631</v>
      </c>
      <c r="J208" s="3">
        <v>0.62986111111111109</v>
      </c>
      <c r="K208" s="1" t="s">
        <v>73</v>
      </c>
      <c r="L208" s="34" t="s">
        <v>436</v>
      </c>
      <c r="M208" s="28" t="s">
        <v>437</v>
      </c>
      <c r="N208" s="19" t="s">
        <v>438</v>
      </c>
      <c r="O208" s="21"/>
    </row>
    <row r="209" spans="1:15" customFormat="1" hidden="1" x14ac:dyDescent="0.3">
      <c r="A209" s="47">
        <f t="shared" si="9"/>
        <v>2022</v>
      </c>
      <c r="B209" s="46">
        <f t="shared" si="10"/>
        <v>11</v>
      </c>
      <c r="C209" s="46">
        <f t="shared" si="11"/>
        <v>12</v>
      </c>
      <c r="D209" s="1"/>
      <c r="E209" s="1" t="s">
        <v>384</v>
      </c>
      <c r="F209" s="19" t="s">
        <v>385</v>
      </c>
      <c r="G209" s="1" t="s">
        <v>9</v>
      </c>
      <c r="H209" s="1" t="s">
        <v>251</v>
      </c>
      <c r="I209" s="2">
        <v>44631</v>
      </c>
      <c r="J209" s="3">
        <v>0.63402777777777775</v>
      </c>
      <c r="K209" s="1" t="s">
        <v>73</v>
      </c>
      <c r="L209" s="2">
        <v>44635</v>
      </c>
      <c r="M209" s="3">
        <v>0.44722222222222219</v>
      </c>
      <c r="N209" s="19" t="s">
        <v>386</v>
      </c>
      <c r="O209" s="21"/>
    </row>
    <row r="210" spans="1:15" customFormat="1" ht="28.8" hidden="1" x14ac:dyDescent="0.3">
      <c r="A210" s="47" t="e">
        <f t="shared" si="9"/>
        <v>#VALUE!</v>
      </c>
      <c r="B210" s="46">
        <f t="shared" si="10"/>
        <v>12</v>
      </c>
      <c r="C210" s="46" t="e">
        <f t="shared" si="11"/>
        <v>#VALUE!</v>
      </c>
      <c r="D210" s="1"/>
      <c r="E210" s="1" t="s">
        <v>402</v>
      </c>
      <c r="F210" s="19" t="s">
        <v>387</v>
      </c>
      <c r="G210" s="1" t="s">
        <v>10</v>
      </c>
      <c r="H210" s="1" t="s">
        <v>251</v>
      </c>
      <c r="I210" s="2">
        <v>44635</v>
      </c>
      <c r="J210" s="3">
        <v>0.36527777777777781</v>
      </c>
      <c r="K210" s="1" t="s">
        <v>73</v>
      </c>
      <c r="L210" s="34" t="s">
        <v>436</v>
      </c>
      <c r="M210" s="28" t="s">
        <v>439</v>
      </c>
      <c r="N210" s="19" t="s">
        <v>440</v>
      </c>
      <c r="O210" s="21"/>
    </row>
    <row r="211" spans="1:15" customFormat="1" ht="28.8" hidden="1" x14ac:dyDescent="0.3">
      <c r="A211" s="47" t="e">
        <f t="shared" si="9"/>
        <v>#VALUE!</v>
      </c>
      <c r="B211" s="46">
        <f t="shared" si="10"/>
        <v>12</v>
      </c>
      <c r="C211" s="46" t="e">
        <f t="shared" si="11"/>
        <v>#VALUE!</v>
      </c>
      <c r="D211" s="1"/>
      <c r="E211" s="1" t="s">
        <v>388</v>
      </c>
      <c r="F211" s="19" t="s">
        <v>389</v>
      </c>
      <c r="G211" s="1" t="s">
        <v>10</v>
      </c>
      <c r="H211" s="1" t="s">
        <v>251</v>
      </c>
      <c r="I211" s="2">
        <v>44635</v>
      </c>
      <c r="J211" s="3">
        <v>0.37222222222222223</v>
      </c>
      <c r="K211" s="1" t="s">
        <v>73</v>
      </c>
      <c r="L211" s="34" t="s">
        <v>460</v>
      </c>
      <c r="M211" s="28" t="s">
        <v>462</v>
      </c>
      <c r="N211" s="19" t="s">
        <v>463</v>
      </c>
      <c r="O211" s="21"/>
    </row>
    <row r="212" spans="1:15" customFormat="1" ht="100.8" hidden="1" x14ac:dyDescent="0.3">
      <c r="A212" s="47" t="e">
        <f t="shared" si="9"/>
        <v>#VALUE!</v>
      </c>
      <c r="B212" s="46">
        <f t="shared" si="10"/>
        <v>12</v>
      </c>
      <c r="C212" s="46" t="e">
        <f t="shared" si="11"/>
        <v>#VALUE!</v>
      </c>
      <c r="D212" s="1"/>
      <c r="E212" s="1" t="s">
        <v>390</v>
      </c>
      <c r="F212" s="19" t="s">
        <v>391</v>
      </c>
      <c r="G212" s="1" t="s">
        <v>10</v>
      </c>
      <c r="H212" s="1" t="s">
        <v>251</v>
      </c>
      <c r="I212" s="2">
        <v>44636</v>
      </c>
      <c r="J212" s="3">
        <v>0.63611111111111118</v>
      </c>
      <c r="K212" s="1" t="s">
        <v>73</v>
      </c>
      <c r="L212" s="34" t="s">
        <v>442</v>
      </c>
      <c r="M212" s="28" t="s">
        <v>441</v>
      </c>
      <c r="N212" s="19" t="s">
        <v>461</v>
      </c>
      <c r="O212" s="21"/>
    </row>
    <row r="213" spans="1:15" customFormat="1" ht="28.8" hidden="1" x14ac:dyDescent="0.3">
      <c r="A213" s="47" t="e">
        <f t="shared" si="9"/>
        <v>#VALUE!</v>
      </c>
      <c r="B213" s="46">
        <f t="shared" si="10"/>
        <v>12</v>
      </c>
      <c r="C213" s="46" t="e">
        <f t="shared" si="11"/>
        <v>#VALUE!</v>
      </c>
      <c r="D213" s="1"/>
      <c r="E213" s="1" t="s">
        <v>392</v>
      </c>
      <c r="F213" s="19" t="s">
        <v>393</v>
      </c>
      <c r="G213" s="1" t="s">
        <v>10</v>
      </c>
      <c r="H213" s="1" t="s">
        <v>251</v>
      </c>
      <c r="I213" s="2">
        <v>44636</v>
      </c>
      <c r="J213" s="3">
        <v>0.63888888888888895</v>
      </c>
      <c r="K213" s="1" t="s">
        <v>73</v>
      </c>
      <c r="L213" s="34" t="s">
        <v>464</v>
      </c>
      <c r="M213" s="28" t="s">
        <v>465</v>
      </c>
      <c r="N213" s="19" t="s">
        <v>466</v>
      </c>
      <c r="O213" s="21"/>
    </row>
    <row r="214" spans="1:15" customFormat="1" ht="100.8" hidden="1" x14ac:dyDescent="0.3">
      <c r="A214" s="47" t="e">
        <f t="shared" si="9"/>
        <v>#VALUE!</v>
      </c>
      <c r="B214" s="46">
        <f t="shared" si="10"/>
        <v>12</v>
      </c>
      <c r="C214" s="46" t="e">
        <f t="shared" si="11"/>
        <v>#VALUE!</v>
      </c>
      <c r="D214" s="1"/>
      <c r="E214" s="1" t="s">
        <v>394</v>
      </c>
      <c r="F214" s="19" t="s">
        <v>391</v>
      </c>
      <c r="G214" s="1" t="s">
        <v>10</v>
      </c>
      <c r="H214" s="1" t="s">
        <v>251</v>
      </c>
      <c r="I214" s="2">
        <v>44636</v>
      </c>
      <c r="J214" s="3">
        <v>0.64166666666666672</v>
      </c>
      <c r="K214" s="1" t="s">
        <v>73</v>
      </c>
      <c r="L214" s="34" t="s">
        <v>468</v>
      </c>
      <c r="M214" s="28" t="s">
        <v>467</v>
      </c>
      <c r="N214" s="19" t="s">
        <v>469</v>
      </c>
      <c r="O214" s="21"/>
    </row>
    <row r="215" spans="1:15" customFormat="1" ht="100.8" hidden="1" x14ac:dyDescent="0.3">
      <c r="A215" s="47">
        <f t="shared" si="9"/>
        <v>2022</v>
      </c>
      <c r="B215" s="46">
        <f t="shared" si="10"/>
        <v>12</v>
      </c>
      <c r="C215" s="46">
        <f t="shared" si="11"/>
        <v>12</v>
      </c>
      <c r="D215" s="1"/>
      <c r="E215" s="1" t="s">
        <v>395</v>
      </c>
      <c r="F215" s="19" t="s">
        <v>391</v>
      </c>
      <c r="G215" s="1" t="s">
        <v>10</v>
      </c>
      <c r="H215" s="1" t="s">
        <v>251</v>
      </c>
      <c r="I215" s="2">
        <v>44636</v>
      </c>
      <c r="J215" s="3">
        <v>0.64722222222222225</v>
      </c>
      <c r="K215" s="1" t="s">
        <v>73</v>
      </c>
      <c r="L215" s="2">
        <v>44637</v>
      </c>
      <c r="M215" s="28" t="s">
        <v>418</v>
      </c>
      <c r="N215" s="19" t="s">
        <v>417</v>
      </c>
      <c r="O215" s="21"/>
    </row>
    <row r="216" spans="1:15" customFormat="1" ht="86.4" hidden="1" x14ac:dyDescent="0.3">
      <c r="A216" s="47" t="e">
        <f t="shared" si="9"/>
        <v>#VALUE!</v>
      </c>
      <c r="B216" s="46">
        <f t="shared" si="10"/>
        <v>12</v>
      </c>
      <c r="C216" s="46" t="e">
        <f t="shared" si="11"/>
        <v>#VALUE!</v>
      </c>
      <c r="D216" s="1"/>
      <c r="E216" s="1" t="s">
        <v>396</v>
      </c>
      <c r="F216" s="19" t="s">
        <v>391</v>
      </c>
      <c r="G216" s="1" t="s">
        <v>10</v>
      </c>
      <c r="H216" s="1" t="s">
        <v>251</v>
      </c>
      <c r="I216" s="2">
        <v>44636</v>
      </c>
      <c r="J216" s="3">
        <v>0.65208333333333335</v>
      </c>
      <c r="K216" s="1" t="s">
        <v>73</v>
      </c>
      <c r="L216" s="34" t="s">
        <v>442</v>
      </c>
      <c r="M216" s="28" t="s">
        <v>448</v>
      </c>
      <c r="N216" s="19" t="s">
        <v>447</v>
      </c>
      <c r="O216" s="21"/>
    </row>
    <row r="217" spans="1:15" customFormat="1" ht="43.2" hidden="1" x14ac:dyDescent="0.3">
      <c r="A217" s="47" t="e">
        <f t="shared" si="9"/>
        <v>#VALUE!</v>
      </c>
      <c r="B217" s="46">
        <f t="shared" si="10"/>
        <v>12</v>
      </c>
      <c r="C217" s="46" t="e">
        <f t="shared" si="11"/>
        <v>#VALUE!</v>
      </c>
      <c r="D217" s="1"/>
      <c r="E217" s="1" t="s">
        <v>397</v>
      </c>
      <c r="F217" s="19" t="s">
        <v>391</v>
      </c>
      <c r="G217" s="1" t="s">
        <v>10</v>
      </c>
      <c r="H217" s="1" t="s">
        <v>251</v>
      </c>
      <c r="I217" s="2">
        <v>44636</v>
      </c>
      <c r="J217" s="3">
        <v>0.65416666666666667</v>
      </c>
      <c r="K217" s="1" t="s">
        <v>73</v>
      </c>
      <c r="L217" s="34" t="s">
        <v>468</v>
      </c>
      <c r="M217" s="28" t="s">
        <v>471</v>
      </c>
      <c r="N217" s="19" t="s">
        <v>470</v>
      </c>
      <c r="O217" s="21"/>
    </row>
    <row r="218" spans="1:15" customFormat="1" ht="100.8" hidden="1" x14ac:dyDescent="0.3">
      <c r="A218" s="47" t="e">
        <f t="shared" si="9"/>
        <v>#VALUE!</v>
      </c>
      <c r="B218" s="46">
        <f t="shared" si="10"/>
        <v>12</v>
      </c>
      <c r="C218" s="46" t="e">
        <f t="shared" si="11"/>
        <v>#VALUE!</v>
      </c>
      <c r="D218" s="1"/>
      <c r="E218" s="1" t="s">
        <v>398</v>
      </c>
      <c r="F218" s="19" t="s">
        <v>399</v>
      </c>
      <c r="G218" s="1" t="s">
        <v>10</v>
      </c>
      <c r="H218" s="1" t="s">
        <v>251</v>
      </c>
      <c r="I218" s="2">
        <v>44636</v>
      </c>
      <c r="J218" s="3">
        <v>0.65833333333333333</v>
      </c>
      <c r="K218" s="1" t="s">
        <v>73</v>
      </c>
      <c r="L218" s="34" t="s">
        <v>442</v>
      </c>
      <c r="M218" s="28" t="s">
        <v>444</v>
      </c>
      <c r="N218" s="19" t="s">
        <v>443</v>
      </c>
      <c r="O218" s="21"/>
    </row>
    <row r="219" spans="1:15" customFormat="1" ht="28.8" hidden="1" x14ac:dyDescent="0.3">
      <c r="A219" s="47" t="e">
        <f t="shared" si="9"/>
        <v>#VALUE!</v>
      </c>
      <c r="B219" s="46">
        <f t="shared" si="10"/>
        <v>12</v>
      </c>
      <c r="C219" s="46" t="e">
        <f t="shared" si="11"/>
        <v>#VALUE!</v>
      </c>
      <c r="D219" s="1"/>
      <c r="E219" s="1" t="s">
        <v>400</v>
      </c>
      <c r="F219" s="19" t="s">
        <v>401</v>
      </c>
      <c r="G219" s="1" t="s">
        <v>10</v>
      </c>
      <c r="H219" s="1" t="s">
        <v>251</v>
      </c>
      <c r="I219" s="2">
        <v>44637</v>
      </c>
      <c r="J219" s="3">
        <v>0.38055555555555554</v>
      </c>
      <c r="K219" s="1" t="s">
        <v>73</v>
      </c>
      <c r="L219" s="34" t="s">
        <v>442</v>
      </c>
      <c r="M219" s="28" t="s">
        <v>445</v>
      </c>
      <c r="N219" s="19" t="s">
        <v>446</v>
      </c>
      <c r="O219" s="21"/>
    </row>
    <row r="220" spans="1:15" customFormat="1" ht="28.8" hidden="1" x14ac:dyDescent="0.3">
      <c r="A220" s="47" t="e">
        <f t="shared" si="9"/>
        <v>#VALUE!</v>
      </c>
      <c r="B220" s="46">
        <f t="shared" si="10"/>
        <v>12</v>
      </c>
      <c r="C220" s="46" t="e">
        <f t="shared" si="11"/>
        <v>#VALUE!</v>
      </c>
      <c r="D220" s="1"/>
      <c r="E220" s="1" t="s">
        <v>403</v>
      </c>
      <c r="F220" s="19" t="s">
        <v>404</v>
      </c>
      <c r="G220" s="1" t="s">
        <v>10</v>
      </c>
      <c r="H220" s="1" t="s">
        <v>251</v>
      </c>
      <c r="I220" s="2">
        <v>44638</v>
      </c>
      <c r="J220" s="3">
        <v>0.4909722222222222</v>
      </c>
      <c r="K220" s="1" t="s">
        <v>73</v>
      </c>
      <c r="L220" s="34" t="s">
        <v>451</v>
      </c>
      <c r="M220" s="28" t="s">
        <v>450</v>
      </c>
      <c r="N220" s="19" t="s">
        <v>449</v>
      </c>
      <c r="O220" s="21"/>
    </row>
    <row r="221" spans="1:15" customFormat="1" ht="28.8" hidden="1" x14ac:dyDescent="0.3">
      <c r="A221" s="47" t="e">
        <f t="shared" si="9"/>
        <v>#VALUE!</v>
      </c>
      <c r="B221" s="46">
        <f t="shared" si="10"/>
        <v>12</v>
      </c>
      <c r="C221" s="46" t="e">
        <f t="shared" si="11"/>
        <v>#VALUE!</v>
      </c>
      <c r="D221" s="1"/>
      <c r="E221" s="1" t="s">
        <v>405</v>
      </c>
      <c r="F221" s="19" t="s">
        <v>406</v>
      </c>
      <c r="G221" s="1" t="s">
        <v>10</v>
      </c>
      <c r="H221" s="1" t="s">
        <v>251</v>
      </c>
      <c r="I221" s="2">
        <v>44638</v>
      </c>
      <c r="J221" s="3">
        <v>0.49444444444444446</v>
      </c>
      <c r="K221" s="1" t="s">
        <v>73</v>
      </c>
      <c r="L221" s="34" t="s">
        <v>451</v>
      </c>
      <c r="M221" s="28" t="s">
        <v>452</v>
      </c>
      <c r="N221" s="19" t="s">
        <v>453</v>
      </c>
      <c r="O221" s="21"/>
    </row>
    <row r="222" spans="1:15" customFormat="1" ht="100.8" hidden="1" x14ac:dyDescent="0.3">
      <c r="A222" s="47" t="e">
        <f t="shared" si="9"/>
        <v>#VALUE!</v>
      </c>
      <c r="B222" s="46">
        <f t="shared" si="10"/>
        <v>12</v>
      </c>
      <c r="C222" s="46" t="e">
        <f t="shared" si="11"/>
        <v>#VALUE!</v>
      </c>
      <c r="D222" s="1"/>
      <c r="E222" s="1" t="s">
        <v>407</v>
      </c>
      <c r="F222" s="19" t="s">
        <v>406</v>
      </c>
      <c r="G222" s="1" t="s">
        <v>10</v>
      </c>
      <c r="H222" s="1" t="s">
        <v>251</v>
      </c>
      <c r="I222" s="2">
        <v>44638</v>
      </c>
      <c r="J222" s="3">
        <v>0.4993055555555555</v>
      </c>
      <c r="K222" s="1" t="s">
        <v>73</v>
      </c>
      <c r="L222" s="34" t="s">
        <v>474</v>
      </c>
      <c r="M222" s="28" t="s">
        <v>472</v>
      </c>
      <c r="N222" s="19" t="s">
        <v>473</v>
      </c>
      <c r="O222" s="21"/>
    </row>
    <row r="223" spans="1:15" customFormat="1" ht="115.2" hidden="1" x14ac:dyDescent="0.3">
      <c r="A223" s="47" t="e">
        <f t="shared" si="9"/>
        <v>#VALUE!</v>
      </c>
      <c r="B223" s="46">
        <f t="shared" si="10"/>
        <v>12</v>
      </c>
      <c r="C223" s="46" t="e">
        <f t="shared" si="11"/>
        <v>#VALUE!</v>
      </c>
      <c r="D223" s="1"/>
      <c r="E223" s="1" t="s">
        <v>408</v>
      </c>
      <c r="F223" s="19" t="s">
        <v>406</v>
      </c>
      <c r="G223" s="1" t="s">
        <v>10</v>
      </c>
      <c r="H223" s="1" t="s">
        <v>251</v>
      </c>
      <c r="I223" s="2">
        <v>44638</v>
      </c>
      <c r="J223" s="3">
        <v>0.50138888888888888</v>
      </c>
      <c r="K223" s="1" t="s">
        <v>73</v>
      </c>
      <c r="L223" s="34" t="s">
        <v>474</v>
      </c>
      <c r="M223" s="28" t="s">
        <v>475</v>
      </c>
      <c r="N223" s="19" t="s">
        <v>476</v>
      </c>
      <c r="O223" s="21"/>
    </row>
    <row r="224" spans="1:15" customFormat="1" ht="129.6" hidden="1" x14ac:dyDescent="0.3">
      <c r="A224" s="47" t="e">
        <f t="shared" si="9"/>
        <v>#VALUE!</v>
      </c>
      <c r="B224" s="46">
        <f t="shared" si="10"/>
        <v>12</v>
      </c>
      <c r="C224" s="46" t="e">
        <f t="shared" si="11"/>
        <v>#VALUE!</v>
      </c>
      <c r="D224" s="1"/>
      <c r="E224" s="1" t="s">
        <v>409</v>
      </c>
      <c r="F224" s="19" t="s">
        <v>406</v>
      </c>
      <c r="G224" s="1" t="s">
        <v>10</v>
      </c>
      <c r="H224" s="1" t="s">
        <v>251</v>
      </c>
      <c r="I224" s="2">
        <v>44638</v>
      </c>
      <c r="J224" s="3">
        <v>0.50555555555555554</v>
      </c>
      <c r="K224" s="1" t="s">
        <v>73</v>
      </c>
      <c r="L224" s="34" t="s">
        <v>451</v>
      </c>
      <c r="M224" s="28" t="s">
        <v>480</v>
      </c>
      <c r="N224" s="19" t="s">
        <v>479</v>
      </c>
      <c r="O224" s="21"/>
    </row>
    <row r="225" spans="1:15" customFormat="1" ht="115.2" hidden="1" x14ac:dyDescent="0.3">
      <c r="A225" s="47" t="e">
        <f t="shared" si="9"/>
        <v>#VALUE!</v>
      </c>
      <c r="B225" s="46">
        <f t="shared" si="10"/>
        <v>12</v>
      </c>
      <c r="C225" s="46" t="e">
        <f t="shared" si="11"/>
        <v>#VALUE!</v>
      </c>
      <c r="D225" s="1"/>
      <c r="E225" s="1" t="s">
        <v>410</v>
      </c>
      <c r="F225" s="19" t="s">
        <v>406</v>
      </c>
      <c r="G225" s="1" t="s">
        <v>10</v>
      </c>
      <c r="H225" s="1" t="s">
        <v>251</v>
      </c>
      <c r="I225" s="2">
        <v>44638</v>
      </c>
      <c r="J225" s="3">
        <v>0.50555555555555554</v>
      </c>
      <c r="K225" s="1" t="s">
        <v>73</v>
      </c>
      <c r="L225" s="34" t="s">
        <v>474</v>
      </c>
      <c r="M225" s="28" t="s">
        <v>477</v>
      </c>
      <c r="N225" s="19" t="s">
        <v>478</v>
      </c>
      <c r="O225" s="21"/>
    </row>
    <row r="226" spans="1:15" customFormat="1" ht="129.6" hidden="1" x14ac:dyDescent="0.3">
      <c r="A226" s="47" t="e">
        <f t="shared" si="9"/>
        <v>#VALUE!</v>
      </c>
      <c r="B226" s="46">
        <f t="shared" si="10"/>
        <v>12</v>
      </c>
      <c r="C226" s="46" t="e">
        <f t="shared" si="11"/>
        <v>#VALUE!</v>
      </c>
      <c r="D226" s="1"/>
      <c r="E226" s="1" t="s">
        <v>411</v>
      </c>
      <c r="F226" s="19" t="s">
        <v>406</v>
      </c>
      <c r="G226" s="1" t="s">
        <v>10</v>
      </c>
      <c r="H226" s="1" t="s">
        <v>251</v>
      </c>
      <c r="I226" s="2">
        <v>44638</v>
      </c>
      <c r="J226" s="3">
        <v>0.50763888888888886</v>
      </c>
      <c r="K226" s="1" t="s">
        <v>73</v>
      </c>
      <c r="L226" s="34" t="s">
        <v>483</v>
      </c>
      <c r="M226" s="28" t="s">
        <v>484</v>
      </c>
      <c r="N226" s="19" t="s">
        <v>485</v>
      </c>
      <c r="O226" s="21"/>
    </row>
    <row r="227" spans="1:15" customFormat="1" ht="115.2" hidden="1" x14ac:dyDescent="0.3">
      <c r="A227" s="47" t="e">
        <f t="shared" si="9"/>
        <v>#VALUE!</v>
      </c>
      <c r="B227" s="46">
        <f t="shared" si="10"/>
        <v>12</v>
      </c>
      <c r="C227" s="46" t="e">
        <f t="shared" si="11"/>
        <v>#VALUE!</v>
      </c>
      <c r="D227" s="1"/>
      <c r="E227" s="1" t="s">
        <v>412</v>
      </c>
      <c r="F227" s="19" t="s">
        <v>406</v>
      </c>
      <c r="G227" s="1" t="s">
        <v>10</v>
      </c>
      <c r="H227" s="1" t="s">
        <v>251</v>
      </c>
      <c r="I227" s="2">
        <v>44638</v>
      </c>
      <c r="J227" s="3">
        <v>0.50763888888888886</v>
      </c>
      <c r="K227" s="1" t="s">
        <v>73</v>
      </c>
      <c r="L227" s="34" t="s">
        <v>451</v>
      </c>
      <c r="M227" s="28" t="s">
        <v>482</v>
      </c>
      <c r="N227" s="19" t="s">
        <v>481</v>
      </c>
      <c r="O227" s="21"/>
    </row>
    <row r="228" spans="1:15" customFormat="1" ht="129.6" hidden="1" x14ac:dyDescent="0.3">
      <c r="A228" s="47" t="e">
        <f t="shared" si="9"/>
        <v>#VALUE!</v>
      </c>
      <c r="B228" s="46">
        <f t="shared" si="10"/>
        <v>12</v>
      </c>
      <c r="C228" s="46" t="e">
        <f t="shared" si="11"/>
        <v>#VALUE!</v>
      </c>
      <c r="D228" s="1"/>
      <c r="E228" s="1" t="s">
        <v>413</v>
      </c>
      <c r="F228" s="19" t="s">
        <v>406</v>
      </c>
      <c r="G228" s="1" t="s">
        <v>10</v>
      </c>
      <c r="H228" s="1" t="s">
        <v>251</v>
      </c>
      <c r="I228" s="2">
        <v>44638</v>
      </c>
      <c r="J228" s="3">
        <v>0.51180555555555551</v>
      </c>
      <c r="K228" s="1" t="s">
        <v>73</v>
      </c>
      <c r="L228" s="34" t="s">
        <v>483</v>
      </c>
      <c r="M228" s="28" t="s">
        <v>486</v>
      </c>
      <c r="N228" s="19" t="s">
        <v>487</v>
      </c>
      <c r="O228" s="21"/>
    </row>
    <row r="229" spans="1:15" customFormat="1" ht="129.6" hidden="1" x14ac:dyDescent="0.3">
      <c r="A229" s="47" t="e">
        <f t="shared" si="9"/>
        <v>#VALUE!</v>
      </c>
      <c r="B229" s="46">
        <f t="shared" si="10"/>
        <v>12</v>
      </c>
      <c r="C229" s="46" t="e">
        <f t="shared" si="11"/>
        <v>#VALUE!</v>
      </c>
      <c r="D229" s="1"/>
      <c r="E229" s="1" t="s">
        <v>414</v>
      </c>
      <c r="F229" s="19" t="s">
        <v>406</v>
      </c>
      <c r="G229" s="1" t="s">
        <v>10</v>
      </c>
      <c r="H229" s="1" t="s">
        <v>251</v>
      </c>
      <c r="I229" s="2">
        <v>44638</v>
      </c>
      <c r="J229" s="3">
        <v>0.51388888888888895</v>
      </c>
      <c r="K229" s="1" t="s">
        <v>73</v>
      </c>
      <c r="L229" s="34" t="s">
        <v>483</v>
      </c>
      <c r="M229" s="28" t="s">
        <v>489</v>
      </c>
      <c r="N229" s="19" t="s">
        <v>488</v>
      </c>
      <c r="O229" s="21"/>
    </row>
    <row r="230" spans="1:15" customFormat="1" ht="129.6" hidden="1" x14ac:dyDescent="0.3">
      <c r="A230" s="47" t="e">
        <f t="shared" si="9"/>
        <v>#VALUE!</v>
      </c>
      <c r="B230" s="46">
        <f t="shared" si="10"/>
        <v>12</v>
      </c>
      <c r="C230" s="46" t="e">
        <f t="shared" si="11"/>
        <v>#VALUE!</v>
      </c>
      <c r="D230" s="1"/>
      <c r="E230" s="1" t="s">
        <v>415</v>
      </c>
      <c r="F230" s="19" t="s">
        <v>406</v>
      </c>
      <c r="G230" s="1" t="s">
        <v>10</v>
      </c>
      <c r="H230" s="1" t="s">
        <v>251</v>
      </c>
      <c r="I230" s="2">
        <v>44638</v>
      </c>
      <c r="J230" s="3">
        <v>0.51597222222222217</v>
      </c>
      <c r="K230" s="1" t="s">
        <v>73</v>
      </c>
      <c r="L230" s="34" t="s">
        <v>483</v>
      </c>
      <c r="M230" s="28" t="s">
        <v>490</v>
      </c>
      <c r="N230" s="19" t="s">
        <v>491</v>
      </c>
      <c r="O230" s="21"/>
    </row>
    <row r="231" spans="1:15" customFormat="1" ht="115.2" hidden="1" x14ac:dyDescent="0.3">
      <c r="A231" s="47" t="e">
        <f t="shared" si="9"/>
        <v>#VALUE!</v>
      </c>
      <c r="B231" s="46">
        <f t="shared" si="10"/>
        <v>12</v>
      </c>
      <c r="C231" s="46" t="e">
        <f t="shared" si="11"/>
        <v>#VALUE!</v>
      </c>
      <c r="D231" s="1"/>
      <c r="E231" s="1" t="s">
        <v>416</v>
      </c>
      <c r="F231" s="19" t="s">
        <v>406</v>
      </c>
      <c r="G231" s="1" t="s">
        <v>10</v>
      </c>
      <c r="H231" s="1" t="s">
        <v>251</v>
      </c>
      <c r="I231" s="2">
        <v>44638</v>
      </c>
      <c r="J231" s="3">
        <v>0.51874999999999993</v>
      </c>
      <c r="K231" s="1" t="s">
        <v>73</v>
      </c>
      <c r="L231" s="34" t="s">
        <v>483</v>
      </c>
      <c r="M231" s="28" t="s">
        <v>493</v>
      </c>
      <c r="N231" s="19" t="s">
        <v>492</v>
      </c>
      <c r="O231" s="21"/>
    </row>
    <row r="232" spans="1:15" customFormat="1" ht="158.4" hidden="1" x14ac:dyDescent="0.3">
      <c r="A232" s="47">
        <f t="shared" si="9"/>
        <v>2022</v>
      </c>
      <c r="B232" s="46">
        <f t="shared" si="10"/>
        <v>12</v>
      </c>
      <c r="C232" s="46">
        <f t="shared" si="11"/>
        <v>13</v>
      </c>
      <c r="D232" s="1"/>
      <c r="E232" s="1" t="s">
        <v>419</v>
      </c>
      <c r="F232" s="19" t="s">
        <v>406</v>
      </c>
      <c r="G232" s="1" t="s">
        <v>10</v>
      </c>
      <c r="H232" s="1" t="s">
        <v>251</v>
      </c>
      <c r="I232" s="2">
        <v>44638</v>
      </c>
      <c r="J232" s="3">
        <v>0.52777777777777779</v>
      </c>
      <c r="K232" s="1" t="s">
        <v>73</v>
      </c>
      <c r="L232" s="2">
        <v>44641</v>
      </c>
      <c r="M232" s="3">
        <v>0.46180555555555558</v>
      </c>
      <c r="N232" s="19" t="s">
        <v>420</v>
      </c>
      <c r="O232" s="21"/>
    </row>
    <row r="233" spans="1:15" customFormat="1" ht="115.2" hidden="1" x14ac:dyDescent="0.3">
      <c r="A233" s="47">
        <f t="shared" si="9"/>
        <v>2022</v>
      </c>
      <c r="B233" s="46">
        <f t="shared" si="10"/>
        <v>12</v>
      </c>
      <c r="C233" s="46">
        <f t="shared" si="11"/>
        <v>13</v>
      </c>
      <c r="D233" s="1"/>
      <c r="E233" s="1" t="s">
        <v>421</v>
      </c>
      <c r="F233" s="19" t="s">
        <v>406</v>
      </c>
      <c r="G233" s="1" t="s">
        <v>10</v>
      </c>
      <c r="H233" s="1" t="s">
        <v>251</v>
      </c>
      <c r="I233" s="2">
        <v>44638</v>
      </c>
      <c r="J233" s="3">
        <v>0.52500000000000002</v>
      </c>
      <c r="K233" s="1" t="s">
        <v>73</v>
      </c>
      <c r="L233" s="2">
        <v>44641</v>
      </c>
      <c r="M233" s="3">
        <v>0.47152777777777777</v>
      </c>
      <c r="N233" s="19" t="s">
        <v>422</v>
      </c>
      <c r="O233" s="21"/>
    </row>
    <row r="234" spans="1:15" customFormat="1" ht="86.4" hidden="1" x14ac:dyDescent="0.3">
      <c r="A234" s="47">
        <f t="shared" si="9"/>
        <v>2022</v>
      </c>
      <c r="B234" s="46">
        <f t="shared" si="10"/>
        <v>12</v>
      </c>
      <c r="C234" s="46">
        <f t="shared" si="11"/>
        <v>13</v>
      </c>
      <c r="D234" s="1"/>
      <c r="E234" s="1" t="s">
        <v>423</v>
      </c>
      <c r="F234" s="19" t="s">
        <v>406</v>
      </c>
      <c r="G234" s="1" t="s">
        <v>10</v>
      </c>
      <c r="H234" s="1" t="s">
        <v>251</v>
      </c>
      <c r="I234" s="2">
        <v>44638</v>
      </c>
      <c r="J234" s="3">
        <v>0.5229166666666667</v>
      </c>
      <c r="K234" s="1" t="s">
        <v>73</v>
      </c>
      <c r="L234" s="2">
        <v>44641</v>
      </c>
      <c r="M234" s="3">
        <v>0.59791666666666665</v>
      </c>
      <c r="N234" s="19" t="s">
        <v>424</v>
      </c>
      <c r="O234" s="21"/>
    </row>
    <row r="235" spans="1:15" customFormat="1" hidden="1" x14ac:dyDescent="0.3">
      <c r="A235" s="47">
        <f t="shared" si="9"/>
        <v>2022</v>
      </c>
      <c r="B235" s="46">
        <f t="shared" si="10"/>
        <v>13</v>
      </c>
      <c r="C235" s="46">
        <f t="shared" si="11"/>
        <v>13</v>
      </c>
      <c r="D235" s="1"/>
      <c r="E235" s="1" t="s">
        <v>455</v>
      </c>
      <c r="F235" s="19" t="s">
        <v>456</v>
      </c>
      <c r="G235" s="1" t="s">
        <v>10</v>
      </c>
      <c r="H235" s="1" t="s">
        <v>251</v>
      </c>
      <c r="I235" s="2">
        <v>44643</v>
      </c>
      <c r="J235" s="3">
        <v>0.44722222222222219</v>
      </c>
      <c r="K235" s="1" t="s">
        <v>73</v>
      </c>
      <c r="L235" s="2">
        <v>44643</v>
      </c>
      <c r="M235" s="3">
        <v>0.60416666666666663</v>
      </c>
      <c r="N235" s="19" t="s">
        <v>457</v>
      </c>
      <c r="O235" s="21"/>
    </row>
    <row r="236" spans="1:15" customFormat="1" hidden="1" x14ac:dyDescent="0.3">
      <c r="A236" s="47">
        <f t="shared" si="9"/>
        <v>2022</v>
      </c>
      <c r="B236" s="46">
        <f t="shared" si="10"/>
        <v>13</v>
      </c>
      <c r="C236" s="46">
        <f t="shared" si="11"/>
        <v>14</v>
      </c>
      <c r="D236" s="1"/>
      <c r="E236" s="1" t="s">
        <v>494</v>
      </c>
      <c r="F236" s="19" t="s">
        <v>495</v>
      </c>
      <c r="G236" s="1" t="s">
        <v>10</v>
      </c>
      <c r="H236" s="1" t="s">
        <v>251</v>
      </c>
      <c r="I236" s="2">
        <v>44641</v>
      </c>
      <c r="J236" s="3">
        <v>0.51736111111111105</v>
      </c>
      <c r="K236" s="1" t="s">
        <v>73</v>
      </c>
      <c r="L236" s="2">
        <v>44649</v>
      </c>
      <c r="M236" s="3">
        <v>0.36319444444444443</v>
      </c>
      <c r="N236" s="19" t="s">
        <v>496</v>
      </c>
      <c r="O236" s="21"/>
    </row>
    <row r="237" spans="1:15" customFormat="1" ht="28.8" hidden="1" x14ac:dyDescent="0.3">
      <c r="A237" s="47">
        <f t="shared" si="9"/>
        <v>2022</v>
      </c>
      <c r="B237" s="46">
        <f t="shared" si="10"/>
        <v>13</v>
      </c>
      <c r="C237" s="46">
        <f t="shared" si="11"/>
        <v>14</v>
      </c>
      <c r="D237" s="1"/>
      <c r="E237" s="1" t="s">
        <v>497</v>
      </c>
      <c r="F237" s="19" t="s">
        <v>495</v>
      </c>
      <c r="G237" s="1" t="s">
        <v>10</v>
      </c>
      <c r="H237" s="1" t="s">
        <v>251</v>
      </c>
      <c r="I237" s="2">
        <v>44641</v>
      </c>
      <c r="J237" s="3">
        <v>0.52013888888888882</v>
      </c>
      <c r="K237" s="1" t="s">
        <v>73</v>
      </c>
      <c r="L237" s="2">
        <v>44649</v>
      </c>
      <c r="M237" s="3">
        <v>0.37361111111111112</v>
      </c>
      <c r="N237" s="19" t="s">
        <v>498</v>
      </c>
      <c r="O237" s="21"/>
    </row>
    <row r="238" spans="1:15" customFormat="1" ht="28.8" hidden="1" x14ac:dyDescent="0.3">
      <c r="A238" s="47">
        <f t="shared" si="9"/>
        <v>2022</v>
      </c>
      <c r="B238" s="46">
        <f t="shared" si="10"/>
        <v>13</v>
      </c>
      <c r="C238" s="46">
        <f t="shared" si="11"/>
        <v>14</v>
      </c>
      <c r="D238" s="1"/>
      <c r="E238" s="1" t="s">
        <v>499</v>
      </c>
      <c r="F238" s="19" t="s">
        <v>495</v>
      </c>
      <c r="G238" s="1" t="s">
        <v>10</v>
      </c>
      <c r="H238" s="1" t="s">
        <v>251</v>
      </c>
      <c r="I238" s="2">
        <v>44641</v>
      </c>
      <c r="J238" s="3">
        <v>0.5229166666666667</v>
      </c>
      <c r="K238" s="1" t="s">
        <v>73</v>
      </c>
      <c r="L238" s="2">
        <v>44649</v>
      </c>
      <c r="M238" s="3">
        <v>0.37708333333333338</v>
      </c>
      <c r="N238" s="19" t="s">
        <v>500</v>
      </c>
      <c r="O238" s="21"/>
    </row>
    <row r="239" spans="1:15" customFormat="1" ht="28.8" hidden="1" x14ac:dyDescent="0.3">
      <c r="A239" s="47">
        <f t="shared" si="9"/>
        <v>2022</v>
      </c>
      <c r="B239" s="46">
        <f t="shared" si="10"/>
        <v>13</v>
      </c>
      <c r="C239" s="46">
        <f t="shared" si="11"/>
        <v>14</v>
      </c>
      <c r="D239" s="1"/>
      <c r="E239" s="1" t="s">
        <v>501</v>
      </c>
      <c r="F239" s="19" t="s">
        <v>495</v>
      </c>
      <c r="G239" s="1" t="s">
        <v>10</v>
      </c>
      <c r="H239" s="1" t="s">
        <v>251</v>
      </c>
      <c r="I239" s="2">
        <v>44641</v>
      </c>
      <c r="J239" s="3">
        <v>0.52569444444444446</v>
      </c>
      <c r="K239" s="1" t="s">
        <v>73</v>
      </c>
      <c r="L239" s="2">
        <v>44649</v>
      </c>
      <c r="M239" s="3">
        <v>0.37986111111111115</v>
      </c>
      <c r="N239" s="19" t="s">
        <v>500</v>
      </c>
      <c r="O239" s="21"/>
    </row>
    <row r="240" spans="1:15" customFormat="1" ht="28.8" hidden="1" x14ac:dyDescent="0.3">
      <c r="A240" s="47">
        <f t="shared" si="9"/>
        <v>2022</v>
      </c>
      <c r="B240" s="46">
        <f t="shared" si="10"/>
        <v>13</v>
      </c>
      <c r="C240" s="46">
        <f t="shared" si="11"/>
        <v>14</v>
      </c>
      <c r="D240" s="1"/>
      <c r="E240" s="1" t="s">
        <v>502</v>
      </c>
      <c r="F240" s="19" t="s">
        <v>495</v>
      </c>
      <c r="G240" s="1" t="s">
        <v>10</v>
      </c>
      <c r="H240" s="1" t="s">
        <v>251</v>
      </c>
      <c r="I240" s="2">
        <v>44641</v>
      </c>
      <c r="J240" s="3">
        <v>0.52847222222222223</v>
      </c>
      <c r="K240" s="1" t="s">
        <v>73</v>
      </c>
      <c r="L240" s="2">
        <v>44649</v>
      </c>
      <c r="M240" s="3">
        <v>0.3833333333333333</v>
      </c>
      <c r="N240" s="19" t="s">
        <v>500</v>
      </c>
      <c r="O240" s="21"/>
    </row>
    <row r="241" spans="1:15" customFormat="1" ht="28.8" hidden="1" x14ac:dyDescent="0.3">
      <c r="A241" s="47">
        <f t="shared" si="9"/>
        <v>2022</v>
      </c>
      <c r="B241" s="46">
        <f t="shared" si="10"/>
        <v>13</v>
      </c>
      <c r="C241" s="46">
        <f t="shared" si="11"/>
        <v>14</v>
      </c>
      <c r="D241" s="1"/>
      <c r="E241" s="1" t="s">
        <v>503</v>
      </c>
      <c r="F241" s="19" t="s">
        <v>495</v>
      </c>
      <c r="G241" s="1" t="s">
        <v>10</v>
      </c>
      <c r="H241" s="1" t="s">
        <v>251</v>
      </c>
      <c r="I241" s="2">
        <v>44641</v>
      </c>
      <c r="J241" s="3">
        <v>0.53125</v>
      </c>
      <c r="K241" s="1" t="s">
        <v>73</v>
      </c>
      <c r="L241" s="2">
        <v>44649</v>
      </c>
      <c r="M241" s="3">
        <v>0.41597222222222219</v>
      </c>
      <c r="N241" s="19" t="s">
        <v>500</v>
      </c>
      <c r="O241" s="21"/>
    </row>
    <row r="242" spans="1:15" customFormat="1" ht="28.8" hidden="1" x14ac:dyDescent="0.3">
      <c r="A242" s="47">
        <f t="shared" si="9"/>
        <v>2022</v>
      </c>
      <c r="B242" s="46">
        <f t="shared" si="10"/>
        <v>13</v>
      </c>
      <c r="C242" s="46">
        <f t="shared" si="11"/>
        <v>14</v>
      </c>
      <c r="D242" s="1"/>
      <c r="E242" s="1" t="s">
        <v>504</v>
      </c>
      <c r="F242" s="19" t="s">
        <v>495</v>
      </c>
      <c r="G242" s="1" t="s">
        <v>10</v>
      </c>
      <c r="H242" s="1" t="s">
        <v>251</v>
      </c>
      <c r="I242" s="2">
        <v>44641</v>
      </c>
      <c r="J242" s="3">
        <v>0.53402777777777777</v>
      </c>
      <c r="K242" s="1" t="s">
        <v>73</v>
      </c>
      <c r="L242" s="2">
        <v>44649</v>
      </c>
      <c r="M242" s="3">
        <v>0.41805555555555557</v>
      </c>
      <c r="N242" s="19" t="s">
        <v>500</v>
      </c>
      <c r="O242" s="21"/>
    </row>
    <row r="243" spans="1:15" customFormat="1" hidden="1" x14ac:dyDescent="0.3">
      <c r="A243" s="47">
        <f t="shared" si="9"/>
        <v>2022</v>
      </c>
      <c r="B243" s="46">
        <f t="shared" si="10"/>
        <v>13</v>
      </c>
      <c r="C243" s="46">
        <f t="shared" si="11"/>
        <v>14</v>
      </c>
      <c r="D243" s="1"/>
      <c r="E243" s="1" t="s">
        <v>505</v>
      </c>
      <c r="F243" s="19" t="s">
        <v>495</v>
      </c>
      <c r="G243" s="1" t="s">
        <v>10</v>
      </c>
      <c r="H243" s="1" t="s">
        <v>251</v>
      </c>
      <c r="I243" s="2">
        <v>44641</v>
      </c>
      <c r="J243" s="3">
        <v>0.53680555555555554</v>
      </c>
      <c r="K243" s="1" t="s">
        <v>73</v>
      </c>
      <c r="L243" s="2">
        <v>44649</v>
      </c>
      <c r="M243" s="3">
        <v>0.4201388888888889</v>
      </c>
      <c r="N243" s="19" t="s">
        <v>506</v>
      </c>
      <c r="O243" s="21"/>
    </row>
    <row r="244" spans="1:15" customFormat="1" ht="115.2" hidden="1" x14ac:dyDescent="0.3">
      <c r="A244" s="47">
        <f t="shared" si="9"/>
        <v>2022</v>
      </c>
      <c r="B244" s="46">
        <f t="shared" si="10"/>
        <v>13</v>
      </c>
      <c r="C244" s="46">
        <f t="shared" si="11"/>
        <v>14</v>
      </c>
      <c r="D244" s="1"/>
      <c r="E244" s="1" t="s">
        <v>507</v>
      </c>
      <c r="F244" s="19" t="s">
        <v>508</v>
      </c>
      <c r="G244" s="1" t="s">
        <v>10</v>
      </c>
      <c r="H244" s="1" t="s">
        <v>251</v>
      </c>
      <c r="I244" s="2">
        <v>44642</v>
      </c>
      <c r="J244" s="3">
        <v>0.41875000000000001</v>
      </c>
      <c r="K244" s="1" t="s">
        <v>73</v>
      </c>
      <c r="L244" s="2">
        <v>44649</v>
      </c>
      <c r="M244" s="3">
        <v>0.46597222222222223</v>
      </c>
      <c r="N244" s="19" t="s">
        <v>509</v>
      </c>
      <c r="O244" s="21"/>
    </row>
    <row r="245" spans="1:15" customFormat="1" ht="115.2" hidden="1" x14ac:dyDescent="0.3">
      <c r="A245" s="47">
        <f t="shared" si="9"/>
        <v>2022</v>
      </c>
      <c r="B245" s="46">
        <f t="shared" si="10"/>
        <v>13</v>
      </c>
      <c r="C245" s="46">
        <f t="shared" si="11"/>
        <v>14</v>
      </c>
      <c r="D245" s="1"/>
      <c r="E245" s="1" t="s">
        <v>510</v>
      </c>
      <c r="F245" s="19" t="s">
        <v>511</v>
      </c>
      <c r="G245" s="1" t="s">
        <v>10</v>
      </c>
      <c r="H245" s="1" t="s">
        <v>251</v>
      </c>
      <c r="I245" s="2">
        <v>44642</v>
      </c>
      <c r="J245" s="3">
        <v>0.4236111111111111</v>
      </c>
      <c r="K245" s="1" t="s">
        <v>73</v>
      </c>
      <c r="L245" s="2">
        <v>44649</v>
      </c>
      <c r="M245" s="3">
        <v>0.47013888888888888</v>
      </c>
      <c r="N245" s="19" t="s">
        <v>509</v>
      </c>
      <c r="O245" s="21"/>
    </row>
    <row r="246" spans="1:15" customFormat="1" ht="115.2" hidden="1" x14ac:dyDescent="0.3">
      <c r="A246" s="47">
        <f t="shared" si="9"/>
        <v>2022</v>
      </c>
      <c r="B246" s="46">
        <f t="shared" si="10"/>
        <v>13</v>
      </c>
      <c r="C246" s="46">
        <f t="shared" si="11"/>
        <v>14</v>
      </c>
      <c r="D246" s="1"/>
      <c r="E246" s="1" t="s">
        <v>512</v>
      </c>
      <c r="F246" s="19" t="s">
        <v>511</v>
      </c>
      <c r="G246" s="1" t="s">
        <v>10</v>
      </c>
      <c r="H246" s="1" t="s">
        <v>251</v>
      </c>
      <c r="I246" s="2">
        <v>44642</v>
      </c>
      <c r="J246" s="3">
        <v>0.60833333333333328</v>
      </c>
      <c r="K246" s="1" t="s">
        <v>73</v>
      </c>
      <c r="L246" s="2">
        <v>44649</v>
      </c>
      <c r="M246" s="3">
        <v>0.60833333333333328</v>
      </c>
      <c r="N246" s="19" t="s">
        <v>509</v>
      </c>
      <c r="O246" s="21"/>
    </row>
    <row r="247" spans="1:15" customFormat="1" ht="115.2" hidden="1" x14ac:dyDescent="0.3">
      <c r="A247" s="47">
        <f t="shared" si="9"/>
        <v>2022</v>
      </c>
      <c r="B247" s="46">
        <f t="shared" si="10"/>
        <v>13</v>
      </c>
      <c r="C247" s="46">
        <f t="shared" si="11"/>
        <v>14</v>
      </c>
      <c r="D247" s="1"/>
      <c r="E247" s="1" t="s">
        <v>513</v>
      </c>
      <c r="F247" s="19" t="s">
        <v>508</v>
      </c>
      <c r="G247" s="1" t="s">
        <v>10</v>
      </c>
      <c r="H247" s="1" t="s">
        <v>251</v>
      </c>
      <c r="I247" s="2">
        <v>44642</v>
      </c>
      <c r="J247" s="3">
        <v>0.61249999999999993</v>
      </c>
      <c r="K247" s="1" t="s">
        <v>73</v>
      </c>
      <c r="L247" s="2">
        <v>44649</v>
      </c>
      <c r="M247" s="3">
        <v>0.62013888888888891</v>
      </c>
      <c r="N247" s="19" t="s">
        <v>509</v>
      </c>
      <c r="O247" s="21"/>
    </row>
    <row r="248" spans="1:15" customFormat="1" ht="129.6" hidden="1" x14ac:dyDescent="0.3">
      <c r="A248" s="47">
        <f t="shared" si="9"/>
        <v>2022</v>
      </c>
      <c r="B248" s="46">
        <f t="shared" si="10"/>
        <v>13</v>
      </c>
      <c r="C248" s="46">
        <f t="shared" si="11"/>
        <v>14</v>
      </c>
      <c r="D248" s="1"/>
      <c r="E248" s="1" t="s">
        <v>514</v>
      </c>
      <c r="F248" s="19" t="s">
        <v>515</v>
      </c>
      <c r="G248" s="1" t="s">
        <v>10</v>
      </c>
      <c r="H248" s="1" t="s">
        <v>251</v>
      </c>
      <c r="I248" s="2">
        <v>44642</v>
      </c>
      <c r="J248" s="3">
        <v>0.61875000000000002</v>
      </c>
      <c r="K248" s="1" t="s">
        <v>73</v>
      </c>
      <c r="L248" s="2">
        <v>44650</v>
      </c>
      <c r="M248" s="3">
        <v>0.2951388888888889</v>
      </c>
      <c r="N248" s="19" t="s">
        <v>516</v>
      </c>
      <c r="O248" s="21"/>
    </row>
    <row r="249" spans="1:15" customFormat="1" ht="115.2" hidden="1" x14ac:dyDescent="0.3">
      <c r="A249" s="47">
        <f t="shared" si="9"/>
        <v>2022</v>
      </c>
      <c r="B249" s="46">
        <f t="shared" si="10"/>
        <v>13</v>
      </c>
      <c r="C249" s="46">
        <f t="shared" si="11"/>
        <v>14</v>
      </c>
      <c r="D249" s="1"/>
      <c r="E249" s="1" t="s">
        <v>517</v>
      </c>
      <c r="F249" s="19" t="s">
        <v>515</v>
      </c>
      <c r="G249" s="1" t="s">
        <v>10</v>
      </c>
      <c r="H249" s="1" t="s">
        <v>251</v>
      </c>
      <c r="I249" s="2">
        <v>44642</v>
      </c>
      <c r="J249" s="3">
        <v>0.62361111111111112</v>
      </c>
      <c r="K249" s="1" t="s">
        <v>73</v>
      </c>
      <c r="L249" s="2">
        <v>44650</v>
      </c>
      <c r="M249" s="3">
        <v>0.29930555555555555</v>
      </c>
      <c r="N249" s="19" t="s">
        <v>518</v>
      </c>
      <c r="O249" s="21"/>
    </row>
    <row r="250" spans="1:15" customFormat="1" ht="129.6" hidden="1" x14ac:dyDescent="0.3">
      <c r="A250" s="47">
        <f t="shared" si="9"/>
        <v>2022</v>
      </c>
      <c r="B250" s="46">
        <f t="shared" si="10"/>
        <v>13</v>
      </c>
      <c r="C250" s="46">
        <f t="shared" si="11"/>
        <v>14</v>
      </c>
      <c r="D250" s="1"/>
      <c r="E250" s="35" t="s">
        <v>519</v>
      </c>
      <c r="F250" s="86" t="s">
        <v>515</v>
      </c>
      <c r="G250" s="35" t="s">
        <v>10</v>
      </c>
      <c r="H250" s="35" t="s">
        <v>251</v>
      </c>
      <c r="I250" s="36">
        <v>44642</v>
      </c>
      <c r="J250" s="37">
        <v>0.69652777777777775</v>
      </c>
      <c r="K250" s="35" t="s">
        <v>73</v>
      </c>
      <c r="L250" s="36">
        <v>44650</v>
      </c>
      <c r="M250" s="37">
        <v>0.46249999999999997</v>
      </c>
      <c r="N250" s="86" t="s">
        <v>530</v>
      </c>
      <c r="O250" s="21"/>
    </row>
    <row r="251" spans="1:15" customFormat="1" ht="115.2" hidden="1" x14ac:dyDescent="0.3">
      <c r="A251" s="47">
        <f t="shared" si="9"/>
        <v>2022</v>
      </c>
      <c r="B251" s="46">
        <f t="shared" si="10"/>
        <v>13</v>
      </c>
      <c r="C251" s="46">
        <f t="shared" si="11"/>
        <v>14</v>
      </c>
      <c r="D251" s="1"/>
      <c r="E251" s="1" t="s">
        <v>520</v>
      </c>
      <c r="F251" s="19" t="s">
        <v>515</v>
      </c>
      <c r="G251" s="1" t="s">
        <v>10</v>
      </c>
      <c r="H251" s="1" t="s">
        <v>251</v>
      </c>
      <c r="I251" s="2">
        <v>44642</v>
      </c>
      <c r="J251" s="3">
        <v>0.70763888888888893</v>
      </c>
      <c r="K251" s="1" t="s">
        <v>73</v>
      </c>
      <c r="L251" s="2">
        <v>44650</v>
      </c>
      <c r="M251" s="3">
        <v>0.37291666666666662</v>
      </c>
      <c r="N251" s="19" t="s">
        <v>521</v>
      </c>
      <c r="O251" s="21"/>
    </row>
    <row r="252" spans="1:15" customFormat="1" ht="115.2" hidden="1" x14ac:dyDescent="0.3">
      <c r="A252" s="47">
        <f t="shared" si="9"/>
        <v>2022</v>
      </c>
      <c r="B252" s="46">
        <f t="shared" si="10"/>
        <v>13</v>
      </c>
      <c r="C252" s="46">
        <f t="shared" si="11"/>
        <v>14</v>
      </c>
      <c r="D252" s="1"/>
      <c r="E252" s="1" t="s">
        <v>522</v>
      </c>
      <c r="F252" s="19" t="s">
        <v>515</v>
      </c>
      <c r="G252" s="1" t="s">
        <v>10</v>
      </c>
      <c r="H252" s="1" t="s">
        <v>251</v>
      </c>
      <c r="I252" s="2">
        <v>44642</v>
      </c>
      <c r="J252" s="3">
        <v>0.7090277777777777</v>
      </c>
      <c r="K252" s="1" t="s">
        <v>73</v>
      </c>
      <c r="L252" s="2">
        <v>44650</v>
      </c>
      <c r="M252" s="3">
        <v>0.3756944444444445</v>
      </c>
      <c r="N252" s="19" t="s">
        <v>521</v>
      </c>
      <c r="O252" s="21"/>
    </row>
    <row r="253" spans="1:15" customFormat="1" hidden="1" x14ac:dyDescent="0.3">
      <c r="A253" s="47">
        <f t="shared" si="9"/>
        <v>2022</v>
      </c>
      <c r="B253" s="46">
        <f t="shared" si="10"/>
        <v>13</v>
      </c>
      <c r="C253" s="46">
        <f t="shared" si="11"/>
        <v>14</v>
      </c>
      <c r="D253" s="1"/>
      <c r="E253" s="1" t="s">
        <v>523</v>
      </c>
      <c r="F253" s="19" t="s">
        <v>524</v>
      </c>
      <c r="G253" s="1" t="s">
        <v>10</v>
      </c>
      <c r="H253" s="1" t="s">
        <v>251</v>
      </c>
      <c r="I253" s="2">
        <v>44642</v>
      </c>
      <c r="J253" s="3">
        <v>0.71736111111111101</v>
      </c>
      <c r="K253" s="1" t="s">
        <v>73</v>
      </c>
      <c r="L253" s="2">
        <v>44650</v>
      </c>
      <c r="M253" s="3">
        <v>0.39166666666666666</v>
      </c>
      <c r="N253" s="19" t="s">
        <v>83</v>
      </c>
      <c r="O253" s="21"/>
    </row>
    <row r="254" spans="1:15" customFormat="1" ht="115.2" hidden="1" x14ac:dyDescent="0.3">
      <c r="A254" s="47">
        <f t="shared" si="9"/>
        <v>2022</v>
      </c>
      <c r="B254" s="46">
        <f t="shared" si="10"/>
        <v>13</v>
      </c>
      <c r="C254" s="46">
        <f t="shared" si="11"/>
        <v>14</v>
      </c>
      <c r="D254" s="1"/>
      <c r="E254" s="1" t="s">
        <v>525</v>
      </c>
      <c r="F254" s="19" t="s">
        <v>515</v>
      </c>
      <c r="G254" s="1" t="s">
        <v>10</v>
      </c>
      <c r="H254" s="1" t="s">
        <v>251</v>
      </c>
      <c r="I254" s="2">
        <v>44643</v>
      </c>
      <c r="J254" s="3">
        <v>0.45</v>
      </c>
      <c r="K254" s="1" t="s">
        <v>73</v>
      </c>
      <c r="L254" s="2">
        <v>44650</v>
      </c>
      <c r="M254" s="3">
        <v>0.42499999999999999</v>
      </c>
      <c r="N254" s="19" t="s">
        <v>521</v>
      </c>
      <c r="O254" s="21"/>
    </row>
    <row r="255" spans="1:15" customFormat="1" hidden="1" x14ac:dyDescent="0.3">
      <c r="A255" s="47">
        <f t="shared" si="9"/>
        <v>2022</v>
      </c>
      <c r="B255" s="46">
        <f t="shared" si="10"/>
        <v>13</v>
      </c>
      <c r="C255" s="46">
        <f t="shared" si="11"/>
        <v>14</v>
      </c>
      <c r="D255" s="1"/>
      <c r="E255" s="1" t="s">
        <v>526</v>
      </c>
      <c r="F255" s="19" t="s">
        <v>527</v>
      </c>
      <c r="G255" s="1" t="s">
        <v>10</v>
      </c>
      <c r="H255" s="1" t="s">
        <v>251</v>
      </c>
      <c r="I255" s="2">
        <v>44643</v>
      </c>
      <c r="J255" s="3">
        <v>0.45416666666666666</v>
      </c>
      <c r="K255" s="1" t="s">
        <v>73</v>
      </c>
      <c r="L255" s="2">
        <v>44650</v>
      </c>
      <c r="M255" s="3">
        <v>0.43263888888888885</v>
      </c>
      <c r="N255" s="19" t="s">
        <v>83</v>
      </c>
      <c r="O255" s="21"/>
    </row>
    <row r="256" spans="1:15" customFormat="1" hidden="1" x14ac:dyDescent="0.3">
      <c r="A256" s="47">
        <f t="shared" si="9"/>
        <v>2022</v>
      </c>
      <c r="B256" s="46">
        <f t="shared" si="10"/>
        <v>13</v>
      </c>
      <c r="C256" s="46">
        <f t="shared" si="11"/>
        <v>14</v>
      </c>
      <c r="D256" s="1"/>
      <c r="E256" s="1" t="s">
        <v>528</v>
      </c>
      <c r="F256" s="19" t="s">
        <v>529</v>
      </c>
      <c r="G256" s="1" t="s">
        <v>10</v>
      </c>
      <c r="H256" s="1" t="s">
        <v>251</v>
      </c>
      <c r="I256" s="2">
        <v>44644</v>
      </c>
      <c r="J256" s="3">
        <v>0.37777777777777777</v>
      </c>
      <c r="K256" s="1" t="s">
        <v>73</v>
      </c>
      <c r="L256" s="2">
        <v>44650</v>
      </c>
      <c r="M256" s="3">
        <v>0.4597222222222222</v>
      </c>
      <c r="N256" s="19" t="s">
        <v>83</v>
      </c>
      <c r="O256" s="21"/>
    </row>
    <row r="257" spans="1:15" customFormat="1" hidden="1" x14ac:dyDescent="0.3">
      <c r="A257" s="47">
        <f t="shared" si="9"/>
        <v>2022</v>
      </c>
      <c r="B257" s="46">
        <f t="shared" si="10"/>
        <v>13</v>
      </c>
      <c r="C257" s="46">
        <f t="shared" si="11"/>
        <v>14</v>
      </c>
      <c r="D257" s="1"/>
      <c r="E257" s="1" t="s">
        <v>531</v>
      </c>
      <c r="F257" s="19" t="s">
        <v>532</v>
      </c>
      <c r="G257" s="1" t="s">
        <v>9</v>
      </c>
      <c r="H257" s="1" t="s">
        <v>251</v>
      </c>
      <c r="I257" s="2">
        <v>44642</v>
      </c>
      <c r="J257" s="3">
        <v>0.71944444444444444</v>
      </c>
      <c r="K257" s="1" t="s">
        <v>73</v>
      </c>
      <c r="L257" s="2">
        <v>44650</v>
      </c>
      <c r="M257" s="3">
        <v>0.58750000000000002</v>
      </c>
      <c r="N257" s="19" t="s">
        <v>83</v>
      </c>
      <c r="O257" s="21"/>
    </row>
    <row r="258" spans="1:15" customFormat="1" hidden="1" x14ac:dyDescent="0.3">
      <c r="A258" s="47">
        <f t="shared" si="9"/>
        <v>2022</v>
      </c>
      <c r="B258" s="46">
        <f t="shared" si="10"/>
        <v>13</v>
      </c>
      <c r="C258" s="46">
        <f t="shared" si="11"/>
        <v>14</v>
      </c>
      <c r="D258" s="1"/>
      <c r="E258" s="1" t="s">
        <v>533</v>
      </c>
      <c r="F258" s="19" t="s">
        <v>532</v>
      </c>
      <c r="G258" s="1" t="s">
        <v>9</v>
      </c>
      <c r="H258" s="1" t="s">
        <v>251</v>
      </c>
      <c r="I258" s="2">
        <v>44642</v>
      </c>
      <c r="J258" s="3">
        <v>0.72083333333333333</v>
      </c>
      <c r="K258" s="1" t="s">
        <v>73</v>
      </c>
      <c r="L258" s="2">
        <v>44650</v>
      </c>
      <c r="M258" s="3">
        <v>0.59791666666666665</v>
      </c>
      <c r="N258" s="19" t="s">
        <v>83</v>
      </c>
      <c r="O258" s="21"/>
    </row>
    <row r="259" spans="1:15" customFormat="1" hidden="1" x14ac:dyDescent="0.3">
      <c r="A259" s="47">
        <f t="shared" ref="A259:A322" si="12">YEAR(L259)</f>
        <v>2022</v>
      </c>
      <c r="B259" s="46">
        <f t="shared" ref="B259:B322" si="13">WEEKNUM(I259)</f>
        <v>13</v>
      </c>
      <c r="C259" s="46">
        <f t="shared" ref="C259:C322" si="14">WEEKNUM(L259)</f>
        <v>14</v>
      </c>
      <c r="D259" s="1"/>
      <c r="E259" s="1" t="s">
        <v>534</v>
      </c>
      <c r="F259" s="19" t="s">
        <v>532</v>
      </c>
      <c r="G259" s="1" t="s">
        <v>9</v>
      </c>
      <c r="H259" s="1" t="s">
        <v>251</v>
      </c>
      <c r="I259" s="2">
        <v>44642</v>
      </c>
      <c r="J259" s="3">
        <v>0.72222222222222221</v>
      </c>
      <c r="K259" s="1" t="s">
        <v>73</v>
      </c>
      <c r="L259" s="2">
        <v>44650</v>
      </c>
      <c r="M259" s="3">
        <v>0.6</v>
      </c>
      <c r="N259" s="19" t="s">
        <v>83</v>
      </c>
      <c r="O259" s="21"/>
    </row>
    <row r="260" spans="1:15" customFormat="1" ht="72" hidden="1" x14ac:dyDescent="0.3">
      <c r="A260" s="47">
        <f t="shared" si="12"/>
        <v>2022</v>
      </c>
      <c r="B260" s="46">
        <f t="shared" si="13"/>
        <v>13</v>
      </c>
      <c r="C260" s="46">
        <f t="shared" si="14"/>
        <v>14</v>
      </c>
      <c r="D260" s="1"/>
      <c r="E260" s="1" t="s">
        <v>535</v>
      </c>
      <c r="F260" s="19" t="s">
        <v>511</v>
      </c>
      <c r="G260" s="1" t="s">
        <v>10</v>
      </c>
      <c r="H260" s="1" t="s">
        <v>251</v>
      </c>
      <c r="I260" s="2">
        <v>44642</v>
      </c>
      <c r="J260" s="3">
        <v>0.69513888888888886</v>
      </c>
      <c r="K260" s="1" t="s">
        <v>73</v>
      </c>
      <c r="L260" s="2">
        <v>44650</v>
      </c>
      <c r="M260" s="3">
        <v>0.60555555555555551</v>
      </c>
      <c r="N260" s="19" t="s">
        <v>536</v>
      </c>
      <c r="O260" s="21"/>
    </row>
    <row r="261" spans="1:15" customFormat="1" hidden="1" x14ac:dyDescent="0.3">
      <c r="A261" s="47">
        <f t="shared" si="12"/>
        <v>2022</v>
      </c>
      <c r="B261" s="46">
        <f t="shared" si="13"/>
        <v>13</v>
      </c>
      <c r="C261" s="46">
        <f t="shared" si="14"/>
        <v>14</v>
      </c>
      <c r="D261" s="1"/>
      <c r="E261" s="1" t="s">
        <v>537</v>
      </c>
      <c r="F261" s="19" t="s">
        <v>511</v>
      </c>
      <c r="G261" s="1" t="s">
        <v>10</v>
      </c>
      <c r="H261" s="1" t="s">
        <v>251</v>
      </c>
      <c r="I261" s="2">
        <v>44642</v>
      </c>
      <c r="J261" s="3">
        <v>0.69791666666666663</v>
      </c>
      <c r="K261" s="1" t="s">
        <v>73</v>
      </c>
      <c r="L261" s="2">
        <v>44650</v>
      </c>
      <c r="M261" s="3">
        <v>0.60902777777777783</v>
      </c>
      <c r="N261" s="19" t="s">
        <v>538</v>
      </c>
      <c r="O261" s="21"/>
    </row>
    <row r="262" spans="1:15" customFormat="1" hidden="1" x14ac:dyDescent="0.3">
      <c r="A262" s="47">
        <f t="shared" si="12"/>
        <v>2022</v>
      </c>
      <c r="B262" s="46">
        <f t="shared" si="13"/>
        <v>13</v>
      </c>
      <c r="C262" s="46">
        <f t="shared" si="14"/>
        <v>14</v>
      </c>
      <c r="D262" s="1"/>
      <c r="E262" s="1" t="s">
        <v>539</v>
      </c>
      <c r="F262" s="19" t="s">
        <v>540</v>
      </c>
      <c r="G262" s="1" t="s">
        <v>10</v>
      </c>
      <c r="H262" s="1" t="s">
        <v>251</v>
      </c>
      <c r="I262" s="2">
        <v>44642</v>
      </c>
      <c r="J262" s="3">
        <v>0.70208333333333339</v>
      </c>
      <c r="K262" s="1" t="s">
        <v>73</v>
      </c>
      <c r="L262" s="2">
        <v>44650</v>
      </c>
      <c r="M262" s="3">
        <v>0.61111111111111105</v>
      </c>
      <c r="N262" s="19" t="s">
        <v>538</v>
      </c>
      <c r="O262" s="21"/>
    </row>
    <row r="263" spans="1:15" customFormat="1" hidden="1" x14ac:dyDescent="0.3">
      <c r="A263" s="47">
        <f t="shared" si="12"/>
        <v>2022</v>
      </c>
      <c r="B263" s="46">
        <f t="shared" si="13"/>
        <v>13</v>
      </c>
      <c r="C263" s="46">
        <f t="shared" si="14"/>
        <v>14</v>
      </c>
      <c r="D263" s="1"/>
      <c r="E263" s="1" t="s">
        <v>541</v>
      </c>
      <c r="F263" s="19" t="s">
        <v>511</v>
      </c>
      <c r="G263" s="1" t="s">
        <v>10</v>
      </c>
      <c r="H263" s="1" t="s">
        <v>251</v>
      </c>
      <c r="I263" s="2">
        <v>44642</v>
      </c>
      <c r="J263" s="3">
        <v>0.70416666666666661</v>
      </c>
      <c r="K263" s="1" t="s">
        <v>73</v>
      </c>
      <c r="L263" s="2">
        <v>44650</v>
      </c>
      <c r="M263" s="3">
        <v>0.61319444444444449</v>
      </c>
      <c r="N263" s="19" t="s">
        <v>538</v>
      </c>
      <c r="O263" s="21"/>
    </row>
    <row r="264" spans="1:15" customFormat="1" hidden="1" x14ac:dyDescent="0.3">
      <c r="A264" s="47">
        <f t="shared" si="12"/>
        <v>2022</v>
      </c>
      <c r="B264" s="46">
        <f t="shared" si="13"/>
        <v>13</v>
      </c>
      <c r="C264" s="46">
        <f t="shared" si="14"/>
        <v>14</v>
      </c>
      <c r="D264" s="1"/>
      <c r="E264" s="1" t="s">
        <v>542</v>
      </c>
      <c r="F264" s="19" t="s">
        <v>511</v>
      </c>
      <c r="G264" s="1" t="s">
        <v>10</v>
      </c>
      <c r="H264" s="1" t="s">
        <v>251</v>
      </c>
      <c r="I264" s="2">
        <v>44642</v>
      </c>
      <c r="J264" s="3">
        <v>0.70624999999999993</v>
      </c>
      <c r="K264" s="1" t="s">
        <v>73</v>
      </c>
      <c r="L264" s="2">
        <v>44650</v>
      </c>
      <c r="M264" s="3">
        <v>0.61527777777777781</v>
      </c>
      <c r="N264" s="19" t="s">
        <v>538</v>
      </c>
      <c r="O264" s="21"/>
    </row>
    <row r="265" spans="1:15" customFormat="1" hidden="1" x14ac:dyDescent="0.3">
      <c r="A265" s="47">
        <f t="shared" si="12"/>
        <v>2022</v>
      </c>
      <c r="B265" s="46">
        <f t="shared" si="13"/>
        <v>13</v>
      </c>
      <c r="C265" s="46">
        <f t="shared" si="14"/>
        <v>14</v>
      </c>
      <c r="D265" s="1"/>
      <c r="E265" s="1" t="s">
        <v>543</v>
      </c>
      <c r="F265" s="19" t="s">
        <v>511</v>
      </c>
      <c r="G265" s="1" t="s">
        <v>10</v>
      </c>
      <c r="H265" s="1" t="s">
        <v>251</v>
      </c>
      <c r="I265" s="2">
        <v>44642</v>
      </c>
      <c r="J265" s="3">
        <v>0.71111111111111114</v>
      </c>
      <c r="K265" s="1" t="s">
        <v>73</v>
      </c>
      <c r="L265" s="2">
        <v>44650</v>
      </c>
      <c r="M265" s="3">
        <v>0.61805555555555558</v>
      </c>
      <c r="N265" s="19" t="s">
        <v>538</v>
      </c>
      <c r="O265" s="21"/>
    </row>
    <row r="266" spans="1:15" customFormat="1" hidden="1" x14ac:dyDescent="0.3">
      <c r="A266" s="47">
        <f t="shared" si="12"/>
        <v>2022</v>
      </c>
      <c r="B266" s="46">
        <f t="shared" si="13"/>
        <v>13</v>
      </c>
      <c r="C266" s="46">
        <f t="shared" si="14"/>
        <v>14</v>
      </c>
      <c r="D266" s="1"/>
      <c r="E266" s="1" t="s">
        <v>455</v>
      </c>
      <c r="F266" s="19" t="s">
        <v>456</v>
      </c>
      <c r="G266" s="1" t="s">
        <v>10</v>
      </c>
      <c r="H266" s="1" t="s">
        <v>251</v>
      </c>
      <c r="I266" s="2">
        <v>44643</v>
      </c>
      <c r="J266" s="3">
        <v>0.44722222222222219</v>
      </c>
      <c r="K266" s="1" t="s">
        <v>73</v>
      </c>
      <c r="L266" s="2">
        <v>44650</v>
      </c>
      <c r="M266" s="3">
        <v>0.63611111111111118</v>
      </c>
      <c r="N266" s="19" t="s">
        <v>538</v>
      </c>
      <c r="O266" s="21"/>
    </row>
    <row r="267" spans="1:15" customFormat="1" ht="172.8" hidden="1" x14ac:dyDescent="0.3">
      <c r="A267" s="47" t="e">
        <f t="shared" si="12"/>
        <v>#VALUE!</v>
      </c>
      <c r="B267" s="46">
        <f t="shared" si="13"/>
        <v>13</v>
      </c>
      <c r="C267" s="46" t="e">
        <f t="shared" si="14"/>
        <v>#VALUE!</v>
      </c>
      <c r="D267" s="1"/>
      <c r="E267" s="1" t="s">
        <v>544</v>
      </c>
      <c r="F267" s="19" t="s">
        <v>553</v>
      </c>
      <c r="G267" s="1" t="s">
        <v>10</v>
      </c>
      <c r="H267" s="1" t="s">
        <v>251</v>
      </c>
      <c r="I267" s="2">
        <v>44644</v>
      </c>
      <c r="J267" s="3">
        <v>0.38055555555555554</v>
      </c>
      <c r="K267" s="1" t="s">
        <v>73</v>
      </c>
      <c r="L267" s="34" t="s">
        <v>609</v>
      </c>
      <c r="M267" s="28" t="s">
        <v>619</v>
      </c>
      <c r="N267" s="69" t="s">
        <v>585</v>
      </c>
      <c r="O267" s="21" t="s">
        <v>607</v>
      </c>
    </row>
    <row r="268" spans="1:15" customFormat="1" ht="187.2" hidden="1" x14ac:dyDescent="0.3">
      <c r="A268" s="47" t="e">
        <f t="shared" si="12"/>
        <v>#VALUE!</v>
      </c>
      <c r="B268" s="46">
        <f t="shared" si="13"/>
        <v>13</v>
      </c>
      <c r="C268" s="46" t="e">
        <f t="shared" si="14"/>
        <v>#VALUE!</v>
      </c>
      <c r="D268" s="1"/>
      <c r="E268" s="1" t="s">
        <v>545</v>
      </c>
      <c r="F268" s="19" t="s">
        <v>554</v>
      </c>
      <c r="G268" s="1" t="s">
        <v>10</v>
      </c>
      <c r="H268" s="1" t="s">
        <v>251</v>
      </c>
      <c r="I268" s="2">
        <v>44644</v>
      </c>
      <c r="J268" s="3">
        <v>0.38472222222222219</v>
      </c>
      <c r="K268" s="1" t="s">
        <v>73</v>
      </c>
      <c r="L268" s="34" t="s">
        <v>609</v>
      </c>
      <c r="M268" s="28" t="s">
        <v>618</v>
      </c>
      <c r="N268" s="69" t="s">
        <v>586</v>
      </c>
      <c r="O268" s="21" t="s">
        <v>606</v>
      </c>
    </row>
    <row r="269" spans="1:15" customFormat="1" ht="172.8" hidden="1" x14ac:dyDescent="0.3">
      <c r="A269" s="47" t="e">
        <f t="shared" si="12"/>
        <v>#VALUE!</v>
      </c>
      <c r="B269" s="46">
        <f t="shared" si="13"/>
        <v>13</v>
      </c>
      <c r="C269" s="46" t="e">
        <f t="shared" si="14"/>
        <v>#VALUE!</v>
      </c>
      <c r="D269" s="1"/>
      <c r="E269" s="1" t="s">
        <v>546</v>
      </c>
      <c r="F269" s="19" t="s">
        <v>555</v>
      </c>
      <c r="G269" s="1" t="s">
        <v>10</v>
      </c>
      <c r="H269" s="1" t="s">
        <v>251</v>
      </c>
      <c r="I269" s="2">
        <v>44644</v>
      </c>
      <c r="J269" s="3">
        <v>0.38750000000000001</v>
      </c>
      <c r="K269" s="1" t="s">
        <v>73</v>
      </c>
      <c r="L269" s="34" t="s">
        <v>609</v>
      </c>
      <c r="M269" s="28" t="s">
        <v>617</v>
      </c>
      <c r="N269" s="69" t="s">
        <v>587</v>
      </c>
      <c r="O269" s="21" t="s">
        <v>605</v>
      </c>
    </row>
    <row r="270" spans="1:15" customFormat="1" hidden="1" x14ac:dyDescent="0.3">
      <c r="A270" s="47">
        <f t="shared" si="12"/>
        <v>2022</v>
      </c>
      <c r="B270" s="46">
        <f t="shared" si="13"/>
        <v>13</v>
      </c>
      <c r="C270" s="46">
        <f t="shared" si="14"/>
        <v>14</v>
      </c>
      <c r="D270" s="1"/>
      <c r="E270" s="1" t="s">
        <v>547</v>
      </c>
      <c r="F270" s="19" t="s">
        <v>554</v>
      </c>
      <c r="G270" s="1" t="s">
        <v>10</v>
      </c>
      <c r="H270" s="1" t="s">
        <v>251</v>
      </c>
      <c r="I270" s="2">
        <v>44644</v>
      </c>
      <c r="J270" s="3">
        <v>0.38958333333333334</v>
      </c>
      <c r="K270" s="1" t="s">
        <v>73</v>
      </c>
      <c r="L270" s="2">
        <v>44653</v>
      </c>
      <c r="M270" s="3">
        <v>0.44375000000000003</v>
      </c>
      <c r="N270" s="19" t="s">
        <v>556</v>
      </c>
      <c r="O270" s="21"/>
    </row>
    <row r="271" spans="1:15" customFormat="1" ht="43.2" hidden="1" x14ac:dyDescent="0.3">
      <c r="A271" s="47">
        <f t="shared" si="12"/>
        <v>2022</v>
      </c>
      <c r="B271" s="46">
        <f t="shared" si="13"/>
        <v>13</v>
      </c>
      <c r="C271" s="46">
        <f t="shared" si="14"/>
        <v>14</v>
      </c>
      <c r="D271" s="1"/>
      <c r="E271" s="1" t="s">
        <v>551</v>
      </c>
      <c r="F271" s="19" t="s">
        <v>557</v>
      </c>
      <c r="G271" s="1" t="s">
        <v>10</v>
      </c>
      <c r="H271" s="1" t="s">
        <v>251</v>
      </c>
      <c r="I271" s="2">
        <v>44645</v>
      </c>
      <c r="J271" s="3">
        <v>0.40347222222222223</v>
      </c>
      <c r="K271" s="1" t="s">
        <v>73</v>
      </c>
      <c r="L271" s="2">
        <v>44653</v>
      </c>
      <c r="M271" s="3">
        <v>0.46666666666666662</v>
      </c>
      <c r="N271" s="19" t="s">
        <v>558</v>
      </c>
      <c r="O271" s="21"/>
    </row>
    <row r="272" spans="1:15" customFormat="1" ht="28.8" hidden="1" x14ac:dyDescent="0.3">
      <c r="A272" s="47">
        <f t="shared" si="12"/>
        <v>2022</v>
      </c>
      <c r="B272" s="46">
        <f t="shared" si="13"/>
        <v>13</v>
      </c>
      <c r="C272" s="46">
        <f t="shared" si="14"/>
        <v>14</v>
      </c>
      <c r="D272" s="1"/>
      <c r="E272" s="1" t="s">
        <v>552</v>
      </c>
      <c r="F272" s="19" t="s">
        <v>559</v>
      </c>
      <c r="G272" s="1" t="s">
        <v>10</v>
      </c>
      <c r="H272" s="1" t="s">
        <v>251</v>
      </c>
      <c r="I272" s="2">
        <v>44645</v>
      </c>
      <c r="J272" s="3">
        <v>0.40763888888888888</v>
      </c>
      <c r="K272" s="1" t="s">
        <v>73</v>
      </c>
      <c r="L272" s="2">
        <v>44653</v>
      </c>
      <c r="M272" s="3">
        <v>0.47638888888888892</v>
      </c>
      <c r="N272" s="19" t="s">
        <v>560</v>
      </c>
      <c r="O272" s="21"/>
    </row>
    <row r="273" spans="1:15" customFormat="1" ht="28.8" hidden="1" x14ac:dyDescent="0.3">
      <c r="A273" s="47">
        <f t="shared" si="12"/>
        <v>2022</v>
      </c>
      <c r="B273" s="46">
        <f t="shared" si="13"/>
        <v>14</v>
      </c>
      <c r="C273" s="46">
        <f t="shared" si="14"/>
        <v>14</v>
      </c>
      <c r="D273" s="1"/>
      <c r="E273" s="1" t="s">
        <v>561</v>
      </c>
      <c r="F273" s="19" t="s">
        <v>562</v>
      </c>
      <c r="G273" s="1" t="s">
        <v>10</v>
      </c>
      <c r="H273" s="1" t="s">
        <v>251</v>
      </c>
      <c r="I273" s="2">
        <v>44648</v>
      </c>
      <c r="J273" s="3">
        <v>0.39583333333333331</v>
      </c>
      <c r="K273" s="1" t="s">
        <v>73</v>
      </c>
      <c r="L273" s="2">
        <v>44653</v>
      </c>
      <c r="M273" s="3">
        <v>0.48888888888888887</v>
      </c>
      <c r="N273" s="19" t="s">
        <v>563</v>
      </c>
      <c r="O273" s="21"/>
    </row>
    <row r="274" spans="1:15" customFormat="1" ht="172.8" hidden="1" x14ac:dyDescent="0.3">
      <c r="A274" s="47" t="e">
        <f t="shared" si="12"/>
        <v>#VALUE!</v>
      </c>
      <c r="B274" s="46">
        <f t="shared" si="13"/>
        <v>14</v>
      </c>
      <c r="C274" s="46" t="e">
        <f t="shared" si="14"/>
        <v>#VALUE!</v>
      </c>
      <c r="D274" s="1"/>
      <c r="E274" s="1" t="s">
        <v>564</v>
      </c>
      <c r="F274" s="19" t="s">
        <v>406</v>
      </c>
      <c r="G274" s="1" t="s">
        <v>10</v>
      </c>
      <c r="H274" s="1" t="s">
        <v>251</v>
      </c>
      <c r="I274" s="2">
        <v>44649</v>
      </c>
      <c r="J274" s="3">
        <v>0.57638888888888895</v>
      </c>
      <c r="K274" s="1" t="s">
        <v>73</v>
      </c>
      <c r="L274" s="34" t="s">
        <v>609</v>
      </c>
      <c r="M274" s="28" t="s">
        <v>616</v>
      </c>
      <c r="N274" s="69" t="s">
        <v>588</v>
      </c>
      <c r="O274" s="21" t="s">
        <v>605</v>
      </c>
    </row>
    <row r="275" spans="1:15" customFormat="1" ht="187.2" hidden="1" x14ac:dyDescent="0.3">
      <c r="A275" s="47" t="e">
        <f t="shared" si="12"/>
        <v>#VALUE!</v>
      </c>
      <c r="B275" s="46">
        <f t="shared" si="13"/>
        <v>14</v>
      </c>
      <c r="C275" s="46" t="e">
        <f t="shared" si="14"/>
        <v>#VALUE!</v>
      </c>
      <c r="D275" s="1"/>
      <c r="E275" s="1" t="s">
        <v>565</v>
      </c>
      <c r="F275" s="19" t="s">
        <v>566</v>
      </c>
      <c r="G275" s="1" t="s">
        <v>10</v>
      </c>
      <c r="H275" s="1" t="s">
        <v>251</v>
      </c>
      <c r="I275" s="2">
        <v>44649</v>
      </c>
      <c r="J275" s="3">
        <v>0.58263888888888882</v>
      </c>
      <c r="K275" s="1" t="s">
        <v>73</v>
      </c>
      <c r="L275" s="34" t="s">
        <v>609</v>
      </c>
      <c r="M275" s="28" t="s">
        <v>615</v>
      </c>
      <c r="N275" s="69" t="s">
        <v>589</v>
      </c>
      <c r="O275" s="21" t="s">
        <v>604</v>
      </c>
    </row>
    <row r="276" spans="1:15" customFormat="1" ht="172.8" hidden="1" x14ac:dyDescent="0.3">
      <c r="A276" s="47" t="e">
        <f t="shared" si="12"/>
        <v>#VALUE!</v>
      </c>
      <c r="B276" s="46">
        <f t="shared" si="13"/>
        <v>14</v>
      </c>
      <c r="C276" s="46" t="e">
        <f t="shared" si="14"/>
        <v>#VALUE!</v>
      </c>
      <c r="D276" s="1"/>
      <c r="E276" s="1" t="s">
        <v>567</v>
      </c>
      <c r="F276" s="19" t="s">
        <v>406</v>
      </c>
      <c r="G276" s="1" t="s">
        <v>10</v>
      </c>
      <c r="H276" s="1" t="s">
        <v>251</v>
      </c>
      <c r="I276" s="2">
        <v>44649</v>
      </c>
      <c r="J276" s="3">
        <v>0.5854166666666667</v>
      </c>
      <c r="K276" s="1" t="s">
        <v>73</v>
      </c>
      <c r="L276" s="34" t="s">
        <v>609</v>
      </c>
      <c r="M276" s="28" t="s">
        <v>614</v>
      </c>
      <c r="N276" s="69" t="s">
        <v>590</v>
      </c>
      <c r="O276" s="21" t="s">
        <v>603</v>
      </c>
    </row>
    <row r="277" spans="1:15" customFormat="1" ht="172.8" hidden="1" x14ac:dyDescent="0.3">
      <c r="A277" s="47" t="e">
        <f t="shared" si="12"/>
        <v>#VALUE!</v>
      </c>
      <c r="B277" s="46">
        <f t="shared" si="13"/>
        <v>14</v>
      </c>
      <c r="C277" s="46" t="e">
        <f t="shared" si="14"/>
        <v>#VALUE!</v>
      </c>
      <c r="D277" s="1"/>
      <c r="E277" s="1" t="s">
        <v>568</v>
      </c>
      <c r="F277" s="19" t="s">
        <v>569</v>
      </c>
      <c r="G277" s="1" t="s">
        <v>10</v>
      </c>
      <c r="H277" s="1" t="s">
        <v>251</v>
      </c>
      <c r="I277" s="2">
        <v>44649</v>
      </c>
      <c r="J277" s="3">
        <v>0.5854166666666667</v>
      </c>
      <c r="K277" s="1" t="s">
        <v>73</v>
      </c>
      <c r="L277" s="34" t="s">
        <v>609</v>
      </c>
      <c r="M277" s="28" t="s">
        <v>613</v>
      </c>
      <c r="N277" s="69" t="s">
        <v>591</v>
      </c>
      <c r="O277" s="21" t="s">
        <v>602</v>
      </c>
    </row>
    <row r="278" spans="1:15" customFormat="1" ht="187.2" hidden="1" x14ac:dyDescent="0.3">
      <c r="A278" s="47" t="e">
        <f t="shared" si="12"/>
        <v>#VALUE!</v>
      </c>
      <c r="B278" s="46">
        <f t="shared" si="13"/>
        <v>14</v>
      </c>
      <c r="C278" s="46" t="e">
        <f t="shared" si="14"/>
        <v>#VALUE!</v>
      </c>
      <c r="D278" s="1"/>
      <c r="E278" s="1" t="s">
        <v>570</v>
      </c>
      <c r="F278" s="19" t="s">
        <v>569</v>
      </c>
      <c r="G278" s="1" t="s">
        <v>10</v>
      </c>
      <c r="H278" s="1" t="s">
        <v>251</v>
      </c>
      <c r="I278" s="2">
        <v>44650</v>
      </c>
      <c r="J278" s="3">
        <v>0.52916666666666667</v>
      </c>
      <c r="K278" s="1" t="s">
        <v>73</v>
      </c>
      <c r="L278" s="34" t="s">
        <v>609</v>
      </c>
      <c r="M278" s="28" t="s">
        <v>612</v>
      </c>
      <c r="N278" s="69" t="s">
        <v>592</v>
      </c>
      <c r="O278" s="21" t="s">
        <v>601</v>
      </c>
    </row>
    <row r="279" spans="1:15" customFormat="1" ht="216" hidden="1" x14ac:dyDescent="0.3">
      <c r="A279" s="47" t="e">
        <f t="shared" si="12"/>
        <v>#VALUE!</v>
      </c>
      <c r="B279" s="46">
        <f t="shared" si="13"/>
        <v>14</v>
      </c>
      <c r="C279" s="46" t="e">
        <f t="shared" si="14"/>
        <v>#VALUE!</v>
      </c>
      <c r="D279" s="1"/>
      <c r="E279" s="1" t="s">
        <v>571</v>
      </c>
      <c r="F279" s="19" t="s">
        <v>569</v>
      </c>
      <c r="G279" s="1" t="s">
        <v>10</v>
      </c>
      <c r="H279" s="1" t="s">
        <v>251</v>
      </c>
      <c r="I279" s="2">
        <v>44650</v>
      </c>
      <c r="J279" s="3">
        <v>0.53125</v>
      </c>
      <c r="K279" s="1" t="s">
        <v>73</v>
      </c>
      <c r="L279" s="34" t="s">
        <v>609</v>
      </c>
      <c r="M279" s="28" t="s">
        <v>611</v>
      </c>
      <c r="N279" s="69" t="s">
        <v>593</v>
      </c>
      <c r="O279" s="19" t="s">
        <v>600</v>
      </c>
    </row>
    <row r="280" spans="1:15" customFormat="1" ht="187.2" hidden="1" x14ac:dyDescent="0.3">
      <c r="A280" s="47" t="e">
        <f t="shared" si="12"/>
        <v>#VALUE!</v>
      </c>
      <c r="B280" s="46">
        <f t="shared" si="13"/>
        <v>14</v>
      </c>
      <c r="C280" s="46" t="e">
        <f t="shared" si="14"/>
        <v>#VALUE!</v>
      </c>
      <c r="D280" s="1"/>
      <c r="E280" s="1" t="s">
        <v>572</v>
      </c>
      <c r="F280" s="19" t="s">
        <v>569</v>
      </c>
      <c r="G280" s="1" t="s">
        <v>10</v>
      </c>
      <c r="H280" s="1" t="s">
        <v>251</v>
      </c>
      <c r="I280" s="2">
        <v>44650</v>
      </c>
      <c r="J280" s="3">
        <v>0.53402777777777777</v>
      </c>
      <c r="K280" s="1" t="s">
        <v>73</v>
      </c>
      <c r="L280" s="34" t="s">
        <v>609</v>
      </c>
      <c r="M280" s="28" t="s">
        <v>610</v>
      </c>
      <c r="N280" s="69" t="s">
        <v>594</v>
      </c>
      <c r="O280" s="38" t="s">
        <v>596</v>
      </c>
    </row>
    <row r="281" spans="1:15" customFormat="1" ht="187.2" hidden="1" x14ac:dyDescent="0.3">
      <c r="A281" s="47" t="e">
        <f t="shared" si="12"/>
        <v>#VALUE!</v>
      </c>
      <c r="B281" s="46">
        <f t="shared" si="13"/>
        <v>14</v>
      </c>
      <c r="C281" s="46" t="e">
        <f t="shared" si="14"/>
        <v>#VALUE!</v>
      </c>
      <c r="D281" s="1"/>
      <c r="E281" s="1" t="s">
        <v>573</v>
      </c>
      <c r="F281" s="19" t="s">
        <v>569</v>
      </c>
      <c r="G281" s="1" t="s">
        <v>10</v>
      </c>
      <c r="H281" s="1" t="s">
        <v>251</v>
      </c>
      <c r="I281" s="2">
        <v>44650</v>
      </c>
      <c r="J281" s="3">
        <v>0.53680555555555554</v>
      </c>
      <c r="K281" s="1" t="s">
        <v>73</v>
      </c>
      <c r="L281" s="34" t="s">
        <v>609</v>
      </c>
      <c r="M281" s="28" t="s">
        <v>608</v>
      </c>
      <c r="N281" s="69" t="s">
        <v>595</v>
      </c>
      <c r="O281" s="38" t="s">
        <v>597</v>
      </c>
    </row>
    <row r="282" spans="1:15" customFormat="1" ht="28.8" hidden="1" x14ac:dyDescent="0.3">
      <c r="A282" s="47">
        <f t="shared" si="12"/>
        <v>2022</v>
      </c>
      <c r="B282" s="46">
        <f t="shared" si="13"/>
        <v>14</v>
      </c>
      <c r="C282" s="46">
        <f t="shared" si="14"/>
        <v>14</v>
      </c>
      <c r="D282" s="1"/>
      <c r="E282" s="1" t="s">
        <v>574</v>
      </c>
      <c r="F282" s="19" t="s">
        <v>569</v>
      </c>
      <c r="G282" s="1" t="s">
        <v>10</v>
      </c>
      <c r="H282" s="1" t="s">
        <v>251</v>
      </c>
      <c r="I282" s="2">
        <v>44650</v>
      </c>
      <c r="J282" s="3">
        <v>0.54027777777777775</v>
      </c>
      <c r="K282" s="1" t="s">
        <v>73</v>
      </c>
      <c r="L282" s="2">
        <v>44653</v>
      </c>
      <c r="M282" s="3">
        <v>0.66111111111111109</v>
      </c>
      <c r="N282" s="19" t="s">
        <v>575</v>
      </c>
      <c r="O282" s="39" t="s">
        <v>599</v>
      </c>
    </row>
    <row r="283" spans="1:15" customFormat="1" ht="43.2" hidden="1" x14ac:dyDescent="0.3">
      <c r="A283" s="47">
        <f t="shared" si="12"/>
        <v>2022</v>
      </c>
      <c r="B283" s="46">
        <f t="shared" si="13"/>
        <v>14</v>
      </c>
      <c r="C283" s="46">
        <f t="shared" si="14"/>
        <v>14</v>
      </c>
      <c r="D283" s="1"/>
      <c r="E283" s="1" t="s">
        <v>576</v>
      </c>
      <c r="F283" s="19" t="s">
        <v>569</v>
      </c>
      <c r="G283" s="1" t="s">
        <v>10</v>
      </c>
      <c r="H283" s="1" t="s">
        <v>251</v>
      </c>
      <c r="I283" s="2">
        <v>44650</v>
      </c>
      <c r="J283" s="3">
        <v>0.59791666666666665</v>
      </c>
      <c r="K283" s="1" t="s">
        <v>73</v>
      </c>
      <c r="L283" s="2">
        <v>44653</v>
      </c>
      <c r="M283" s="3">
        <v>0.66736111111111107</v>
      </c>
      <c r="N283" s="19" t="s">
        <v>577</v>
      </c>
      <c r="O283" s="38" t="s">
        <v>597</v>
      </c>
    </row>
    <row r="284" spans="1:15" customFormat="1" ht="43.2" hidden="1" x14ac:dyDescent="0.3">
      <c r="A284" s="47">
        <f t="shared" si="12"/>
        <v>2022</v>
      </c>
      <c r="B284" s="46">
        <f t="shared" si="13"/>
        <v>14</v>
      </c>
      <c r="C284" s="46">
        <f t="shared" si="14"/>
        <v>14</v>
      </c>
      <c r="D284" s="1"/>
      <c r="E284" s="1" t="s">
        <v>578</v>
      </c>
      <c r="F284" s="19" t="s">
        <v>569</v>
      </c>
      <c r="G284" s="1" t="s">
        <v>10</v>
      </c>
      <c r="H284" s="1" t="s">
        <v>251</v>
      </c>
      <c r="I284" s="2">
        <v>44653</v>
      </c>
      <c r="J284" s="3">
        <v>0.68125000000000002</v>
      </c>
      <c r="K284" s="1" t="s">
        <v>73</v>
      </c>
      <c r="L284" s="2">
        <v>44653</v>
      </c>
      <c r="M284" s="3">
        <v>0.68263888888888891</v>
      </c>
      <c r="N284" s="19" t="s">
        <v>577</v>
      </c>
      <c r="O284" s="40" t="s">
        <v>598</v>
      </c>
    </row>
    <row r="285" spans="1:15" customFormat="1" ht="43.2" hidden="1" x14ac:dyDescent="0.3">
      <c r="A285" s="47">
        <f t="shared" si="12"/>
        <v>2022</v>
      </c>
      <c r="B285" s="46">
        <f t="shared" si="13"/>
        <v>14</v>
      </c>
      <c r="C285" s="46">
        <f t="shared" si="14"/>
        <v>14</v>
      </c>
      <c r="D285" s="1"/>
      <c r="E285" s="1" t="s">
        <v>579</v>
      </c>
      <c r="F285" s="19" t="s">
        <v>569</v>
      </c>
      <c r="G285" s="1" t="s">
        <v>10</v>
      </c>
      <c r="H285" s="1" t="s">
        <v>251</v>
      </c>
      <c r="I285" s="2">
        <v>44650</v>
      </c>
      <c r="J285" s="3">
        <v>0.55069444444444449</v>
      </c>
      <c r="K285" s="1" t="s">
        <v>73</v>
      </c>
      <c r="L285" s="2">
        <v>44653</v>
      </c>
      <c r="M285" s="3">
        <v>0.68819444444444444</v>
      </c>
      <c r="N285" s="19" t="s">
        <v>558</v>
      </c>
      <c r="O285" s="21"/>
    </row>
    <row r="286" spans="1:15" customFormat="1" ht="28.8" hidden="1" x14ac:dyDescent="0.3">
      <c r="A286" s="47">
        <f t="shared" si="12"/>
        <v>2022</v>
      </c>
      <c r="B286" s="46">
        <f t="shared" si="13"/>
        <v>14</v>
      </c>
      <c r="C286" s="46">
        <f t="shared" si="14"/>
        <v>14</v>
      </c>
      <c r="D286" s="1"/>
      <c r="E286" s="1" t="s">
        <v>580</v>
      </c>
      <c r="F286" s="19" t="s">
        <v>581</v>
      </c>
      <c r="G286" s="1" t="s">
        <v>10</v>
      </c>
      <c r="H286" s="1" t="s">
        <v>251</v>
      </c>
      <c r="I286" s="2">
        <v>44650</v>
      </c>
      <c r="J286" s="3">
        <v>0.55069444444444449</v>
      </c>
      <c r="K286" s="1" t="s">
        <v>73</v>
      </c>
      <c r="L286" s="2">
        <v>44653</v>
      </c>
      <c r="M286" s="3">
        <v>0.69374999999999998</v>
      </c>
      <c r="N286" s="19" t="s">
        <v>582</v>
      </c>
      <c r="O286" s="21"/>
    </row>
    <row r="287" spans="1:15" customFormat="1" ht="28.8" hidden="1" x14ac:dyDescent="0.3">
      <c r="A287" s="47">
        <f t="shared" si="12"/>
        <v>2022</v>
      </c>
      <c r="B287" s="46">
        <f t="shared" si="13"/>
        <v>14</v>
      </c>
      <c r="C287" s="46">
        <f t="shared" si="14"/>
        <v>14</v>
      </c>
      <c r="D287" s="1"/>
      <c r="E287" s="1" t="s">
        <v>583</v>
      </c>
      <c r="F287" s="19" t="s">
        <v>581</v>
      </c>
      <c r="G287" s="1" t="s">
        <v>10</v>
      </c>
      <c r="H287" s="1" t="s">
        <v>251</v>
      </c>
      <c r="I287" s="2">
        <v>44651</v>
      </c>
      <c r="J287" s="3">
        <v>0.4770833333333333</v>
      </c>
      <c r="K287" s="1" t="s">
        <v>73</v>
      </c>
      <c r="L287" s="2">
        <v>44653</v>
      </c>
      <c r="M287" s="1"/>
      <c r="N287" s="19" t="s">
        <v>584</v>
      </c>
      <c r="O287" s="21"/>
    </row>
    <row r="288" spans="1:15" customFormat="1" ht="28.8" hidden="1" x14ac:dyDescent="0.3">
      <c r="A288" s="47">
        <f t="shared" si="12"/>
        <v>2022</v>
      </c>
      <c r="B288" s="46">
        <f t="shared" si="13"/>
        <v>13</v>
      </c>
      <c r="C288" s="46">
        <f t="shared" si="14"/>
        <v>15</v>
      </c>
      <c r="D288" s="1"/>
      <c r="E288" s="1" t="s">
        <v>620</v>
      </c>
      <c r="F288" s="19" t="s">
        <v>511</v>
      </c>
      <c r="G288" s="1" t="s">
        <v>10</v>
      </c>
      <c r="H288" s="1" t="s">
        <v>251</v>
      </c>
      <c r="I288" s="2">
        <v>44642</v>
      </c>
      <c r="J288" s="3">
        <v>0.61458333333333337</v>
      </c>
      <c r="K288" s="1" t="s">
        <v>73</v>
      </c>
      <c r="L288" s="2">
        <v>44655</v>
      </c>
      <c r="M288" s="3">
        <v>0.49374999999999997</v>
      </c>
      <c r="N288" s="19" t="s">
        <v>621</v>
      </c>
      <c r="O288" s="21"/>
    </row>
    <row r="289" spans="1:15" customFormat="1" hidden="1" x14ac:dyDescent="0.3">
      <c r="A289" s="47">
        <f t="shared" si="12"/>
        <v>2022</v>
      </c>
      <c r="B289" s="46">
        <f t="shared" si="13"/>
        <v>15</v>
      </c>
      <c r="C289" s="46">
        <f t="shared" si="14"/>
        <v>15</v>
      </c>
      <c r="D289" s="1"/>
      <c r="E289" s="1" t="s">
        <v>622</v>
      </c>
      <c r="F289" s="19" t="s">
        <v>623</v>
      </c>
      <c r="G289" s="1" t="s">
        <v>9</v>
      </c>
      <c r="H289" s="1" t="s">
        <v>251</v>
      </c>
      <c r="I289" s="2">
        <v>44655</v>
      </c>
      <c r="J289" s="3">
        <v>0.59027777777777779</v>
      </c>
      <c r="K289" s="1" t="s">
        <v>73</v>
      </c>
      <c r="L289" s="2">
        <v>44656</v>
      </c>
      <c r="M289" s="3">
        <v>0.44236111111111115</v>
      </c>
      <c r="N289" s="19" t="s">
        <v>624</v>
      </c>
      <c r="O289" s="21"/>
    </row>
    <row r="290" spans="1:15" customFormat="1" ht="57.6" hidden="1" x14ac:dyDescent="0.3">
      <c r="A290" s="47">
        <f t="shared" si="12"/>
        <v>2022</v>
      </c>
      <c r="B290" s="46">
        <f t="shared" si="13"/>
        <v>15</v>
      </c>
      <c r="C290" s="46">
        <f t="shared" si="14"/>
        <v>15</v>
      </c>
      <c r="D290" s="1"/>
      <c r="E290" s="1" t="s">
        <v>625</v>
      </c>
      <c r="F290" s="19" t="s">
        <v>562</v>
      </c>
      <c r="G290" s="1" t="s">
        <v>10</v>
      </c>
      <c r="H290" s="1" t="s">
        <v>251</v>
      </c>
      <c r="I290" s="2">
        <v>44656</v>
      </c>
      <c r="J290" s="3">
        <v>0.37708333333333338</v>
      </c>
      <c r="K290" s="1" t="s">
        <v>73</v>
      </c>
      <c r="L290" s="2">
        <v>44657</v>
      </c>
      <c r="M290" s="3">
        <v>0.68333333333333324</v>
      </c>
      <c r="N290" s="19" t="s">
        <v>626</v>
      </c>
      <c r="O290" s="21"/>
    </row>
    <row r="291" spans="1:15" customFormat="1" hidden="1" x14ac:dyDescent="0.3">
      <c r="A291" s="47">
        <f t="shared" si="12"/>
        <v>2022</v>
      </c>
      <c r="B291" s="46">
        <f t="shared" si="13"/>
        <v>15</v>
      </c>
      <c r="C291" s="46">
        <f t="shared" si="14"/>
        <v>15</v>
      </c>
      <c r="D291" s="1"/>
      <c r="E291" s="1" t="s">
        <v>627</v>
      </c>
      <c r="F291" s="19" t="s">
        <v>562</v>
      </c>
      <c r="G291" s="1" t="s">
        <v>10</v>
      </c>
      <c r="H291" s="1" t="s">
        <v>251</v>
      </c>
      <c r="I291" s="2">
        <v>44656</v>
      </c>
      <c r="J291" s="3">
        <v>0.71597222222222223</v>
      </c>
      <c r="K291" s="1" t="s">
        <v>73</v>
      </c>
      <c r="L291" s="2">
        <v>44657</v>
      </c>
      <c r="M291" s="3">
        <v>0.69791666666666663</v>
      </c>
      <c r="N291" s="19" t="s">
        <v>624</v>
      </c>
      <c r="O291" s="21"/>
    </row>
    <row r="292" spans="1:15" customFormat="1" ht="54.75" hidden="1" customHeight="1" x14ac:dyDescent="0.3">
      <c r="A292" s="47">
        <f t="shared" si="12"/>
        <v>2022</v>
      </c>
      <c r="B292" s="46">
        <f t="shared" si="13"/>
        <v>14</v>
      </c>
      <c r="C292" s="46">
        <f t="shared" si="14"/>
        <v>15</v>
      </c>
      <c r="D292" s="1"/>
      <c r="E292" s="1" t="s">
        <v>583</v>
      </c>
      <c r="F292" s="19" t="s">
        <v>628</v>
      </c>
      <c r="G292" s="1" t="s">
        <v>10</v>
      </c>
      <c r="H292" s="1" t="s">
        <v>251</v>
      </c>
      <c r="I292" s="2">
        <v>44651</v>
      </c>
      <c r="J292" s="3">
        <v>0.4770833333333333</v>
      </c>
      <c r="K292" s="1" t="s">
        <v>73</v>
      </c>
      <c r="L292" s="2">
        <v>44657</v>
      </c>
      <c r="M292" s="3">
        <v>0.58472222222222225</v>
      </c>
      <c r="N292" s="19" t="s">
        <v>629</v>
      </c>
      <c r="O292" s="21"/>
    </row>
    <row r="293" spans="1:15" customFormat="1" ht="28.8" hidden="1" x14ac:dyDescent="0.3">
      <c r="A293" s="47">
        <f t="shared" si="12"/>
        <v>2022</v>
      </c>
      <c r="B293" s="46">
        <f t="shared" si="13"/>
        <v>15</v>
      </c>
      <c r="C293" s="46">
        <f t="shared" si="14"/>
        <v>15</v>
      </c>
      <c r="D293" s="1"/>
      <c r="E293" s="1" t="s">
        <v>630</v>
      </c>
      <c r="F293" s="19" t="s">
        <v>562</v>
      </c>
      <c r="G293" s="1" t="s">
        <v>10</v>
      </c>
      <c r="H293" s="1" t="s">
        <v>251</v>
      </c>
      <c r="I293" s="2">
        <v>44659</v>
      </c>
      <c r="J293" s="3">
        <v>0.31944444444444448</v>
      </c>
      <c r="K293" s="1" t="s">
        <v>73</v>
      </c>
      <c r="L293" s="2">
        <v>44657</v>
      </c>
      <c r="M293" s="3">
        <v>0.62638888888888888</v>
      </c>
      <c r="N293" s="19" t="s">
        <v>631</v>
      </c>
      <c r="O293" s="21"/>
    </row>
    <row r="294" spans="1:15" customFormat="1" ht="28.8" hidden="1" x14ac:dyDescent="0.3">
      <c r="A294" s="47">
        <f t="shared" si="12"/>
        <v>2022</v>
      </c>
      <c r="B294" s="46">
        <f t="shared" si="13"/>
        <v>15</v>
      </c>
      <c r="C294" s="46">
        <f t="shared" si="14"/>
        <v>15</v>
      </c>
      <c r="D294" s="1"/>
      <c r="E294" s="1" t="s">
        <v>632</v>
      </c>
      <c r="F294" s="19" t="s">
        <v>628</v>
      </c>
      <c r="G294" s="1" t="s">
        <v>10</v>
      </c>
      <c r="H294" s="1" t="s">
        <v>251</v>
      </c>
      <c r="I294" s="2">
        <v>44657</v>
      </c>
      <c r="J294" s="3">
        <v>0.41736111111111113</v>
      </c>
      <c r="K294" s="1" t="s">
        <v>73</v>
      </c>
      <c r="L294" s="2">
        <v>44660</v>
      </c>
      <c r="M294" s="3">
        <v>0.30624999999999997</v>
      </c>
      <c r="N294" s="19" t="s">
        <v>633</v>
      </c>
      <c r="O294" s="21"/>
    </row>
    <row r="295" spans="1:15" customFormat="1" ht="28.8" hidden="1" x14ac:dyDescent="0.3">
      <c r="A295" s="47">
        <f t="shared" si="12"/>
        <v>2022</v>
      </c>
      <c r="B295" s="46">
        <f t="shared" si="13"/>
        <v>15</v>
      </c>
      <c r="C295" s="46">
        <f t="shared" si="14"/>
        <v>15</v>
      </c>
      <c r="D295" s="1"/>
      <c r="E295" s="1" t="s">
        <v>634</v>
      </c>
      <c r="F295" s="19" t="s">
        <v>636</v>
      </c>
      <c r="G295" s="1" t="s">
        <v>10</v>
      </c>
      <c r="H295" s="1" t="s">
        <v>251</v>
      </c>
      <c r="I295" s="2">
        <v>44658</v>
      </c>
      <c r="J295" s="3">
        <v>0.42083333333333334</v>
      </c>
      <c r="K295" s="1" t="s">
        <v>73</v>
      </c>
      <c r="L295" s="2">
        <v>44660</v>
      </c>
      <c r="M295" s="3">
        <v>0.46111111111111108</v>
      </c>
      <c r="N295" s="19" t="s">
        <v>635</v>
      </c>
      <c r="O295" s="21"/>
    </row>
    <row r="296" spans="1:15" customFormat="1" ht="28.8" hidden="1" x14ac:dyDescent="0.3">
      <c r="A296" s="47">
        <f t="shared" si="12"/>
        <v>2022</v>
      </c>
      <c r="B296" s="46">
        <f t="shared" si="13"/>
        <v>16</v>
      </c>
      <c r="C296" s="46">
        <f t="shared" si="14"/>
        <v>17</v>
      </c>
      <c r="D296" s="1"/>
      <c r="E296" s="1" t="s">
        <v>637</v>
      </c>
      <c r="F296" s="19" t="s">
        <v>638</v>
      </c>
      <c r="G296" s="1" t="s">
        <v>9</v>
      </c>
      <c r="H296" s="1" t="s">
        <v>251</v>
      </c>
      <c r="I296" s="2">
        <v>44664</v>
      </c>
      <c r="J296" s="3">
        <v>0.71805555555555556</v>
      </c>
      <c r="K296" s="1" t="s">
        <v>73</v>
      </c>
      <c r="L296" s="2">
        <v>44669</v>
      </c>
      <c r="M296" s="3">
        <v>0.3263888888888889</v>
      </c>
      <c r="N296" s="19" t="s">
        <v>639</v>
      </c>
      <c r="O296" s="21"/>
    </row>
    <row r="297" spans="1:15" customFormat="1" ht="57.6" hidden="1" x14ac:dyDescent="0.3">
      <c r="A297" s="47">
        <f t="shared" si="12"/>
        <v>2022</v>
      </c>
      <c r="B297" s="46">
        <f t="shared" si="13"/>
        <v>16</v>
      </c>
      <c r="C297" s="46">
        <f t="shared" si="14"/>
        <v>17</v>
      </c>
      <c r="D297" s="1"/>
      <c r="E297" s="1" t="s">
        <v>640</v>
      </c>
      <c r="F297" s="19" t="s">
        <v>641</v>
      </c>
      <c r="G297" s="1" t="s">
        <v>9</v>
      </c>
      <c r="H297" s="1" t="s">
        <v>251</v>
      </c>
      <c r="I297" s="2">
        <v>44665</v>
      </c>
      <c r="J297" s="3">
        <v>0.39097222222222222</v>
      </c>
      <c r="K297" s="1" t="s">
        <v>73</v>
      </c>
      <c r="L297" s="2">
        <v>44670</v>
      </c>
      <c r="M297" s="3">
        <v>0.32361111111111113</v>
      </c>
      <c r="N297" s="19" t="s">
        <v>651</v>
      </c>
      <c r="O297" s="21"/>
    </row>
    <row r="298" spans="1:15" customFormat="1" hidden="1" x14ac:dyDescent="0.3">
      <c r="A298" s="47">
        <f t="shared" si="12"/>
        <v>2022</v>
      </c>
      <c r="B298" s="46">
        <f t="shared" si="13"/>
        <v>16</v>
      </c>
      <c r="C298" s="46">
        <f t="shared" si="14"/>
        <v>17</v>
      </c>
      <c r="D298" s="1"/>
      <c r="E298" s="1" t="s">
        <v>642</v>
      </c>
      <c r="F298" s="19" t="s">
        <v>643</v>
      </c>
      <c r="G298" s="1" t="s">
        <v>9</v>
      </c>
      <c r="H298" s="1" t="s">
        <v>251</v>
      </c>
      <c r="I298" s="2">
        <v>44664</v>
      </c>
      <c r="J298" s="3">
        <v>0.40833333333333338</v>
      </c>
      <c r="K298" s="1" t="s">
        <v>73</v>
      </c>
      <c r="L298" s="2">
        <v>44670</v>
      </c>
      <c r="M298" s="3">
        <v>0.41388888888888892</v>
      </c>
      <c r="N298" s="19" t="s">
        <v>644</v>
      </c>
      <c r="O298" s="21"/>
    </row>
    <row r="299" spans="1:15" customFormat="1" ht="28.8" hidden="1" x14ac:dyDescent="0.3">
      <c r="A299" s="47">
        <f t="shared" si="12"/>
        <v>2022</v>
      </c>
      <c r="B299" s="46">
        <f t="shared" si="13"/>
        <v>17</v>
      </c>
      <c r="C299" s="46">
        <f t="shared" si="14"/>
        <v>17</v>
      </c>
      <c r="D299" s="1"/>
      <c r="E299" s="1" t="s">
        <v>645</v>
      </c>
      <c r="F299" s="19" t="s">
        <v>646</v>
      </c>
      <c r="G299" s="1" t="s">
        <v>10</v>
      </c>
      <c r="H299" s="1" t="s">
        <v>251</v>
      </c>
      <c r="I299" s="2">
        <v>44669</v>
      </c>
      <c r="J299" s="3">
        <v>0.71319444444444446</v>
      </c>
      <c r="K299" s="1" t="s">
        <v>73</v>
      </c>
      <c r="L299" s="2">
        <v>44670</v>
      </c>
      <c r="M299" s="3">
        <v>0.41597222222222219</v>
      </c>
      <c r="N299" s="19" t="s">
        <v>647</v>
      </c>
      <c r="O299" s="21"/>
    </row>
    <row r="300" spans="1:15" customFormat="1" ht="28.8" hidden="1" x14ac:dyDescent="0.3">
      <c r="A300" s="47">
        <f t="shared" si="12"/>
        <v>2022</v>
      </c>
      <c r="B300" s="46">
        <f t="shared" si="13"/>
        <v>17</v>
      </c>
      <c r="C300" s="46">
        <f t="shared" si="14"/>
        <v>17</v>
      </c>
      <c r="D300" s="1"/>
      <c r="E300" s="1" t="s">
        <v>648</v>
      </c>
      <c r="F300" s="19" t="s">
        <v>646</v>
      </c>
      <c r="G300" s="1" t="s">
        <v>10</v>
      </c>
      <c r="H300" s="1" t="s">
        <v>251</v>
      </c>
      <c r="I300" s="2">
        <v>44669</v>
      </c>
      <c r="J300" s="3">
        <v>0.71458333333333324</v>
      </c>
      <c r="K300" s="1" t="s">
        <v>73</v>
      </c>
      <c r="L300" s="2">
        <v>44670</v>
      </c>
      <c r="M300" s="3">
        <v>0.41736111111111113</v>
      </c>
      <c r="N300" s="19" t="s">
        <v>647</v>
      </c>
      <c r="O300" s="21"/>
    </row>
    <row r="301" spans="1:15" customFormat="1" ht="28.8" hidden="1" x14ac:dyDescent="0.3">
      <c r="A301" s="47">
        <f t="shared" si="12"/>
        <v>2022</v>
      </c>
      <c r="B301" s="46">
        <f t="shared" si="13"/>
        <v>17</v>
      </c>
      <c r="C301" s="46">
        <f t="shared" si="14"/>
        <v>17</v>
      </c>
      <c r="D301" s="1"/>
      <c r="E301" s="1" t="s">
        <v>649</v>
      </c>
      <c r="F301" s="19" t="s">
        <v>646</v>
      </c>
      <c r="G301" s="1" t="s">
        <v>10</v>
      </c>
      <c r="H301" s="1" t="s">
        <v>251</v>
      </c>
      <c r="I301" s="2">
        <v>44669</v>
      </c>
      <c r="J301" s="3">
        <v>0.71458333333333324</v>
      </c>
      <c r="K301" s="1" t="s">
        <v>73</v>
      </c>
      <c r="L301" s="2">
        <v>44670</v>
      </c>
      <c r="M301" s="3">
        <v>0.42083333333333334</v>
      </c>
      <c r="N301" s="19" t="s">
        <v>647</v>
      </c>
      <c r="O301" s="21"/>
    </row>
    <row r="302" spans="1:15" customFormat="1" ht="28.8" hidden="1" x14ac:dyDescent="0.3">
      <c r="A302" s="47">
        <f t="shared" si="12"/>
        <v>2022</v>
      </c>
      <c r="B302" s="46">
        <f t="shared" si="13"/>
        <v>17</v>
      </c>
      <c r="C302" s="46">
        <f t="shared" si="14"/>
        <v>17</v>
      </c>
      <c r="D302" s="1"/>
      <c r="E302" s="1" t="s">
        <v>650</v>
      </c>
      <c r="F302" s="19" t="s">
        <v>646</v>
      </c>
      <c r="G302" s="1" t="s">
        <v>10</v>
      </c>
      <c r="H302" s="1" t="s">
        <v>251</v>
      </c>
      <c r="I302" s="2">
        <v>44669</v>
      </c>
      <c r="J302" s="3">
        <v>0.71736111111111101</v>
      </c>
      <c r="K302" s="1" t="s">
        <v>73</v>
      </c>
      <c r="L302" s="2">
        <v>44670</v>
      </c>
      <c r="M302" s="3">
        <v>0.42152777777777778</v>
      </c>
      <c r="N302" s="19" t="s">
        <v>647</v>
      </c>
      <c r="O302" s="21"/>
    </row>
    <row r="303" spans="1:15" customFormat="1" ht="409.6" hidden="1" x14ac:dyDescent="0.3">
      <c r="A303" s="47" t="e">
        <f t="shared" si="12"/>
        <v>#VALUE!</v>
      </c>
      <c r="B303" s="46">
        <f t="shared" si="13"/>
        <v>17</v>
      </c>
      <c r="C303" s="46" t="e">
        <f t="shared" si="14"/>
        <v>#VALUE!</v>
      </c>
      <c r="D303" s="1"/>
      <c r="E303" s="1" t="s">
        <v>652</v>
      </c>
      <c r="F303" s="19" t="s">
        <v>653</v>
      </c>
      <c r="G303" s="1" t="s">
        <v>10</v>
      </c>
      <c r="H303" s="1" t="s">
        <v>251</v>
      </c>
      <c r="I303" s="2">
        <v>44671</v>
      </c>
      <c r="J303" s="3">
        <v>0.44513888888888892</v>
      </c>
      <c r="K303" s="1" t="s">
        <v>73</v>
      </c>
      <c r="L303" s="34" t="s">
        <v>696</v>
      </c>
      <c r="M303" s="28" t="s">
        <v>697</v>
      </c>
      <c r="N303" s="19" t="s">
        <v>695</v>
      </c>
      <c r="O303" s="21" t="s">
        <v>657</v>
      </c>
    </row>
    <row r="304" spans="1:15" customFormat="1" ht="86.4" hidden="1" x14ac:dyDescent="0.3">
      <c r="A304" s="47" t="e">
        <f t="shared" si="12"/>
        <v>#VALUE!</v>
      </c>
      <c r="B304" s="46">
        <f t="shared" si="13"/>
        <v>17</v>
      </c>
      <c r="C304" s="46" t="e">
        <f t="shared" si="14"/>
        <v>#VALUE!</v>
      </c>
      <c r="D304" s="1"/>
      <c r="E304" s="1" t="s">
        <v>654</v>
      </c>
      <c r="F304" s="19" t="s">
        <v>655</v>
      </c>
      <c r="G304" s="1" t="s">
        <v>10</v>
      </c>
      <c r="H304" s="1" t="s">
        <v>91</v>
      </c>
      <c r="I304" s="2">
        <v>44671</v>
      </c>
      <c r="J304" s="3">
        <v>0.44861111111111113</v>
      </c>
      <c r="K304" s="1" t="s">
        <v>73</v>
      </c>
      <c r="L304" s="34" t="s">
        <v>658</v>
      </c>
      <c r="M304" s="3">
        <v>0.70138888888888884</v>
      </c>
      <c r="N304" s="19" t="s">
        <v>656</v>
      </c>
      <c r="O304" s="21"/>
    </row>
    <row r="305" spans="1:15" customFormat="1" ht="43.2" hidden="1" x14ac:dyDescent="0.3">
      <c r="A305" s="47" t="e">
        <f t="shared" si="12"/>
        <v>#VALUE!</v>
      </c>
      <c r="B305" s="46">
        <f t="shared" si="13"/>
        <v>17</v>
      </c>
      <c r="C305" s="46" t="e">
        <f t="shared" si="14"/>
        <v>#VALUE!</v>
      </c>
      <c r="D305" s="1"/>
      <c r="E305" s="1" t="s">
        <v>659</v>
      </c>
      <c r="F305" s="19" t="s">
        <v>660</v>
      </c>
      <c r="G305" s="1" t="s">
        <v>10</v>
      </c>
      <c r="H305" s="1" t="s">
        <v>661</v>
      </c>
      <c r="I305" s="2">
        <v>44671</v>
      </c>
      <c r="J305" s="3">
        <v>0.45347222222222222</v>
      </c>
      <c r="K305" s="1" t="s">
        <v>73</v>
      </c>
      <c r="L305" s="34" t="s">
        <v>662</v>
      </c>
      <c r="M305" s="3">
        <v>0.78055555555555556</v>
      </c>
      <c r="N305" s="19" t="s">
        <v>664</v>
      </c>
      <c r="O305" s="21" t="s">
        <v>663</v>
      </c>
    </row>
    <row r="306" spans="1:15" customFormat="1" ht="100.8" hidden="1" x14ac:dyDescent="0.3">
      <c r="A306" s="47">
        <f t="shared" si="12"/>
        <v>2022</v>
      </c>
      <c r="B306" s="46">
        <f t="shared" si="13"/>
        <v>17</v>
      </c>
      <c r="C306" s="46">
        <f t="shared" si="14"/>
        <v>17</v>
      </c>
      <c r="D306" s="1"/>
      <c r="E306" s="1" t="s">
        <v>665</v>
      </c>
      <c r="F306" s="19" t="s">
        <v>562</v>
      </c>
      <c r="G306" s="1" t="s">
        <v>10</v>
      </c>
      <c r="H306" s="1" t="s">
        <v>91</v>
      </c>
      <c r="I306" s="2">
        <v>44671</v>
      </c>
      <c r="J306" s="3">
        <v>0.46597222222222223</v>
      </c>
      <c r="K306" s="1" t="s">
        <v>73</v>
      </c>
      <c r="L306" s="34">
        <v>44673</v>
      </c>
      <c r="M306" s="3">
        <v>0.82777777777777783</v>
      </c>
      <c r="N306" s="19" t="s">
        <v>666</v>
      </c>
      <c r="O306" s="21"/>
    </row>
    <row r="307" spans="1:15" customFormat="1" ht="43.2" hidden="1" x14ac:dyDescent="0.3">
      <c r="A307" s="47">
        <f t="shared" si="12"/>
        <v>2022</v>
      </c>
      <c r="B307" s="46">
        <f t="shared" si="13"/>
        <v>17</v>
      </c>
      <c r="C307" s="46">
        <f t="shared" si="14"/>
        <v>17</v>
      </c>
      <c r="D307" s="1"/>
      <c r="E307" s="1" t="s">
        <v>667</v>
      </c>
      <c r="F307" s="19" t="s">
        <v>511</v>
      </c>
      <c r="G307" s="1" t="s">
        <v>10</v>
      </c>
      <c r="H307" s="1" t="s">
        <v>661</v>
      </c>
      <c r="I307" s="2">
        <v>44671</v>
      </c>
      <c r="J307" s="3">
        <v>0.46458333333333335</v>
      </c>
      <c r="K307" s="1" t="s">
        <v>73</v>
      </c>
      <c r="L307" s="34">
        <v>44673</v>
      </c>
      <c r="M307" s="3">
        <v>0.84305555555555556</v>
      </c>
      <c r="N307" s="19" t="s">
        <v>668</v>
      </c>
      <c r="O307" s="21"/>
    </row>
    <row r="308" spans="1:15" customFormat="1" ht="43.2" hidden="1" x14ac:dyDescent="0.3">
      <c r="A308" s="47">
        <f t="shared" si="12"/>
        <v>2022</v>
      </c>
      <c r="B308" s="46">
        <f t="shared" si="13"/>
        <v>17</v>
      </c>
      <c r="C308" s="46">
        <f t="shared" si="14"/>
        <v>17</v>
      </c>
      <c r="D308" s="1"/>
      <c r="E308" s="1" t="s">
        <v>669</v>
      </c>
      <c r="F308" s="19" t="s">
        <v>511</v>
      </c>
      <c r="G308" s="1" t="s">
        <v>10</v>
      </c>
      <c r="H308" s="1" t="s">
        <v>661</v>
      </c>
      <c r="I308" s="2">
        <v>44671</v>
      </c>
      <c r="J308" s="3">
        <v>0.47222222222222227</v>
      </c>
      <c r="K308" s="1" t="s">
        <v>73</v>
      </c>
      <c r="L308" s="34">
        <v>44673</v>
      </c>
      <c r="M308" s="3">
        <v>0.84722222222222221</v>
      </c>
      <c r="N308" s="19" t="s">
        <v>726</v>
      </c>
      <c r="O308" s="21"/>
    </row>
    <row r="309" spans="1:15" customFormat="1" ht="100.8" hidden="1" x14ac:dyDescent="0.3">
      <c r="A309" s="47">
        <f t="shared" si="12"/>
        <v>2022</v>
      </c>
      <c r="B309" s="46">
        <f t="shared" si="13"/>
        <v>17</v>
      </c>
      <c r="C309" s="46">
        <f t="shared" si="14"/>
        <v>17</v>
      </c>
      <c r="D309" s="1"/>
      <c r="E309" s="1" t="s">
        <v>670</v>
      </c>
      <c r="F309" s="19" t="s">
        <v>562</v>
      </c>
      <c r="G309" s="1" t="s">
        <v>10</v>
      </c>
      <c r="H309" s="1" t="s">
        <v>91</v>
      </c>
      <c r="I309" s="2">
        <v>44671</v>
      </c>
      <c r="J309" s="3">
        <v>0.47847222222222219</v>
      </c>
      <c r="K309" s="1" t="s">
        <v>73</v>
      </c>
      <c r="L309" s="34">
        <v>44673</v>
      </c>
      <c r="M309" s="3">
        <v>0.90208333333333324</v>
      </c>
      <c r="N309" s="19" t="s">
        <v>671</v>
      </c>
      <c r="O309" s="21"/>
    </row>
    <row r="310" spans="1:15" customFormat="1" ht="28.8" hidden="1" x14ac:dyDescent="0.3">
      <c r="A310" s="47">
        <f t="shared" si="12"/>
        <v>2022</v>
      </c>
      <c r="B310" s="46">
        <f t="shared" si="13"/>
        <v>17</v>
      </c>
      <c r="C310" s="46">
        <f t="shared" si="14"/>
        <v>17</v>
      </c>
      <c r="D310" s="1"/>
      <c r="E310" s="1" t="s">
        <v>672</v>
      </c>
      <c r="F310" s="19" t="s">
        <v>562</v>
      </c>
      <c r="G310" s="1" t="s">
        <v>10</v>
      </c>
      <c r="H310" s="1" t="s">
        <v>91</v>
      </c>
      <c r="I310" s="2">
        <v>44671</v>
      </c>
      <c r="J310" s="3">
        <v>0.48333333333333334</v>
      </c>
      <c r="K310" s="1" t="s">
        <v>73</v>
      </c>
      <c r="L310" s="34">
        <v>44673</v>
      </c>
      <c r="M310" s="3">
        <v>0.90763888888888899</v>
      </c>
      <c r="N310" s="19" t="s">
        <v>673</v>
      </c>
      <c r="O310" s="21"/>
    </row>
    <row r="311" spans="1:15" customFormat="1" ht="28.8" hidden="1" x14ac:dyDescent="0.3">
      <c r="A311" s="47">
        <f t="shared" si="12"/>
        <v>2022</v>
      </c>
      <c r="B311" s="46">
        <f t="shared" si="13"/>
        <v>17</v>
      </c>
      <c r="C311" s="46">
        <f t="shared" si="14"/>
        <v>17</v>
      </c>
      <c r="D311" s="1"/>
      <c r="E311" s="1" t="s">
        <v>674</v>
      </c>
      <c r="F311" s="19" t="s">
        <v>562</v>
      </c>
      <c r="G311" s="1" t="s">
        <v>10</v>
      </c>
      <c r="H311" s="1" t="s">
        <v>91</v>
      </c>
      <c r="I311" s="2">
        <v>44671</v>
      </c>
      <c r="J311" s="3">
        <v>0.48680555555555555</v>
      </c>
      <c r="K311" s="1" t="s">
        <v>73</v>
      </c>
      <c r="L311" s="34">
        <v>44673</v>
      </c>
      <c r="M311" s="3">
        <v>0.91041666666666676</v>
      </c>
      <c r="N311" s="19" t="s">
        <v>675</v>
      </c>
      <c r="O311" s="21"/>
    </row>
    <row r="312" spans="1:15" customFormat="1" ht="115.2" hidden="1" x14ac:dyDescent="0.3">
      <c r="A312" s="47">
        <f t="shared" si="12"/>
        <v>2022</v>
      </c>
      <c r="B312" s="46">
        <f t="shared" si="13"/>
        <v>17</v>
      </c>
      <c r="C312" s="46">
        <f t="shared" si="14"/>
        <v>17</v>
      </c>
      <c r="D312" s="1"/>
      <c r="E312" s="1" t="s">
        <v>676</v>
      </c>
      <c r="F312" s="19" t="s">
        <v>562</v>
      </c>
      <c r="G312" s="1" t="s">
        <v>10</v>
      </c>
      <c r="H312" s="1" t="s">
        <v>91</v>
      </c>
      <c r="I312" s="2">
        <v>44671</v>
      </c>
      <c r="J312" s="3">
        <v>0.4916666666666667</v>
      </c>
      <c r="K312" s="1" t="s">
        <v>73</v>
      </c>
      <c r="L312" s="34">
        <v>44673</v>
      </c>
      <c r="M312" s="3">
        <v>0.94444444444444453</v>
      </c>
      <c r="N312" s="19" t="s">
        <v>677</v>
      </c>
      <c r="O312" s="21"/>
    </row>
    <row r="313" spans="1:15" customFormat="1" ht="43.2" hidden="1" x14ac:dyDescent="0.3">
      <c r="A313" s="47">
        <f t="shared" si="12"/>
        <v>2022</v>
      </c>
      <c r="B313" s="46">
        <f t="shared" si="13"/>
        <v>17</v>
      </c>
      <c r="C313" s="46">
        <f t="shared" si="14"/>
        <v>17</v>
      </c>
      <c r="D313" s="1"/>
      <c r="E313" s="1" t="s">
        <v>678</v>
      </c>
      <c r="F313" s="19" t="s">
        <v>562</v>
      </c>
      <c r="G313" s="1" t="s">
        <v>10</v>
      </c>
      <c r="H313" s="1" t="s">
        <v>91</v>
      </c>
      <c r="I313" s="2">
        <v>44671</v>
      </c>
      <c r="J313" s="3">
        <v>0.50972222222222219</v>
      </c>
      <c r="K313" s="1" t="s">
        <v>73</v>
      </c>
      <c r="L313" s="34">
        <v>44673</v>
      </c>
      <c r="M313" s="3">
        <v>0.95833333333333337</v>
      </c>
      <c r="N313" s="19" t="s">
        <v>679</v>
      </c>
      <c r="O313" s="21"/>
    </row>
    <row r="314" spans="1:15" customFormat="1" ht="43.2" hidden="1" x14ac:dyDescent="0.3">
      <c r="A314" s="47">
        <f t="shared" si="12"/>
        <v>2022</v>
      </c>
      <c r="B314" s="46">
        <f t="shared" si="13"/>
        <v>17</v>
      </c>
      <c r="C314" s="46">
        <f t="shared" si="14"/>
        <v>17</v>
      </c>
      <c r="D314" s="1"/>
      <c r="E314" s="1" t="s">
        <v>680</v>
      </c>
      <c r="F314" s="19" t="s">
        <v>562</v>
      </c>
      <c r="G314" s="1" t="s">
        <v>10</v>
      </c>
      <c r="H314" s="1" t="s">
        <v>91</v>
      </c>
      <c r="I314" s="2">
        <v>44671</v>
      </c>
      <c r="J314" s="3">
        <v>0.52430555555555558</v>
      </c>
      <c r="K314" s="1" t="s">
        <v>73</v>
      </c>
      <c r="L314" s="34">
        <v>44673</v>
      </c>
      <c r="M314" s="3">
        <v>0.96944444444444444</v>
      </c>
      <c r="N314" s="19" t="s">
        <v>681</v>
      </c>
      <c r="O314" s="21"/>
    </row>
    <row r="315" spans="1:15" customFormat="1" ht="28.8" hidden="1" x14ac:dyDescent="0.3">
      <c r="A315" s="47">
        <f t="shared" si="12"/>
        <v>2022</v>
      </c>
      <c r="B315" s="46">
        <f t="shared" si="13"/>
        <v>17</v>
      </c>
      <c r="C315" s="46">
        <f t="shared" si="14"/>
        <v>17</v>
      </c>
      <c r="D315" s="1"/>
      <c r="E315" s="1" t="s">
        <v>682</v>
      </c>
      <c r="F315" s="19" t="s">
        <v>562</v>
      </c>
      <c r="G315" s="1" t="s">
        <v>10</v>
      </c>
      <c r="H315" s="1" t="s">
        <v>91</v>
      </c>
      <c r="I315" s="2">
        <v>44673</v>
      </c>
      <c r="J315" s="3">
        <v>0.61111111111111105</v>
      </c>
      <c r="K315" s="1" t="s">
        <v>73</v>
      </c>
      <c r="L315" s="34">
        <v>44673</v>
      </c>
      <c r="M315" s="3">
        <v>0.98958333333333337</v>
      </c>
      <c r="N315" s="19" t="s">
        <v>683</v>
      </c>
      <c r="O315" s="21"/>
    </row>
    <row r="316" spans="1:15" customFormat="1" ht="28.8" hidden="1" x14ac:dyDescent="0.3">
      <c r="A316" s="47">
        <f t="shared" si="12"/>
        <v>2022</v>
      </c>
      <c r="B316" s="46">
        <f t="shared" si="13"/>
        <v>17</v>
      </c>
      <c r="C316" s="46">
        <f t="shared" si="14"/>
        <v>17</v>
      </c>
      <c r="D316" s="1"/>
      <c r="E316" s="1" t="s">
        <v>684</v>
      </c>
      <c r="F316" s="19" t="s">
        <v>562</v>
      </c>
      <c r="G316" s="1" t="s">
        <v>10</v>
      </c>
      <c r="H316" s="1" t="s">
        <v>91</v>
      </c>
      <c r="I316" s="2">
        <v>44673</v>
      </c>
      <c r="J316" s="3">
        <v>0.6118055555555556</v>
      </c>
      <c r="K316" s="1" t="s">
        <v>73</v>
      </c>
      <c r="L316" s="34">
        <v>44673</v>
      </c>
      <c r="M316" s="3">
        <v>0.99513888888888891</v>
      </c>
      <c r="N316" s="19" t="s">
        <v>685</v>
      </c>
      <c r="O316" s="21"/>
    </row>
    <row r="317" spans="1:15" customFormat="1" ht="28.8" hidden="1" x14ac:dyDescent="0.3">
      <c r="A317" s="47">
        <f t="shared" si="12"/>
        <v>2022</v>
      </c>
      <c r="B317" s="46">
        <f t="shared" si="13"/>
        <v>17</v>
      </c>
      <c r="C317" s="46">
        <f t="shared" si="14"/>
        <v>17</v>
      </c>
      <c r="D317" s="1"/>
      <c r="E317" s="1" t="s">
        <v>686</v>
      </c>
      <c r="F317" s="19" t="s">
        <v>636</v>
      </c>
      <c r="G317" s="1" t="s">
        <v>10</v>
      </c>
      <c r="H317" s="1" t="s">
        <v>91</v>
      </c>
      <c r="I317" s="2">
        <v>44673</v>
      </c>
      <c r="J317" s="3">
        <v>0.61805555555555558</v>
      </c>
      <c r="K317" s="1" t="s">
        <v>73</v>
      </c>
      <c r="L317" s="34">
        <v>44673</v>
      </c>
      <c r="M317" s="3">
        <v>0.99791666666666667</v>
      </c>
      <c r="N317" s="19" t="s">
        <v>687</v>
      </c>
      <c r="O317" s="21"/>
    </row>
    <row r="318" spans="1:15" customFormat="1" ht="28.8" hidden="1" x14ac:dyDescent="0.3">
      <c r="A318" s="47">
        <f t="shared" si="12"/>
        <v>2022</v>
      </c>
      <c r="B318" s="46">
        <f t="shared" si="13"/>
        <v>18</v>
      </c>
      <c r="C318" s="46">
        <f t="shared" si="14"/>
        <v>17</v>
      </c>
      <c r="D318" s="1"/>
      <c r="E318" s="1" t="s">
        <v>688</v>
      </c>
      <c r="F318" s="19" t="s">
        <v>689</v>
      </c>
      <c r="G318" s="1" t="s">
        <v>10</v>
      </c>
      <c r="H318" s="1" t="s">
        <v>91</v>
      </c>
      <c r="I318" s="2">
        <v>44676</v>
      </c>
      <c r="J318" s="3">
        <v>0.3756944444444445</v>
      </c>
      <c r="K318" s="1" t="s">
        <v>73</v>
      </c>
      <c r="L318" s="34">
        <v>44673</v>
      </c>
      <c r="M318" s="3">
        <v>0.7090277777777777</v>
      </c>
      <c r="N318" s="19" t="s">
        <v>690</v>
      </c>
      <c r="O318" s="21"/>
    </row>
    <row r="319" spans="1:15" customFormat="1" ht="28.8" hidden="1" x14ac:dyDescent="0.3">
      <c r="A319" s="47">
        <f t="shared" si="12"/>
        <v>2022</v>
      </c>
      <c r="B319" s="46">
        <f t="shared" si="13"/>
        <v>18</v>
      </c>
      <c r="C319" s="46">
        <f t="shared" si="14"/>
        <v>18</v>
      </c>
      <c r="D319" s="1"/>
      <c r="E319" s="1" t="s">
        <v>694</v>
      </c>
      <c r="F319" s="19" t="s">
        <v>691</v>
      </c>
      <c r="G319" s="1" t="s">
        <v>9</v>
      </c>
      <c r="H319" s="1" t="s">
        <v>91</v>
      </c>
      <c r="I319" s="2">
        <v>44677</v>
      </c>
      <c r="J319" s="3">
        <v>0.55763888888888891</v>
      </c>
      <c r="K319" s="1" t="s">
        <v>73</v>
      </c>
      <c r="L319" s="2">
        <v>44677</v>
      </c>
      <c r="M319" s="3">
        <v>0.63611111111111118</v>
      </c>
      <c r="N319" s="19" t="s">
        <v>692</v>
      </c>
      <c r="O319" s="21"/>
    </row>
    <row r="320" spans="1:15" customFormat="1" ht="28.8" hidden="1" x14ac:dyDescent="0.3">
      <c r="A320" s="47">
        <f t="shared" si="12"/>
        <v>2022</v>
      </c>
      <c r="B320" s="46">
        <f t="shared" si="13"/>
        <v>18</v>
      </c>
      <c r="C320" s="46">
        <f t="shared" si="14"/>
        <v>18</v>
      </c>
      <c r="D320" s="1"/>
      <c r="E320" s="1" t="s">
        <v>693</v>
      </c>
      <c r="F320" s="19" t="s">
        <v>691</v>
      </c>
      <c r="G320" s="1" t="s">
        <v>9</v>
      </c>
      <c r="H320" s="1" t="s">
        <v>91</v>
      </c>
      <c r="I320" s="2">
        <v>44677</v>
      </c>
      <c r="J320" s="3">
        <v>0.60069444444444442</v>
      </c>
      <c r="K320" s="1" t="s">
        <v>73</v>
      </c>
      <c r="L320" s="2">
        <v>44677</v>
      </c>
      <c r="M320" s="3">
        <v>0.65069444444444446</v>
      </c>
      <c r="N320" s="19" t="s">
        <v>692</v>
      </c>
      <c r="O320" s="21"/>
    </row>
    <row r="321" spans="1:15" customFormat="1" ht="72" hidden="1" x14ac:dyDescent="0.3">
      <c r="A321" s="47">
        <f t="shared" si="12"/>
        <v>2022</v>
      </c>
      <c r="B321" s="46">
        <f t="shared" si="13"/>
        <v>17</v>
      </c>
      <c r="C321" s="46">
        <f t="shared" si="14"/>
        <v>18</v>
      </c>
      <c r="D321" s="1"/>
      <c r="E321" s="1" t="s">
        <v>659</v>
      </c>
      <c r="F321" s="19" t="s">
        <v>698</v>
      </c>
      <c r="G321" s="1" t="s">
        <v>9</v>
      </c>
      <c r="H321" s="1" t="s">
        <v>661</v>
      </c>
      <c r="I321" s="2">
        <v>44671</v>
      </c>
      <c r="J321" s="3">
        <v>0.45347222222222222</v>
      </c>
      <c r="K321" s="1" t="s">
        <v>73</v>
      </c>
      <c r="L321" s="2">
        <v>44678</v>
      </c>
      <c r="M321" s="3">
        <v>0.54722222222222217</v>
      </c>
      <c r="N321" s="19" t="s">
        <v>699</v>
      </c>
      <c r="O321" s="21"/>
    </row>
    <row r="322" spans="1:15" customFormat="1" ht="72" hidden="1" x14ac:dyDescent="0.3">
      <c r="A322" s="47">
        <f t="shared" si="12"/>
        <v>2022</v>
      </c>
      <c r="B322" s="46">
        <f t="shared" si="13"/>
        <v>17</v>
      </c>
      <c r="C322" s="46">
        <f t="shared" si="14"/>
        <v>18</v>
      </c>
      <c r="D322" s="1"/>
      <c r="E322" s="1" t="s">
        <v>700</v>
      </c>
      <c r="F322" s="19" t="s">
        <v>511</v>
      </c>
      <c r="G322" s="1" t="s">
        <v>9</v>
      </c>
      <c r="H322" s="1" t="s">
        <v>661</v>
      </c>
      <c r="I322" s="2">
        <v>44671</v>
      </c>
      <c r="J322" s="3">
        <v>0.45902777777777781</v>
      </c>
      <c r="K322" s="1" t="s">
        <v>73</v>
      </c>
      <c r="L322" s="2">
        <v>44678</v>
      </c>
      <c r="M322" s="3">
        <v>0.5541666666666667</v>
      </c>
      <c r="N322" s="19" t="s">
        <v>699</v>
      </c>
      <c r="O322" s="21"/>
    </row>
    <row r="323" spans="1:15" customFormat="1" ht="72" hidden="1" x14ac:dyDescent="0.3">
      <c r="A323" s="47">
        <f t="shared" ref="A323:A386" si="15">YEAR(L323)</f>
        <v>2022</v>
      </c>
      <c r="B323" s="46">
        <f t="shared" ref="B323:B386" si="16">WEEKNUM(I323)</f>
        <v>17</v>
      </c>
      <c r="C323" s="46">
        <f t="shared" ref="C323:C386" si="17">WEEKNUM(L323)</f>
        <v>18</v>
      </c>
      <c r="D323" s="1"/>
      <c r="E323" s="1" t="s">
        <v>701</v>
      </c>
      <c r="F323" s="19" t="s">
        <v>562</v>
      </c>
      <c r="G323" s="1" t="s">
        <v>10</v>
      </c>
      <c r="H323" s="1" t="s">
        <v>91</v>
      </c>
      <c r="I323" s="2">
        <v>44671</v>
      </c>
      <c r="J323" s="3">
        <v>0.49027777777777781</v>
      </c>
      <c r="K323" s="1" t="s">
        <v>73</v>
      </c>
      <c r="L323" s="34">
        <v>44678</v>
      </c>
      <c r="M323" s="3">
        <v>0.55694444444444446</v>
      </c>
      <c r="N323" s="19" t="s">
        <v>699</v>
      </c>
      <c r="O323" s="21"/>
    </row>
    <row r="324" spans="1:15" customFormat="1" ht="72" hidden="1" x14ac:dyDescent="0.3">
      <c r="A324" s="47">
        <f t="shared" si="15"/>
        <v>2022</v>
      </c>
      <c r="B324" s="46">
        <f t="shared" si="16"/>
        <v>17</v>
      </c>
      <c r="C324" s="46">
        <f t="shared" si="17"/>
        <v>18</v>
      </c>
      <c r="D324" s="1"/>
      <c r="E324" s="1" t="s">
        <v>702</v>
      </c>
      <c r="F324" s="19" t="s">
        <v>562</v>
      </c>
      <c r="G324" s="1" t="s">
        <v>10</v>
      </c>
      <c r="H324" s="1" t="s">
        <v>91</v>
      </c>
      <c r="I324" s="2">
        <v>44671</v>
      </c>
      <c r="J324" s="3">
        <v>0.49374999999999997</v>
      </c>
      <c r="K324" s="1" t="s">
        <v>73</v>
      </c>
      <c r="L324" s="34">
        <v>44678</v>
      </c>
      <c r="M324" s="3">
        <v>0.55972222222222223</v>
      </c>
      <c r="N324" s="19" t="s">
        <v>699</v>
      </c>
      <c r="O324" s="21"/>
    </row>
    <row r="325" spans="1:15" customFormat="1" ht="72" hidden="1" x14ac:dyDescent="0.3">
      <c r="A325" s="47">
        <f t="shared" si="15"/>
        <v>2022</v>
      </c>
      <c r="B325" s="46">
        <f t="shared" si="16"/>
        <v>17</v>
      </c>
      <c r="C325" s="46">
        <f t="shared" si="17"/>
        <v>18</v>
      </c>
      <c r="D325" s="1"/>
      <c r="E325" s="1" t="s">
        <v>703</v>
      </c>
      <c r="F325" s="19" t="s">
        <v>704</v>
      </c>
      <c r="G325" s="1" t="s">
        <v>10</v>
      </c>
      <c r="H325" s="1" t="s">
        <v>91</v>
      </c>
      <c r="I325" s="2">
        <v>44671</v>
      </c>
      <c r="J325" s="3">
        <v>0.49791666666666662</v>
      </c>
      <c r="K325" s="1" t="s">
        <v>73</v>
      </c>
      <c r="L325" s="34">
        <v>44678</v>
      </c>
      <c r="M325" s="3">
        <v>0.56180555555555556</v>
      </c>
      <c r="N325" s="19" t="s">
        <v>699</v>
      </c>
      <c r="O325" s="21"/>
    </row>
    <row r="326" spans="1:15" customFormat="1" ht="72" hidden="1" x14ac:dyDescent="0.3">
      <c r="A326" s="47">
        <f t="shared" si="15"/>
        <v>2022</v>
      </c>
      <c r="B326" s="46">
        <f t="shared" si="16"/>
        <v>17</v>
      </c>
      <c r="C326" s="46">
        <f t="shared" si="17"/>
        <v>18</v>
      </c>
      <c r="D326" s="1"/>
      <c r="E326" s="1" t="s">
        <v>705</v>
      </c>
      <c r="F326" s="19" t="s">
        <v>562</v>
      </c>
      <c r="G326" s="1" t="s">
        <v>10</v>
      </c>
      <c r="H326" s="1" t="s">
        <v>91</v>
      </c>
      <c r="I326" s="2">
        <v>44671</v>
      </c>
      <c r="J326" s="3">
        <v>0.49722222222222223</v>
      </c>
      <c r="K326" s="1" t="s">
        <v>73</v>
      </c>
      <c r="L326" s="34">
        <v>44678</v>
      </c>
      <c r="M326" s="3">
        <v>0.56388888888888888</v>
      </c>
      <c r="N326" s="19" t="s">
        <v>699</v>
      </c>
      <c r="O326" s="21"/>
    </row>
    <row r="327" spans="1:15" customFormat="1" ht="72" hidden="1" x14ac:dyDescent="0.3">
      <c r="A327" s="47">
        <f t="shared" si="15"/>
        <v>2022</v>
      </c>
      <c r="B327" s="46">
        <f t="shared" si="16"/>
        <v>17</v>
      </c>
      <c r="C327" s="46">
        <f t="shared" si="17"/>
        <v>18</v>
      </c>
      <c r="D327" s="1"/>
      <c r="E327" s="1" t="s">
        <v>706</v>
      </c>
      <c r="F327" s="19" t="s">
        <v>562</v>
      </c>
      <c r="G327" s="1" t="s">
        <v>10</v>
      </c>
      <c r="H327" s="1" t="s">
        <v>91</v>
      </c>
      <c r="I327" s="2">
        <v>44671</v>
      </c>
      <c r="J327" s="3">
        <v>0.50138888888888888</v>
      </c>
      <c r="K327" s="1" t="s">
        <v>73</v>
      </c>
      <c r="L327" s="34">
        <v>44678</v>
      </c>
      <c r="M327" s="3">
        <v>0.59097222222222223</v>
      </c>
      <c r="N327" s="19" t="s">
        <v>699</v>
      </c>
      <c r="O327" s="21"/>
    </row>
    <row r="328" spans="1:15" customFormat="1" ht="72" hidden="1" x14ac:dyDescent="0.3">
      <c r="A328" s="47">
        <f t="shared" si="15"/>
        <v>2022</v>
      </c>
      <c r="B328" s="46">
        <f t="shared" si="16"/>
        <v>17</v>
      </c>
      <c r="C328" s="46">
        <f t="shared" si="17"/>
        <v>18</v>
      </c>
      <c r="D328" s="1"/>
      <c r="E328" s="1" t="s">
        <v>707</v>
      </c>
      <c r="F328" s="19" t="s">
        <v>562</v>
      </c>
      <c r="G328" s="1" t="s">
        <v>10</v>
      </c>
      <c r="H328" s="1" t="s">
        <v>91</v>
      </c>
      <c r="I328" s="2">
        <v>44671</v>
      </c>
      <c r="J328" s="3">
        <v>0.50277777777777777</v>
      </c>
      <c r="K328" s="1" t="s">
        <v>73</v>
      </c>
      <c r="L328" s="34">
        <v>44678</v>
      </c>
      <c r="M328" s="3">
        <v>0.59236111111111112</v>
      </c>
      <c r="N328" s="19" t="s">
        <v>699</v>
      </c>
      <c r="O328" s="21"/>
    </row>
    <row r="329" spans="1:15" customFormat="1" ht="72" hidden="1" x14ac:dyDescent="0.3">
      <c r="A329" s="47">
        <f t="shared" si="15"/>
        <v>2022</v>
      </c>
      <c r="B329" s="46">
        <f t="shared" si="16"/>
        <v>17</v>
      </c>
      <c r="C329" s="46">
        <f t="shared" si="17"/>
        <v>18</v>
      </c>
      <c r="D329" s="1"/>
      <c r="E329" s="1" t="s">
        <v>708</v>
      </c>
      <c r="F329" s="19" t="s">
        <v>562</v>
      </c>
      <c r="G329" s="1" t="s">
        <v>10</v>
      </c>
      <c r="H329" s="1" t="s">
        <v>91</v>
      </c>
      <c r="I329" s="2">
        <v>44671</v>
      </c>
      <c r="J329" s="3">
        <v>0.50486111111111109</v>
      </c>
      <c r="K329" s="1" t="s">
        <v>73</v>
      </c>
      <c r="L329" s="34">
        <v>44678</v>
      </c>
      <c r="M329" s="3">
        <v>0.59375</v>
      </c>
      <c r="N329" s="19" t="s">
        <v>699</v>
      </c>
      <c r="O329" s="21"/>
    </row>
    <row r="330" spans="1:15" customFormat="1" ht="72" hidden="1" x14ac:dyDescent="0.3">
      <c r="A330" s="47">
        <f t="shared" si="15"/>
        <v>2022</v>
      </c>
      <c r="B330" s="46">
        <f t="shared" si="16"/>
        <v>17</v>
      </c>
      <c r="C330" s="46">
        <f t="shared" si="17"/>
        <v>18</v>
      </c>
      <c r="D330" s="1"/>
      <c r="E330" s="1" t="s">
        <v>709</v>
      </c>
      <c r="F330" s="19" t="s">
        <v>562</v>
      </c>
      <c r="G330" s="1" t="s">
        <v>10</v>
      </c>
      <c r="H330" s="1" t="s">
        <v>91</v>
      </c>
      <c r="I330" s="2">
        <v>44671</v>
      </c>
      <c r="J330" s="3">
        <v>0.50624999999999998</v>
      </c>
      <c r="K330" s="1" t="s">
        <v>73</v>
      </c>
      <c r="L330" s="34">
        <v>44678</v>
      </c>
      <c r="M330" s="3">
        <v>0.59513888888888888</v>
      </c>
      <c r="N330" s="19" t="s">
        <v>699</v>
      </c>
      <c r="O330" s="21"/>
    </row>
    <row r="331" spans="1:15" customFormat="1" ht="72" hidden="1" x14ac:dyDescent="0.3">
      <c r="A331" s="47">
        <f t="shared" si="15"/>
        <v>2022</v>
      </c>
      <c r="B331" s="46">
        <f t="shared" si="16"/>
        <v>17</v>
      </c>
      <c r="C331" s="46">
        <f t="shared" si="17"/>
        <v>18</v>
      </c>
      <c r="D331" s="1"/>
      <c r="E331" s="1" t="s">
        <v>710</v>
      </c>
      <c r="F331" s="19" t="s">
        <v>562</v>
      </c>
      <c r="G331" s="1" t="s">
        <v>10</v>
      </c>
      <c r="H331" s="1" t="s">
        <v>91</v>
      </c>
      <c r="I331" s="2">
        <v>44671</v>
      </c>
      <c r="J331" s="3">
        <v>0.5131944444444444</v>
      </c>
      <c r="K331" s="1" t="s">
        <v>73</v>
      </c>
      <c r="L331" s="34">
        <v>44678</v>
      </c>
      <c r="M331" s="3">
        <v>0.59652777777777777</v>
      </c>
      <c r="N331" s="19" t="s">
        <v>699</v>
      </c>
      <c r="O331" s="21"/>
    </row>
    <row r="332" spans="1:15" customFormat="1" ht="72" hidden="1" x14ac:dyDescent="0.3">
      <c r="A332" s="47">
        <f t="shared" si="15"/>
        <v>2022</v>
      </c>
      <c r="B332" s="46">
        <f t="shared" si="16"/>
        <v>17</v>
      </c>
      <c r="C332" s="46">
        <f t="shared" si="17"/>
        <v>18</v>
      </c>
      <c r="D332" s="1"/>
      <c r="E332" s="1" t="s">
        <v>711</v>
      </c>
      <c r="F332" s="19" t="s">
        <v>562</v>
      </c>
      <c r="G332" s="1" t="s">
        <v>10</v>
      </c>
      <c r="H332" s="1" t="s">
        <v>91</v>
      </c>
      <c r="I332" s="2">
        <v>44671</v>
      </c>
      <c r="J332" s="3">
        <v>0.51666666666666672</v>
      </c>
      <c r="K332" s="1" t="s">
        <v>73</v>
      </c>
      <c r="L332" s="34">
        <v>44678</v>
      </c>
      <c r="M332" s="3">
        <v>0.60277777777777775</v>
      </c>
      <c r="N332" s="19" t="s">
        <v>699</v>
      </c>
      <c r="O332" s="21"/>
    </row>
    <row r="333" spans="1:15" customFormat="1" ht="72" hidden="1" x14ac:dyDescent="0.3">
      <c r="A333" s="47">
        <f t="shared" si="15"/>
        <v>2022</v>
      </c>
      <c r="B333" s="46">
        <f t="shared" si="16"/>
        <v>17</v>
      </c>
      <c r="C333" s="46">
        <f t="shared" si="17"/>
        <v>18</v>
      </c>
      <c r="D333" s="1"/>
      <c r="E333" s="1" t="s">
        <v>712</v>
      </c>
      <c r="F333" s="19" t="s">
        <v>713</v>
      </c>
      <c r="G333" s="1" t="s">
        <v>10</v>
      </c>
      <c r="H333" s="1" t="s">
        <v>91</v>
      </c>
      <c r="I333" s="2">
        <v>44673</v>
      </c>
      <c r="J333" s="3">
        <v>0.61041666666666672</v>
      </c>
      <c r="K333" s="1" t="s">
        <v>73</v>
      </c>
      <c r="L333" s="34">
        <v>44678</v>
      </c>
      <c r="M333" s="3">
        <v>0.60902777777777783</v>
      </c>
      <c r="N333" s="19" t="s">
        <v>699</v>
      </c>
      <c r="O333" s="21"/>
    </row>
    <row r="334" spans="1:15" customFormat="1" ht="72" hidden="1" x14ac:dyDescent="0.3">
      <c r="A334" s="47">
        <f t="shared" si="15"/>
        <v>2022</v>
      </c>
      <c r="B334" s="46">
        <f t="shared" si="16"/>
        <v>17</v>
      </c>
      <c r="C334" s="46">
        <f t="shared" si="17"/>
        <v>18</v>
      </c>
      <c r="D334" s="1"/>
      <c r="E334" s="1" t="s">
        <v>714</v>
      </c>
      <c r="F334" s="19" t="s">
        <v>715</v>
      </c>
      <c r="G334" s="1" t="s">
        <v>10</v>
      </c>
      <c r="H334" s="1" t="s">
        <v>91</v>
      </c>
      <c r="I334" s="2">
        <v>44673</v>
      </c>
      <c r="J334" s="3">
        <v>0.6118055555555556</v>
      </c>
      <c r="K334" s="1" t="s">
        <v>73</v>
      </c>
      <c r="L334" s="34">
        <v>44678</v>
      </c>
      <c r="M334" s="3">
        <v>0.6118055555555556</v>
      </c>
      <c r="N334" s="19" t="s">
        <v>699</v>
      </c>
      <c r="O334" s="21"/>
    </row>
    <row r="335" spans="1:15" customFormat="1" ht="72" hidden="1" x14ac:dyDescent="0.3">
      <c r="A335" s="47">
        <f t="shared" si="15"/>
        <v>2022</v>
      </c>
      <c r="B335" s="46">
        <f t="shared" si="16"/>
        <v>17</v>
      </c>
      <c r="C335" s="46">
        <f t="shared" si="17"/>
        <v>18</v>
      </c>
      <c r="D335" s="1"/>
      <c r="E335" s="1" t="s">
        <v>716</v>
      </c>
      <c r="F335" s="19" t="s">
        <v>713</v>
      </c>
      <c r="G335" s="1" t="s">
        <v>10</v>
      </c>
      <c r="H335" s="1" t="s">
        <v>91</v>
      </c>
      <c r="I335" s="2">
        <v>44673</v>
      </c>
      <c r="J335" s="3">
        <v>0.61527777777777781</v>
      </c>
      <c r="K335" s="1" t="s">
        <v>73</v>
      </c>
      <c r="L335" s="34">
        <v>44678</v>
      </c>
      <c r="M335" s="3">
        <v>0.61319444444444449</v>
      </c>
      <c r="N335" s="19" t="s">
        <v>699</v>
      </c>
      <c r="O335" s="21"/>
    </row>
    <row r="336" spans="1:15" customFormat="1" ht="72" hidden="1" x14ac:dyDescent="0.3">
      <c r="A336" s="47">
        <f t="shared" si="15"/>
        <v>2022</v>
      </c>
      <c r="B336" s="46">
        <f t="shared" si="16"/>
        <v>17</v>
      </c>
      <c r="C336" s="46">
        <f t="shared" si="17"/>
        <v>18</v>
      </c>
      <c r="D336" s="1"/>
      <c r="E336" s="1" t="s">
        <v>717</v>
      </c>
      <c r="F336" s="19" t="s">
        <v>636</v>
      </c>
      <c r="G336" s="1" t="s">
        <v>10</v>
      </c>
      <c r="H336" s="1" t="s">
        <v>91</v>
      </c>
      <c r="I336" s="2">
        <v>44673</v>
      </c>
      <c r="J336" s="3">
        <v>0.62083333333333335</v>
      </c>
      <c r="K336" s="1" t="s">
        <v>73</v>
      </c>
      <c r="L336" s="34">
        <v>44678</v>
      </c>
      <c r="M336" s="3">
        <v>0.61527777777777781</v>
      </c>
      <c r="N336" s="19" t="s">
        <v>699</v>
      </c>
      <c r="O336" s="21"/>
    </row>
    <row r="337" spans="1:15" customFormat="1" ht="115.2" hidden="1" x14ac:dyDescent="0.3">
      <c r="A337" s="47">
        <f t="shared" si="15"/>
        <v>2022</v>
      </c>
      <c r="B337" s="46">
        <f t="shared" si="16"/>
        <v>17</v>
      </c>
      <c r="C337" s="46">
        <f t="shared" si="17"/>
        <v>18</v>
      </c>
      <c r="D337" s="1"/>
      <c r="E337" s="1" t="s">
        <v>718</v>
      </c>
      <c r="F337" s="19" t="s">
        <v>636</v>
      </c>
      <c r="G337" s="1" t="s">
        <v>10</v>
      </c>
      <c r="H337" s="1" t="s">
        <v>91</v>
      </c>
      <c r="I337" s="2">
        <v>44673</v>
      </c>
      <c r="J337" s="3">
        <v>0.62430555555555556</v>
      </c>
      <c r="K337" s="1" t="s">
        <v>73</v>
      </c>
      <c r="L337" s="34">
        <v>44679</v>
      </c>
      <c r="M337" s="3">
        <v>0.4055555555555555</v>
      </c>
      <c r="N337" s="19" t="s">
        <v>677</v>
      </c>
      <c r="O337" s="21"/>
    </row>
    <row r="338" spans="1:15" customFormat="1" ht="28.8" hidden="1" x14ac:dyDescent="0.3">
      <c r="A338" s="47">
        <f t="shared" si="15"/>
        <v>2022</v>
      </c>
      <c r="B338" s="46">
        <f t="shared" si="16"/>
        <v>17</v>
      </c>
      <c r="C338" s="46">
        <f t="shared" si="17"/>
        <v>18</v>
      </c>
      <c r="D338" s="1"/>
      <c r="E338" s="1" t="s">
        <v>719</v>
      </c>
      <c r="F338" s="19" t="s">
        <v>636</v>
      </c>
      <c r="G338" s="1" t="s">
        <v>10</v>
      </c>
      <c r="H338" s="1" t="s">
        <v>91</v>
      </c>
      <c r="I338" s="2">
        <v>44673</v>
      </c>
      <c r="J338" s="3">
        <v>0.66388888888888886</v>
      </c>
      <c r="K338" s="1" t="s">
        <v>73</v>
      </c>
      <c r="L338" s="34">
        <v>44679</v>
      </c>
      <c r="M338" s="3">
        <v>0.41180555555555554</v>
      </c>
      <c r="N338" s="19" t="s">
        <v>720</v>
      </c>
      <c r="O338" s="21"/>
    </row>
    <row r="339" spans="1:15" customFormat="1" ht="72" hidden="1" x14ac:dyDescent="0.3">
      <c r="A339" s="47">
        <f t="shared" si="15"/>
        <v>2022</v>
      </c>
      <c r="B339" s="46">
        <f t="shared" si="16"/>
        <v>17</v>
      </c>
      <c r="C339" s="46">
        <f t="shared" si="17"/>
        <v>18</v>
      </c>
      <c r="D339" s="1"/>
      <c r="E339" s="1" t="s">
        <v>721</v>
      </c>
      <c r="F339" s="19" t="s">
        <v>636</v>
      </c>
      <c r="G339" s="1" t="s">
        <v>10</v>
      </c>
      <c r="H339" s="1" t="s">
        <v>91</v>
      </c>
      <c r="I339" s="2">
        <v>44673</v>
      </c>
      <c r="J339" s="3">
        <v>0.64652777777777781</v>
      </c>
      <c r="K339" s="1" t="s">
        <v>73</v>
      </c>
      <c r="L339" s="34">
        <v>44679</v>
      </c>
      <c r="M339" s="3">
        <v>0.4145833333333333</v>
      </c>
      <c r="N339" s="19" t="s">
        <v>722</v>
      </c>
      <c r="O339" s="21"/>
    </row>
    <row r="340" spans="1:15" customFormat="1" ht="72" hidden="1" x14ac:dyDescent="0.3">
      <c r="A340" s="47">
        <f t="shared" si="15"/>
        <v>2022</v>
      </c>
      <c r="B340" s="46">
        <f t="shared" si="16"/>
        <v>17</v>
      </c>
      <c r="C340" s="46">
        <f t="shared" si="17"/>
        <v>18</v>
      </c>
      <c r="D340" s="1"/>
      <c r="E340" s="1" t="s">
        <v>723</v>
      </c>
      <c r="F340" s="19" t="s">
        <v>724</v>
      </c>
      <c r="G340" s="1" t="s">
        <v>10</v>
      </c>
      <c r="H340" s="1" t="s">
        <v>91</v>
      </c>
      <c r="I340" s="2">
        <v>44673</v>
      </c>
      <c r="J340" s="3">
        <v>0.64722222222222225</v>
      </c>
      <c r="K340" s="1" t="s">
        <v>73</v>
      </c>
      <c r="L340" s="34">
        <v>44679</v>
      </c>
      <c r="M340" s="3">
        <v>0.41736111111111113</v>
      </c>
      <c r="N340" s="19" t="s">
        <v>722</v>
      </c>
      <c r="O340" s="21"/>
    </row>
    <row r="341" spans="1:15" customFormat="1" ht="72" hidden="1" x14ac:dyDescent="0.3">
      <c r="A341" s="47">
        <f t="shared" si="15"/>
        <v>2022</v>
      </c>
      <c r="B341" s="46">
        <f t="shared" si="16"/>
        <v>17</v>
      </c>
      <c r="C341" s="46">
        <f t="shared" si="17"/>
        <v>18</v>
      </c>
      <c r="D341" s="1"/>
      <c r="E341" s="1" t="s">
        <v>725</v>
      </c>
      <c r="F341" s="19" t="s">
        <v>689</v>
      </c>
      <c r="G341" s="1" t="s">
        <v>10</v>
      </c>
      <c r="H341" s="1" t="s">
        <v>91</v>
      </c>
      <c r="I341" s="2">
        <v>44673</v>
      </c>
      <c r="J341" s="3">
        <v>0.6479166666666667</v>
      </c>
      <c r="K341" s="1" t="s">
        <v>73</v>
      </c>
      <c r="L341" s="34">
        <v>44679</v>
      </c>
      <c r="M341" s="3">
        <v>0.41805555555555557</v>
      </c>
      <c r="N341" s="19" t="s">
        <v>722</v>
      </c>
      <c r="O341" s="21"/>
    </row>
    <row r="342" spans="1:15" customFormat="1" ht="43.2" hidden="1" x14ac:dyDescent="0.3">
      <c r="A342" s="47">
        <f t="shared" si="15"/>
        <v>2022</v>
      </c>
      <c r="B342" s="46">
        <f t="shared" si="16"/>
        <v>18</v>
      </c>
      <c r="C342" s="46">
        <f t="shared" si="17"/>
        <v>19</v>
      </c>
      <c r="D342" s="1"/>
      <c r="E342" s="1" t="s">
        <v>727</v>
      </c>
      <c r="F342" s="19" t="s">
        <v>728</v>
      </c>
      <c r="G342" s="1" t="s">
        <v>9</v>
      </c>
      <c r="H342" s="1" t="s">
        <v>91</v>
      </c>
      <c r="I342" s="2">
        <v>44679</v>
      </c>
      <c r="J342" s="3">
        <v>0.69305555555555554</v>
      </c>
      <c r="K342" s="1" t="s">
        <v>73</v>
      </c>
      <c r="L342" s="34">
        <v>44683</v>
      </c>
      <c r="M342" s="3">
        <v>0.39097222222222222</v>
      </c>
      <c r="N342" s="19" t="s">
        <v>752</v>
      </c>
      <c r="O342" s="21"/>
    </row>
    <row r="343" spans="1:15" customFormat="1" ht="86.4" hidden="1" x14ac:dyDescent="0.3">
      <c r="A343" s="47">
        <f t="shared" si="15"/>
        <v>2022</v>
      </c>
      <c r="B343" s="46">
        <f t="shared" si="16"/>
        <v>18</v>
      </c>
      <c r="C343" s="46">
        <f t="shared" si="17"/>
        <v>19</v>
      </c>
      <c r="D343" s="1"/>
      <c r="E343" s="38" t="s">
        <v>729</v>
      </c>
      <c r="F343" s="19" t="s">
        <v>730</v>
      </c>
      <c r="G343" s="1" t="s">
        <v>10</v>
      </c>
      <c r="H343" s="1" t="s">
        <v>91</v>
      </c>
      <c r="I343" s="2">
        <v>44679</v>
      </c>
      <c r="J343" s="3">
        <v>0.71875</v>
      </c>
      <c r="K343" s="1" t="s">
        <v>73</v>
      </c>
      <c r="L343" s="34">
        <v>44683</v>
      </c>
      <c r="M343" s="6">
        <v>0.47638888888888892</v>
      </c>
      <c r="N343" s="19" t="s">
        <v>731</v>
      </c>
      <c r="O343" s="21"/>
    </row>
    <row r="344" spans="1:15" customFormat="1" ht="28.8" hidden="1" x14ac:dyDescent="0.3">
      <c r="A344" s="47">
        <f t="shared" si="15"/>
        <v>2022</v>
      </c>
      <c r="B344" s="46">
        <f t="shared" si="16"/>
        <v>19</v>
      </c>
      <c r="C344" s="46">
        <f t="shared" si="17"/>
        <v>19</v>
      </c>
      <c r="D344" s="1"/>
      <c r="E344" s="1" t="s">
        <v>732</v>
      </c>
      <c r="F344" s="19" t="s">
        <v>733</v>
      </c>
      <c r="G344" s="1" t="s">
        <v>10</v>
      </c>
      <c r="H344" s="1" t="s">
        <v>91</v>
      </c>
      <c r="I344" s="2">
        <v>44685</v>
      </c>
      <c r="J344" s="3">
        <v>0.37152777777777773</v>
      </c>
      <c r="K344" s="1" t="s">
        <v>73</v>
      </c>
      <c r="L344" s="34">
        <v>44685</v>
      </c>
      <c r="M344" s="3">
        <v>0.40138888888888885</v>
      </c>
      <c r="N344" s="19" t="s">
        <v>734</v>
      </c>
      <c r="O344" s="21"/>
    </row>
    <row r="345" spans="1:15" customFormat="1" ht="86.4" hidden="1" x14ac:dyDescent="0.3">
      <c r="A345" s="47">
        <f t="shared" si="15"/>
        <v>2022</v>
      </c>
      <c r="B345" s="46">
        <f t="shared" si="16"/>
        <v>19</v>
      </c>
      <c r="C345" s="46">
        <f t="shared" si="17"/>
        <v>19</v>
      </c>
      <c r="D345" s="1"/>
      <c r="E345" s="1" t="s">
        <v>735</v>
      </c>
      <c r="F345" s="19" t="s">
        <v>736</v>
      </c>
      <c r="G345" s="1" t="s">
        <v>10</v>
      </c>
      <c r="H345" s="1" t="s">
        <v>91</v>
      </c>
      <c r="I345" s="2">
        <v>44685</v>
      </c>
      <c r="J345" s="3">
        <v>0.37708333333333338</v>
      </c>
      <c r="K345" s="1" t="s">
        <v>73</v>
      </c>
      <c r="L345" s="34">
        <v>44685</v>
      </c>
      <c r="M345" s="3">
        <v>0.49791666666666662</v>
      </c>
      <c r="N345" s="19" t="s">
        <v>737</v>
      </c>
      <c r="O345" s="21"/>
    </row>
    <row r="346" spans="1:15" customFormat="1" ht="129.6" hidden="1" x14ac:dyDescent="0.3">
      <c r="A346" s="47">
        <f t="shared" si="15"/>
        <v>2022</v>
      </c>
      <c r="B346" s="46">
        <f t="shared" si="16"/>
        <v>19</v>
      </c>
      <c r="C346" s="46">
        <f t="shared" si="17"/>
        <v>19</v>
      </c>
      <c r="D346" s="1"/>
      <c r="E346" s="1" t="s">
        <v>739</v>
      </c>
      <c r="F346" s="19" t="s">
        <v>740</v>
      </c>
      <c r="G346" s="1" t="s">
        <v>10</v>
      </c>
      <c r="H346" s="1" t="s">
        <v>91</v>
      </c>
      <c r="I346" s="2">
        <v>44686</v>
      </c>
      <c r="J346" s="3">
        <v>0.38194444444444442</v>
      </c>
      <c r="K346" s="1" t="s">
        <v>73</v>
      </c>
      <c r="L346" s="2">
        <v>44688</v>
      </c>
      <c r="M346" s="1"/>
      <c r="N346" s="19" t="s">
        <v>749</v>
      </c>
      <c r="O346" s="21"/>
    </row>
    <row r="347" spans="1:15" customFormat="1" ht="86.4" hidden="1" x14ac:dyDescent="0.3">
      <c r="A347" s="47">
        <f t="shared" si="15"/>
        <v>2022</v>
      </c>
      <c r="B347" s="46">
        <f t="shared" si="16"/>
        <v>19</v>
      </c>
      <c r="C347" s="46">
        <f t="shared" si="17"/>
        <v>19</v>
      </c>
      <c r="D347" s="1"/>
      <c r="E347" s="1" t="s">
        <v>741</v>
      </c>
      <c r="F347" s="19" t="s">
        <v>740</v>
      </c>
      <c r="G347" s="1" t="s">
        <v>10</v>
      </c>
      <c r="H347" s="1" t="s">
        <v>91</v>
      </c>
      <c r="I347" s="2">
        <v>44686</v>
      </c>
      <c r="J347" s="3">
        <v>0.3840277777777778</v>
      </c>
      <c r="K347" s="1" t="s">
        <v>73</v>
      </c>
      <c r="L347" s="2">
        <v>44688</v>
      </c>
      <c r="M347" s="3">
        <v>0.3923611111111111</v>
      </c>
      <c r="N347" s="19" t="s">
        <v>742</v>
      </c>
      <c r="O347" s="21"/>
    </row>
    <row r="348" spans="1:15" customFormat="1" ht="100.8" hidden="1" x14ac:dyDescent="0.3">
      <c r="A348" s="47">
        <f t="shared" si="15"/>
        <v>2022</v>
      </c>
      <c r="B348" s="46">
        <f t="shared" si="16"/>
        <v>19</v>
      </c>
      <c r="C348" s="46">
        <f t="shared" si="17"/>
        <v>19</v>
      </c>
      <c r="D348" s="1"/>
      <c r="E348" s="1" t="s">
        <v>743</v>
      </c>
      <c r="F348" s="19" t="s">
        <v>740</v>
      </c>
      <c r="G348" s="1" t="s">
        <v>10</v>
      </c>
      <c r="H348" s="1" t="s">
        <v>91</v>
      </c>
      <c r="I348" s="2">
        <v>44686</v>
      </c>
      <c r="J348" s="3">
        <v>0.3840277777777778</v>
      </c>
      <c r="K348" s="1" t="s">
        <v>73</v>
      </c>
      <c r="L348" s="2">
        <v>44688</v>
      </c>
      <c r="M348" s="3">
        <v>0.39444444444444443</v>
      </c>
      <c r="N348" s="19" t="s">
        <v>744</v>
      </c>
      <c r="O348" s="21"/>
    </row>
    <row r="349" spans="1:15" customFormat="1" hidden="1" x14ac:dyDescent="0.3">
      <c r="A349" s="47">
        <f t="shared" si="15"/>
        <v>2022</v>
      </c>
      <c r="B349" s="46">
        <f t="shared" si="16"/>
        <v>19</v>
      </c>
      <c r="C349" s="46">
        <f t="shared" si="17"/>
        <v>19</v>
      </c>
      <c r="D349" s="1"/>
      <c r="E349" s="1" t="s">
        <v>745</v>
      </c>
      <c r="F349" s="19" t="s">
        <v>746</v>
      </c>
      <c r="G349" s="1" t="s">
        <v>9</v>
      </c>
      <c r="H349" s="1" t="s">
        <v>91</v>
      </c>
      <c r="I349" s="2">
        <v>44687</v>
      </c>
      <c r="J349" s="3">
        <v>0.70138888888888884</v>
      </c>
      <c r="K349" s="1" t="s">
        <v>73</v>
      </c>
      <c r="L349" s="2">
        <v>44688</v>
      </c>
      <c r="M349" s="3">
        <v>0.41041666666666665</v>
      </c>
      <c r="N349" s="19" t="s">
        <v>538</v>
      </c>
      <c r="O349" s="21"/>
    </row>
    <row r="350" spans="1:15" customFormat="1" ht="28.8" hidden="1" x14ac:dyDescent="0.3">
      <c r="A350" s="47">
        <f t="shared" si="15"/>
        <v>2022</v>
      </c>
      <c r="B350" s="46">
        <f t="shared" si="16"/>
        <v>19</v>
      </c>
      <c r="C350" s="46">
        <f t="shared" si="17"/>
        <v>19</v>
      </c>
      <c r="D350" s="1"/>
      <c r="E350" s="1" t="s">
        <v>747</v>
      </c>
      <c r="F350" s="19" t="s">
        <v>746</v>
      </c>
      <c r="G350" s="1" t="s">
        <v>9</v>
      </c>
      <c r="H350" s="1" t="s">
        <v>91</v>
      </c>
      <c r="I350" s="2">
        <v>44687</v>
      </c>
      <c r="J350" s="3">
        <v>0.70347222222222217</v>
      </c>
      <c r="K350" s="1" t="s">
        <v>73</v>
      </c>
      <c r="L350" s="2">
        <v>44688</v>
      </c>
      <c r="M350" s="3">
        <v>0.41736111111111113</v>
      </c>
      <c r="N350" s="19" t="s">
        <v>748</v>
      </c>
      <c r="O350" s="21"/>
    </row>
    <row r="351" spans="1:15" customFormat="1" ht="57.6" hidden="1" x14ac:dyDescent="0.3">
      <c r="A351" s="47">
        <f t="shared" si="15"/>
        <v>2022</v>
      </c>
      <c r="B351" s="46">
        <f t="shared" si="16"/>
        <v>20</v>
      </c>
      <c r="C351" s="46">
        <f t="shared" si="17"/>
        <v>20</v>
      </c>
      <c r="D351" s="1"/>
      <c r="E351" s="38" t="s">
        <v>750</v>
      </c>
      <c r="F351" s="19" t="s">
        <v>751</v>
      </c>
      <c r="G351" s="1" t="s">
        <v>10</v>
      </c>
      <c r="H351" s="1" t="s">
        <v>91</v>
      </c>
      <c r="I351" s="2">
        <v>44691</v>
      </c>
      <c r="J351" s="3">
        <v>0.36041666666666666</v>
      </c>
      <c r="K351" s="1" t="s">
        <v>73</v>
      </c>
      <c r="L351" s="2">
        <v>44692</v>
      </c>
      <c r="M351" s="3">
        <v>0.45416666666666666</v>
      </c>
      <c r="N351" s="19" t="s">
        <v>753</v>
      </c>
      <c r="O351" s="21"/>
    </row>
    <row r="352" spans="1:15" customFormat="1" ht="144" hidden="1" x14ac:dyDescent="0.3">
      <c r="A352" s="47" t="e">
        <f t="shared" si="15"/>
        <v>#VALUE!</v>
      </c>
      <c r="B352" s="46">
        <f t="shared" si="16"/>
        <v>20</v>
      </c>
      <c r="C352" s="46" t="e">
        <f t="shared" si="17"/>
        <v>#VALUE!</v>
      </c>
      <c r="D352" s="1"/>
      <c r="E352" s="1" t="s">
        <v>754</v>
      </c>
      <c r="F352" s="19" t="s">
        <v>756</v>
      </c>
      <c r="G352" s="1" t="s">
        <v>10</v>
      </c>
      <c r="H352" s="1" t="s">
        <v>91</v>
      </c>
      <c r="I352" s="2">
        <v>44691</v>
      </c>
      <c r="J352" s="3">
        <v>0.36805555555555558</v>
      </c>
      <c r="K352" s="1" t="s">
        <v>73</v>
      </c>
      <c r="L352" s="34" t="s">
        <v>767</v>
      </c>
      <c r="M352" s="3">
        <v>0.65277777777777779</v>
      </c>
      <c r="N352" s="19" t="s">
        <v>768</v>
      </c>
      <c r="O352" s="21"/>
    </row>
    <row r="353" spans="1:15" customFormat="1" ht="72" hidden="1" x14ac:dyDescent="0.3">
      <c r="A353" s="47">
        <f t="shared" si="15"/>
        <v>2022</v>
      </c>
      <c r="B353" s="46">
        <f t="shared" si="16"/>
        <v>20</v>
      </c>
      <c r="C353" s="46">
        <f t="shared" si="17"/>
        <v>20</v>
      </c>
      <c r="D353" s="1"/>
      <c r="E353" s="1" t="s">
        <v>755</v>
      </c>
      <c r="F353" s="19" t="s">
        <v>757</v>
      </c>
      <c r="G353" s="1" t="s">
        <v>9</v>
      </c>
      <c r="H353" s="1" t="s">
        <v>91</v>
      </c>
      <c r="I353" s="2">
        <v>44691</v>
      </c>
      <c r="J353" s="3">
        <v>0.36805555555555558</v>
      </c>
      <c r="K353" s="1" t="s">
        <v>73</v>
      </c>
      <c r="L353" s="2">
        <v>44692</v>
      </c>
      <c r="M353" s="3">
        <v>0.69027777777777777</v>
      </c>
      <c r="N353" s="19" t="s">
        <v>758</v>
      </c>
      <c r="O353" s="21"/>
    </row>
    <row r="354" spans="1:15" customFormat="1" ht="57.6" hidden="1" x14ac:dyDescent="0.3">
      <c r="A354" s="47">
        <f t="shared" si="15"/>
        <v>2022</v>
      </c>
      <c r="B354" s="46">
        <f t="shared" si="16"/>
        <v>20</v>
      </c>
      <c r="C354" s="46">
        <f t="shared" si="17"/>
        <v>20</v>
      </c>
      <c r="D354" s="1"/>
      <c r="E354" s="1" t="s">
        <v>759</v>
      </c>
      <c r="F354" s="19" t="s">
        <v>760</v>
      </c>
      <c r="G354" s="1" t="s">
        <v>10</v>
      </c>
      <c r="H354" s="1" t="s">
        <v>91</v>
      </c>
      <c r="I354" s="2">
        <v>44691</v>
      </c>
      <c r="J354" s="3">
        <v>0.36805555555555558</v>
      </c>
      <c r="K354" s="1" t="s">
        <v>73</v>
      </c>
      <c r="L354" s="2">
        <v>44692</v>
      </c>
      <c r="M354" s="3">
        <v>0.71388888888888891</v>
      </c>
      <c r="N354" s="19" t="s">
        <v>761</v>
      </c>
      <c r="O354" s="21"/>
    </row>
    <row r="355" spans="1:15" customFormat="1" ht="57.6" hidden="1" x14ac:dyDescent="0.3">
      <c r="A355" s="47">
        <f t="shared" si="15"/>
        <v>2022</v>
      </c>
      <c r="B355" s="46">
        <f t="shared" si="16"/>
        <v>20</v>
      </c>
      <c r="C355" s="46">
        <f t="shared" si="17"/>
        <v>20</v>
      </c>
      <c r="D355" s="1"/>
      <c r="E355" s="1" t="s">
        <v>762</v>
      </c>
      <c r="F355" s="19" t="s">
        <v>763</v>
      </c>
      <c r="G355" s="1" t="s">
        <v>10</v>
      </c>
      <c r="H355" s="1" t="s">
        <v>91</v>
      </c>
      <c r="I355" s="2">
        <v>44692</v>
      </c>
      <c r="J355" s="3">
        <v>0.38125000000000003</v>
      </c>
      <c r="K355" s="1" t="s">
        <v>73</v>
      </c>
      <c r="L355" s="2">
        <v>44693</v>
      </c>
      <c r="M355" s="3">
        <v>0.54027777777777775</v>
      </c>
      <c r="N355" s="19" t="s">
        <v>764</v>
      </c>
      <c r="O355" s="21"/>
    </row>
    <row r="356" spans="1:15" customFormat="1" ht="57.6" hidden="1" x14ac:dyDescent="0.3">
      <c r="A356" s="47" t="e">
        <f t="shared" si="15"/>
        <v>#VALUE!</v>
      </c>
      <c r="B356" s="46">
        <f t="shared" si="16"/>
        <v>20</v>
      </c>
      <c r="C356" s="46" t="e">
        <f t="shared" si="17"/>
        <v>#VALUE!</v>
      </c>
      <c r="D356" s="1"/>
      <c r="E356" s="1" t="s">
        <v>765</v>
      </c>
      <c r="F356" s="19" t="s">
        <v>766</v>
      </c>
      <c r="G356" s="1" t="s">
        <v>10</v>
      </c>
      <c r="H356" s="1" t="s">
        <v>91</v>
      </c>
      <c r="I356" s="2">
        <v>44692</v>
      </c>
      <c r="J356" s="3">
        <v>0.39652777777777781</v>
      </c>
      <c r="K356" s="1" t="s">
        <v>73</v>
      </c>
      <c r="L356" s="34" t="s">
        <v>777</v>
      </c>
      <c r="M356" s="28" t="s">
        <v>778</v>
      </c>
      <c r="N356" s="19" t="s">
        <v>776</v>
      </c>
      <c r="O356" s="21"/>
    </row>
    <row r="357" spans="1:15" customFormat="1" ht="72" hidden="1" x14ac:dyDescent="0.3">
      <c r="A357" s="47">
        <f t="shared" si="15"/>
        <v>2022</v>
      </c>
      <c r="B357" s="46">
        <f t="shared" si="16"/>
        <v>20</v>
      </c>
      <c r="C357" s="46">
        <f t="shared" si="17"/>
        <v>20</v>
      </c>
      <c r="D357" s="1"/>
      <c r="E357" s="1" t="s">
        <v>755</v>
      </c>
      <c r="F357" s="19" t="s">
        <v>769</v>
      </c>
      <c r="G357" s="1" t="s">
        <v>9</v>
      </c>
      <c r="H357" s="1" t="s">
        <v>91</v>
      </c>
      <c r="I357" s="2">
        <v>44693</v>
      </c>
      <c r="J357" s="3">
        <v>0.63402777777777775</v>
      </c>
      <c r="K357" s="1" t="s">
        <v>73</v>
      </c>
      <c r="L357" s="2">
        <v>44694</v>
      </c>
      <c r="M357" s="3">
        <v>0.71875</v>
      </c>
      <c r="N357" s="19" t="s">
        <v>758</v>
      </c>
      <c r="O357" s="21"/>
    </row>
    <row r="358" spans="1:15" customFormat="1" ht="28.8" hidden="1" x14ac:dyDescent="0.3">
      <c r="A358" s="47">
        <f t="shared" si="15"/>
        <v>2022</v>
      </c>
      <c r="B358" s="46">
        <f t="shared" si="16"/>
        <v>20</v>
      </c>
      <c r="C358" s="46">
        <f t="shared" si="17"/>
        <v>21</v>
      </c>
      <c r="D358" s="1"/>
      <c r="E358" s="1" t="s">
        <v>770</v>
      </c>
      <c r="F358" s="19" t="s">
        <v>746</v>
      </c>
      <c r="G358" s="1" t="s">
        <v>9</v>
      </c>
      <c r="H358" s="1" t="s">
        <v>91</v>
      </c>
      <c r="I358" s="2">
        <v>44693</v>
      </c>
      <c r="J358" s="3">
        <v>0.63611111111111118</v>
      </c>
      <c r="K358" s="1" t="s">
        <v>73</v>
      </c>
      <c r="L358" s="2">
        <v>44697</v>
      </c>
      <c r="M358" s="3">
        <v>0.32916666666666666</v>
      </c>
      <c r="N358" s="19" t="s">
        <v>771</v>
      </c>
      <c r="O358" s="21"/>
    </row>
    <row r="359" spans="1:15" customFormat="1" ht="72" hidden="1" x14ac:dyDescent="0.3">
      <c r="A359" s="47">
        <f t="shared" si="15"/>
        <v>2022</v>
      </c>
      <c r="B359" s="46">
        <f t="shared" si="16"/>
        <v>20</v>
      </c>
      <c r="C359" s="46">
        <f t="shared" si="17"/>
        <v>21</v>
      </c>
      <c r="D359" s="1"/>
      <c r="E359" s="1" t="s">
        <v>772</v>
      </c>
      <c r="F359" s="19" t="s">
        <v>773</v>
      </c>
      <c r="G359" s="1" t="s">
        <v>10</v>
      </c>
      <c r="H359" s="1" t="s">
        <v>91</v>
      </c>
      <c r="I359" s="2">
        <v>44694</v>
      </c>
      <c r="J359" s="3">
        <v>0.30208333333333331</v>
      </c>
      <c r="K359" s="1" t="s">
        <v>73</v>
      </c>
      <c r="L359" s="2">
        <v>44697</v>
      </c>
      <c r="M359" s="3">
        <v>0.39305555555555555</v>
      </c>
      <c r="N359" s="19" t="s">
        <v>774</v>
      </c>
      <c r="O359" s="21"/>
    </row>
    <row r="360" spans="1:15" customFormat="1" ht="144" hidden="1" x14ac:dyDescent="0.3">
      <c r="A360" s="47" t="e">
        <f t="shared" si="15"/>
        <v>#VALUE!</v>
      </c>
      <c r="B360" s="46">
        <f t="shared" si="16"/>
        <v>21</v>
      </c>
      <c r="C360" s="46" t="e">
        <f t="shared" si="17"/>
        <v>#VALUE!</v>
      </c>
      <c r="D360" s="1"/>
      <c r="E360" s="1" t="s">
        <v>775</v>
      </c>
      <c r="F360" s="19" t="s">
        <v>779</v>
      </c>
      <c r="G360" s="1" t="s">
        <v>10</v>
      </c>
      <c r="H360" s="1" t="s">
        <v>91</v>
      </c>
      <c r="I360" s="34">
        <v>44699</v>
      </c>
      <c r="J360" s="28" t="s">
        <v>787</v>
      </c>
      <c r="K360" s="1" t="s">
        <v>73</v>
      </c>
      <c r="L360" s="34" t="s">
        <v>786</v>
      </c>
      <c r="M360" s="28" t="s">
        <v>788</v>
      </c>
      <c r="N360" s="19" t="s">
        <v>785</v>
      </c>
      <c r="O360" s="21"/>
    </row>
    <row r="361" spans="1:15" customFormat="1" ht="72" hidden="1" x14ac:dyDescent="0.3">
      <c r="A361" s="47">
        <f t="shared" si="15"/>
        <v>2022</v>
      </c>
      <c r="B361" s="46">
        <f t="shared" si="16"/>
        <v>21</v>
      </c>
      <c r="C361" s="46">
        <f t="shared" si="17"/>
        <v>21</v>
      </c>
      <c r="E361" s="1" t="s">
        <v>780</v>
      </c>
      <c r="F361" s="19" t="s">
        <v>773</v>
      </c>
      <c r="G361" s="1" t="s">
        <v>10</v>
      </c>
      <c r="H361" s="1" t="s">
        <v>91</v>
      </c>
      <c r="I361" s="2">
        <v>44697</v>
      </c>
      <c r="J361" s="3">
        <v>0.36180555555555555</v>
      </c>
      <c r="K361" s="1" t="s">
        <v>73</v>
      </c>
      <c r="L361" s="2">
        <v>44697</v>
      </c>
      <c r="M361" s="3">
        <v>0.48055555555555557</v>
      </c>
      <c r="N361" s="19" t="s">
        <v>781</v>
      </c>
    </row>
    <row r="362" spans="1:15" customFormat="1" ht="72" hidden="1" x14ac:dyDescent="0.3">
      <c r="A362" s="47">
        <f t="shared" si="15"/>
        <v>2022</v>
      </c>
      <c r="B362" s="46">
        <f t="shared" si="16"/>
        <v>21</v>
      </c>
      <c r="C362" s="46">
        <f t="shared" si="17"/>
        <v>21</v>
      </c>
      <c r="E362" s="1" t="s">
        <v>782</v>
      </c>
      <c r="F362" s="19" t="s">
        <v>783</v>
      </c>
      <c r="G362" s="1" t="s">
        <v>10</v>
      </c>
      <c r="H362" s="1" t="s">
        <v>91</v>
      </c>
      <c r="I362" s="2">
        <v>44697</v>
      </c>
      <c r="J362" s="3">
        <v>0.36180555555555555</v>
      </c>
      <c r="K362" s="1" t="s">
        <v>73</v>
      </c>
      <c r="L362" s="2">
        <v>44697</v>
      </c>
      <c r="M362" s="3">
        <v>0.48541666666666666</v>
      </c>
      <c r="N362" s="87" t="s">
        <v>784</v>
      </c>
    </row>
    <row r="363" spans="1:15" customFormat="1" ht="28.8" hidden="1" x14ac:dyDescent="0.3">
      <c r="A363" s="47">
        <f t="shared" si="15"/>
        <v>2022</v>
      </c>
      <c r="B363" s="46">
        <f t="shared" si="16"/>
        <v>21</v>
      </c>
      <c r="C363" s="46">
        <f t="shared" si="17"/>
        <v>21</v>
      </c>
      <c r="D363" s="1"/>
      <c r="E363" s="1" t="s">
        <v>789</v>
      </c>
      <c r="F363" s="19" t="s">
        <v>790</v>
      </c>
      <c r="G363" s="1" t="s">
        <v>10</v>
      </c>
      <c r="H363" s="1" t="s">
        <v>91</v>
      </c>
      <c r="I363" s="2">
        <v>44699</v>
      </c>
      <c r="J363" s="3">
        <v>0.71875</v>
      </c>
      <c r="K363" s="1" t="s">
        <v>73</v>
      </c>
      <c r="L363" s="2">
        <v>44701</v>
      </c>
      <c r="M363" s="3">
        <v>0.3034722222222222</v>
      </c>
      <c r="N363" s="19" t="s">
        <v>791</v>
      </c>
      <c r="O363" s="21"/>
    </row>
    <row r="364" spans="1:15" customFormat="1" ht="28.8" hidden="1" x14ac:dyDescent="0.3">
      <c r="A364" s="47">
        <f t="shared" si="15"/>
        <v>2022</v>
      </c>
      <c r="B364" s="46">
        <f t="shared" si="16"/>
        <v>21</v>
      </c>
      <c r="C364" s="46">
        <f t="shared" si="17"/>
        <v>21</v>
      </c>
      <c r="D364" s="1"/>
      <c r="E364" s="1" t="s">
        <v>792</v>
      </c>
      <c r="F364" s="19" t="s">
        <v>766</v>
      </c>
      <c r="G364" s="1" t="s">
        <v>10</v>
      </c>
      <c r="H364" s="1" t="s">
        <v>91</v>
      </c>
      <c r="I364" s="2">
        <v>44699</v>
      </c>
      <c r="J364" s="3">
        <v>0.71875</v>
      </c>
      <c r="K364" s="1" t="s">
        <v>73</v>
      </c>
      <c r="L364" s="2">
        <v>44701</v>
      </c>
      <c r="M364" s="3">
        <v>0.36736111111111108</v>
      </c>
      <c r="N364" s="19" t="s">
        <v>793</v>
      </c>
      <c r="O364" s="21"/>
    </row>
    <row r="365" spans="1:15" customFormat="1" ht="28.8" hidden="1" x14ac:dyDescent="0.3">
      <c r="A365" s="47">
        <f t="shared" si="15"/>
        <v>2022</v>
      </c>
      <c r="B365" s="46">
        <f t="shared" si="16"/>
        <v>21</v>
      </c>
      <c r="C365" s="46">
        <f t="shared" si="17"/>
        <v>21</v>
      </c>
      <c r="D365" s="1"/>
      <c r="E365" s="1" t="s">
        <v>794</v>
      </c>
      <c r="F365" s="19" t="s">
        <v>766</v>
      </c>
      <c r="G365" s="1" t="s">
        <v>10</v>
      </c>
      <c r="H365" s="1" t="s">
        <v>91</v>
      </c>
      <c r="I365" s="2">
        <v>44700</v>
      </c>
      <c r="J365" s="3">
        <v>0.37777777777777777</v>
      </c>
      <c r="K365" s="1" t="s">
        <v>73</v>
      </c>
      <c r="L365" s="2">
        <v>44701</v>
      </c>
      <c r="M365" s="3">
        <v>0.55902777777777779</v>
      </c>
      <c r="N365" s="19" t="s">
        <v>795</v>
      </c>
      <c r="O365" s="21"/>
    </row>
    <row r="366" spans="1:15" customFormat="1" ht="28.8" hidden="1" x14ac:dyDescent="0.3">
      <c r="A366" s="47">
        <f t="shared" si="15"/>
        <v>2022</v>
      </c>
      <c r="B366" s="46">
        <f t="shared" si="16"/>
        <v>21</v>
      </c>
      <c r="C366" s="46">
        <f t="shared" si="17"/>
        <v>21</v>
      </c>
      <c r="D366" s="1"/>
      <c r="E366" s="1" t="s">
        <v>796</v>
      </c>
      <c r="F366" s="19" t="s">
        <v>760</v>
      </c>
      <c r="G366" s="1" t="s">
        <v>10</v>
      </c>
      <c r="H366" s="1" t="s">
        <v>91</v>
      </c>
      <c r="I366" s="2">
        <v>44700</v>
      </c>
      <c r="J366" s="3">
        <v>0.3833333333333333</v>
      </c>
      <c r="K366" s="1" t="s">
        <v>73</v>
      </c>
      <c r="L366" s="2">
        <v>44701</v>
      </c>
      <c r="M366" s="3">
        <v>0.56944444444444442</v>
      </c>
      <c r="N366" s="19" t="s">
        <v>797</v>
      </c>
      <c r="O366" s="21"/>
    </row>
    <row r="367" spans="1:15" customFormat="1" ht="172.8" hidden="1" x14ac:dyDescent="0.3">
      <c r="A367" s="47">
        <f t="shared" si="15"/>
        <v>2022</v>
      </c>
      <c r="B367" s="46">
        <f t="shared" si="16"/>
        <v>22</v>
      </c>
      <c r="C367" s="46">
        <f t="shared" si="17"/>
        <v>23</v>
      </c>
      <c r="D367" s="1"/>
      <c r="E367" s="1" t="s">
        <v>798</v>
      </c>
      <c r="F367" s="19" t="s">
        <v>799</v>
      </c>
      <c r="G367" s="1" t="s">
        <v>9</v>
      </c>
      <c r="H367" s="1" t="s">
        <v>91</v>
      </c>
      <c r="I367" s="2">
        <v>44704</v>
      </c>
      <c r="J367" s="3">
        <v>0.39513888888888887</v>
      </c>
      <c r="K367" s="1" t="s">
        <v>73</v>
      </c>
      <c r="L367" s="2">
        <v>44712</v>
      </c>
      <c r="M367" s="3">
        <v>0.6381944444444444</v>
      </c>
      <c r="N367" s="19" t="s">
        <v>800</v>
      </c>
      <c r="O367" s="21"/>
    </row>
    <row r="368" spans="1:15" customFormat="1" ht="43.2" hidden="1" x14ac:dyDescent="0.3">
      <c r="A368" s="47">
        <f t="shared" si="15"/>
        <v>2022</v>
      </c>
      <c r="B368" s="46">
        <f t="shared" si="16"/>
        <v>22</v>
      </c>
      <c r="C368" s="46">
        <f t="shared" si="17"/>
        <v>23</v>
      </c>
      <c r="D368" s="1"/>
      <c r="E368" s="1" t="s">
        <v>801</v>
      </c>
      <c r="F368" s="19" t="s">
        <v>766</v>
      </c>
      <c r="G368" s="1" t="s">
        <v>10</v>
      </c>
      <c r="H368" s="1" t="s">
        <v>91</v>
      </c>
      <c r="I368" s="2">
        <v>44706</v>
      </c>
      <c r="J368" s="3">
        <v>0.36458333333333331</v>
      </c>
      <c r="K368" s="1" t="s">
        <v>73</v>
      </c>
      <c r="L368" s="2">
        <v>44712</v>
      </c>
      <c r="M368" s="3">
        <v>0.69652777777777775</v>
      </c>
      <c r="N368" s="19" t="s">
        <v>802</v>
      </c>
      <c r="O368" s="21"/>
    </row>
    <row r="369" spans="1:15" customFormat="1" ht="43.2" hidden="1" x14ac:dyDescent="0.3">
      <c r="A369" s="47">
        <f t="shared" si="15"/>
        <v>2022</v>
      </c>
      <c r="B369" s="46">
        <f t="shared" si="16"/>
        <v>22</v>
      </c>
      <c r="C369" s="46">
        <f t="shared" si="17"/>
        <v>23</v>
      </c>
      <c r="D369" s="1"/>
      <c r="E369" s="1" t="s">
        <v>803</v>
      </c>
      <c r="F369" s="19" t="s">
        <v>760</v>
      </c>
      <c r="G369" s="1" t="s">
        <v>10</v>
      </c>
      <c r="H369" s="1" t="s">
        <v>91</v>
      </c>
      <c r="I369" s="2">
        <v>44706</v>
      </c>
      <c r="J369" s="3">
        <v>0.36458333333333331</v>
      </c>
      <c r="K369" s="1" t="s">
        <v>73</v>
      </c>
      <c r="L369" s="2">
        <v>44712</v>
      </c>
      <c r="M369" s="3">
        <v>0.70694444444444438</v>
      </c>
      <c r="N369" s="19" t="s">
        <v>804</v>
      </c>
      <c r="O369" s="21"/>
    </row>
    <row r="370" spans="1:15" customFormat="1" hidden="1" x14ac:dyDescent="0.3">
      <c r="A370" s="47">
        <f t="shared" si="15"/>
        <v>2022</v>
      </c>
      <c r="B370" s="46">
        <f t="shared" si="16"/>
        <v>22</v>
      </c>
      <c r="C370" s="46">
        <f t="shared" si="17"/>
        <v>23</v>
      </c>
      <c r="D370" s="1"/>
      <c r="E370" s="1" t="s">
        <v>805</v>
      </c>
      <c r="F370" s="19" t="s">
        <v>766</v>
      </c>
      <c r="G370" s="1" t="s">
        <v>10</v>
      </c>
      <c r="H370" s="1" t="s">
        <v>91</v>
      </c>
      <c r="I370" s="2">
        <v>44706</v>
      </c>
      <c r="J370" s="3">
        <v>0.36458333333333331</v>
      </c>
      <c r="K370" s="1" t="s">
        <v>73</v>
      </c>
      <c r="L370" s="2">
        <v>44712</v>
      </c>
      <c r="M370" s="3">
        <v>0.71666666666666667</v>
      </c>
      <c r="N370" s="19" t="s">
        <v>806</v>
      </c>
      <c r="O370" s="21"/>
    </row>
    <row r="371" spans="1:15" customFormat="1" ht="28.8" hidden="1" x14ac:dyDescent="0.3">
      <c r="A371" s="47">
        <f t="shared" si="15"/>
        <v>2022</v>
      </c>
      <c r="B371" s="46">
        <f t="shared" si="16"/>
        <v>23</v>
      </c>
      <c r="C371" s="46">
        <f t="shared" si="17"/>
        <v>23</v>
      </c>
      <c r="D371" s="1"/>
      <c r="E371" s="1" t="s">
        <v>807</v>
      </c>
      <c r="F371" s="19" t="s">
        <v>808</v>
      </c>
      <c r="G371" s="1" t="s">
        <v>10</v>
      </c>
      <c r="H371" s="1" t="s">
        <v>91</v>
      </c>
      <c r="I371" s="2">
        <v>44712</v>
      </c>
      <c r="J371" s="3">
        <v>0.64166666666666672</v>
      </c>
      <c r="K371" s="1" t="s">
        <v>73</v>
      </c>
      <c r="L371" s="2">
        <v>44713</v>
      </c>
      <c r="M371" s="3">
        <v>0.32083333333333336</v>
      </c>
      <c r="N371" s="19" t="s">
        <v>791</v>
      </c>
      <c r="O371" s="21"/>
    </row>
    <row r="372" spans="1:15" customFormat="1" ht="28.8" hidden="1" x14ac:dyDescent="0.3">
      <c r="A372" s="47">
        <f t="shared" si="15"/>
        <v>2022</v>
      </c>
      <c r="B372" s="46">
        <f t="shared" si="16"/>
        <v>23</v>
      </c>
      <c r="C372" s="46">
        <f t="shared" si="17"/>
        <v>24</v>
      </c>
      <c r="D372" s="1"/>
      <c r="E372" s="1" t="s">
        <v>809</v>
      </c>
      <c r="F372" s="19" t="s">
        <v>691</v>
      </c>
      <c r="G372" s="1" t="s">
        <v>9</v>
      </c>
      <c r="H372" s="1" t="s">
        <v>91</v>
      </c>
      <c r="I372" s="2">
        <v>44715</v>
      </c>
      <c r="J372" s="3">
        <v>0.64444444444444449</v>
      </c>
      <c r="K372" s="1" t="s">
        <v>73</v>
      </c>
      <c r="L372" s="2">
        <v>44720</v>
      </c>
      <c r="M372" s="3">
        <v>0.22916666666666666</v>
      </c>
      <c r="N372" s="19" t="s">
        <v>771</v>
      </c>
      <c r="O372" s="21"/>
    </row>
    <row r="373" spans="1:15" customFormat="1" hidden="1" x14ac:dyDescent="0.3">
      <c r="A373" s="47">
        <f t="shared" si="15"/>
        <v>2022</v>
      </c>
      <c r="B373" s="46">
        <f t="shared" si="16"/>
        <v>24</v>
      </c>
      <c r="C373" s="46">
        <f t="shared" si="17"/>
        <v>25</v>
      </c>
      <c r="D373" s="1"/>
      <c r="E373" s="1" t="s">
        <v>810</v>
      </c>
      <c r="F373" s="19" t="s">
        <v>691</v>
      </c>
      <c r="G373" s="1" t="s">
        <v>9</v>
      </c>
      <c r="H373" s="1" t="s">
        <v>91</v>
      </c>
      <c r="I373" s="2">
        <v>44721</v>
      </c>
      <c r="J373" s="3">
        <v>0.50069444444444444</v>
      </c>
      <c r="K373" s="1" t="s">
        <v>73</v>
      </c>
      <c r="L373" s="2">
        <v>44726</v>
      </c>
      <c r="M373" s="3">
        <v>0.67638888888888893</v>
      </c>
      <c r="N373" s="19" t="s">
        <v>811</v>
      </c>
      <c r="O373" s="21"/>
    </row>
    <row r="374" spans="1:15" customFormat="1" ht="28.8" hidden="1" x14ac:dyDescent="0.3">
      <c r="A374" s="47">
        <f t="shared" si="15"/>
        <v>2022</v>
      </c>
      <c r="B374" s="46">
        <f t="shared" si="16"/>
        <v>25</v>
      </c>
      <c r="C374" s="46">
        <f t="shared" si="17"/>
        <v>25</v>
      </c>
      <c r="E374" s="1" t="s">
        <v>812</v>
      </c>
      <c r="F374" s="19" t="s">
        <v>691</v>
      </c>
      <c r="G374" s="1" t="s">
        <v>9</v>
      </c>
      <c r="H374" s="1" t="s">
        <v>91</v>
      </c>
      <c r="I374" s="2">
        <v>44726</v>
      </c>
      <c r="J374" s="3">
        <v>0.43055555555555558</v>
      </c>
      <c r="K374" s="1" t="s">
        <v>73</v>
      </c>
      <c r="L374" s="2">
        <v>44727</v>
      </c>
      <c r="M374" s="3">
        <v>0.44513888888888892</v>
      </c>
      <c r="N374" s="19" t="s">
        <v>813</v>
      </c>
    </row>
    <row r="375" spans="1:15" customFormat="1" ht="28.8" hidden="1" x14ac:dyDescent="0.3">
      <c r="A375" s="47">
        <f t="shared" si="15"/>
        <v>2022</v>
      </c>
      <c r="B375" s="46">
        <f t="shared" si="16"/>
        <v>25</v>
      </c>
      <c r="C375" s="46">
        <f t="shared" si="17"/>
        <v>25</v>
      </c>
      <c r="E375" s="1" t="s">
        <v>814</v>
      </c>
      <c r="F375" s="19" t="s">
        <v>691</v>
      </c>
      <c r="G375" s="1" t="s">
        <v>9</v>
      </c>
      <c r="H375" s="1" t="s">
        <v>91</v>
      </c>
      <c r="I375" s="2">
        <v>44726</v>
      </c>
      <c r="J375" s="3">
        <v>0.4826388888888889</v>
      </c>
      <c r="K375" s="1" t="s">
        <v>73</v>
      </c>
      <c r="L375" s="2">
        <v>44727</v>
      </c>
      <c r="M375" s="3">
        <v>0.4513888888888889</v>
      </c>
      <c r="N375" s="19" t="s">
        <v>815</v>
      </c>
    </row>
    <row r="376" spans="1:15" customFormat="1" hidden="1" x14ac:dyDescent="0.3">
      <c r="A376" s="47">
        <f t="shared" si="15"/>
        <v>2022</v>
      </c>
      <c r="B376" s="46">
        <f t="shared" si="16"/>
        <v>25</v>
      </c>
      <c r="C376" s="46">
        <f t="shared" si="17"/>
        <v>25</v>
      </c>
      <c r="E376" s="1" t="s">
        <v>816</v>
      </c>
      <c r="F376" s="19" t="s">
        <v>691</v>
      </c>
      <c r="G376" s="1" t="s">
        <v>9</v>
      </c>
      <c r="H376" s="1" t="s">
        <v>91</v>
      </c>
      <c r="I376" s="2">
        <v>44726</v>
      </c>
      <c r="J376" s="3">
        <v>0.58333333333333337</v>
      </c>
      <c r="K376" s="1" t="s">
        <v>73</v>
      </c>
      <c r="L376" s="2">
        <v>44727</v>
      </c>
      <c r="M376" s="3">
        <v>0.46597222222222223</v>
      </c>
      <c r="N376" s="19" t="s">
        <v>817</v>
      </c>
    </row>
    <row r="377" spans="1:15" customFormat="1" ht="43.2" hidden="1" x14ac:dyDescent="0.3">
      <c r="A377" s="47">
        <f t="shared" si="15"/>
        <v>2022</v>
      </c>
      <c r="B377" s="46">
        <f t="shared" si="16"/>
        <v>25</v>
      </c>
      <c r="C377" s="46">
        <f t="shared" si="17"/>
        <v>26</v>
      </c>
      <c r="E377" s="1" t="s">
        <v>818</v>
      </c>
      <c r="F377" s="19" t="s">
        <v>819</v>
      </c>
      <c r="G377" s="1" t="s">
        <v>9</v>
      </c>
      <c r="H377" s="1" t="s">
        <v>91</v>
      </c>
      <c r="I377" s="2">
        <v>44726</v>
      </c>
      <c r="J377" s="3">
        <v>0.6430555555555556</v>
      </c>
      <c r="K377" s="1" t="s">
        <v>73</v>
      </c>
      <c r="L377" s="2">
        <v>44732</v>
      </c>
      <c r="M377" s="3">
        <v>0.33263888888888887</v>
      </c>
      <c r="N377" s="19" t="s">
        <v>820</v>
      </c>
    </row>
    <row r="378" spans="1:15" customFormat="1" ht="28.8" hidden="1" x14ac:dyDescent="0.3">
      <c r="A378" s="47">
        <f t="shared" si="15"/>
        <v>2022</v>
      </c>
      <c r="B378" s="46">
        <f t="shared" si="16"/>
        <v>25</v>
      </c>
      <c r="C378" s="46">
        <f t="shared" si="17"/>
        <v>26</v>
      </c>
      <c r="E378" s="1" t="s">
        <v>821</v>
      </c>
      <c r="F378" s="19" t="s">
        <v>819</v>
      </c>
      <c r="G378" s="1" t="s">
        <v>9</v>
      </c>
      <c r="H378" s="1" t="s">
        <v>91</v>
      </c>
      <c r="I378" s="2">
        <v>44726</v>
      </c>
      <c r="J378" s="3">
        <v>0.64652777777777781</v>
      </c>
      <c r="K378" s="1" t="s">
        <v>73</v>
      </c>
      <c r="L378" s="2">
        <v>44732</v>
      </c>
      <c r="M378" s="3">
        <v>0.33680555555555558</v>
      </c>
      <c r="N378" s="19" t="s">
        <v>822</v>
      </c>
    </row>
    <row r="379" spans="1:15" customFormat="1" ht="28.8" hidden="1" x14ac:dyDescent="0.3">
      <c r="A379" s="47">
        <f t="shared" si="15"/>
        <v>2022</v>
      </c>
      <c r="B379" s="46">
        <f t="shared" si="16"/>
        <v>25</v>
      </c>
      <c r="C379" s="46">
        <f t="shared" si="17"/>
        <v>26</v>
      </c>
      <c r="E379" s="1" t="s">
        <v>823</v>
      </c>
      <c r="F379" s="19" t="s">
        <v>819</v>
      </c>
      <c r="G379" s="1" t="s">
        <v>9</v>
      </c>
      <c r="H379" s="1" t="s">
        <v>91</v>
      </c>
      <c r="I379" s="2">
        <v>44726</v>
      </c>
      <c r="J379" s="3">
        <v>0.71666666666666667</v>
      </c>
      <c r="K379" s="1" t="s">
        <v>73</v>
      </c>
      <c r="L379" s="2">
        <v>44732</v>
      </c>
      <c r="M379" s="3">
        <v>0.36805555555555558</v>
      </c>
      <c r="N379" s="83" t="s">
        <v>825</v>
      </c>
    </row>
    <row r="380" spans="1:15" customFormat="1" ht="129.6" hidden="1" x14ac:dyDescent="0.3">
      <c r="A380" s="47" t="e">
        <f t="shared" si="15"/>
        <v>#VALUE!</v>
      </c>
      <c r="B380" s="46">
        <f t="shared" si="16"/>
        <v>25</v>
      </c>
      <c r="C380" s="46" t="e">
        <f t="shared" si="17"/>
        <v>#VALUE!</v>
      </c>
      <c r="E380" s="1" t="s">
        <v>824</v>
      </c>
      <c r="F380" s="19" t="s">
        <v>819</v>
      </c>
      <c r="G380" s="1" t="s">
        <v>9</v>
      </c>
      <c r="H380" s="1" t="s">
        <v>91</v>
      </c>
      <c r="I380" s="2">
        <v>44726</v>
      </c>
      <c r="J380" s="3">
        <v>0.64027777777777783</v>
      </c>
      <c r="K380" s="1" t="s">
        <v>73</v>
      </c>
      <c r="L380" s="34" t="s">
        <v>831</v>
      </c>
      <c r="M380" s="28" t="s">
        <v>832</v>
      </c>
      <c r="N380" s="83" t="s">
        <v>833</v>
      </c>
    </row>
    <row r="381" spans="1:15" customFormat="1" hidden="1" x14ac:dyDescent="0.3">
      <c r="A381" s="47">
        <f t="shared" si="15"/>
        <v>2022</v>
      </c>
      <c r="B381" s="46">
        <f t="shared" si="16"/>
        <v>26</v>
      </c>
      <c r="C381" s="46">
        <f t="shared" si="17"/>
        <v>26</v>
      </c>
      <c r="E381" s="1" t="s">
        <v>823</v>
      </c>
      <c r="F381" s="19" t="s">
        <v>819</v>
      </c>
      <c r="G381" s="1" t="s">
        <v>9</v>
      </c>
      <c r="H381" s="1" t="s">
        <v>91</v>
      </c>
      <c r="I381" s="2">
        <v>44732</v>
      </c>
      <c r="J381" s="3">
        <v>0.44444444444444442</v>
      </c>
      <c r="K381" s="1" t="s">
        <v>73</v>
      </c>
      <c r="L381" s="2">
        <v>44733</v>
      </c>
      <c r="M381" s="3">
        <v>0.3611111111111111</v>
      </c>
      <c r="N381" s="83" t="s">
        <v>826</v>
      </c>
    </row>
    <row r="382" spans="1:15" customFormat="1" ht="57.6" hidden="1" x14ac:dyDescent="0.3">
      <c r="A382" s="47">
        <f t="shared" si="15"/>
        <v>2022</v>
      </c>
      <c r="B382" s="46">
        <f t="shared" si="16"/>
        <v>26</v>
      </c>
      <c r="C382" s="46">
        <f t="shared" si="17"/>
        <v>26</v>
      </c>
      <c r="E382" s="1" t="s">
        <v>827</v>
      </c>
      <c r="F382" s="19" t="s">
        <v>819</v>
      </c>
      <c r="G382" s="1" t="s">
        <v>9</v>
      </c>
      <c r="H382" s="1" t="s">
        <v>91</v>
      </c>
      <c r="I382" s="2">
        <v>44732</v>
      </c>
      <c r="J382" s="3">
        <v>0.39166666666666666</v>
      </c>
      <c r="K382" s="1" t="s">
        <v>73</v>
      </c>
      <c r="L382" s="2">
        <v>44733</v>
      </c>
      <c r="M382" s="3">
        <v>0.55277777777777781</v>
      </c>
      <c r="N382" s="83" t="s">
        <v>828</v>
      </c>
    </row>
    <row r="383" spans="1:15" customFormat="1" ht="28.8" hidden="1" x14ac:dyDescent="0.3">
      <c r="A383" s="47">
        <f t="shared" si="15"/>
        <v>2022</v>
      </c>
      <c r="B383" s="46">
        <f t="shared" si="16"/>
        <v>26</v>
      </c>
      <c r="C383" s="46">
        <f t="shared" si="17"/>
        <v>26</v>
      </c>
      <c r="E383" s="1" t="s">
        <v>829</v>
      </c>
      <c r="F383" s="19" t="s">
        <v>691</v>
      </c>
      <c r="G383" s="1" t="s">
        <v>9</v>
      </c>
      <c r="H383" s="1" t="s">
        <v>91</v>
      </c>
      <c r="I383" s="2">
        <v>44732</v>
      </c>
      <c r="J383" s="3">
        <v>0.4861111111111111</v>
      </c>
      <c r="K383" s="1" t="s">
        <v>73</v>
      </c>
      <c r="L383" s="2">
        <v>44733</v>
      </c>
      <c r="M383" s="3">
        <v>0.55902777777777779</v>
      </c>
      <c r="N383" s="83" t="s">
        <v>830</v>
      </c>
    </row>
    <row r="384" spans="1:15" customFormat="1" ht="28.8" hidden="1" x14ac:dyDescent="0.3">
      <c r="A384" s="47">
        <f t="shared" si="15"/>
        <v>2022</v>
      </c>
      <c r="B384" s="46">
        <f t="shared" si="16"/>
        <v>27</v>
      </c>
      <c r="C384" s="46">
        <f t="shared" si="17"/>
        <v>27</v>
      </c>
      <c r="E384" s="1" t="s">
        <v>834</v>
      </c>
      <c r="F384" s="19" t="s">
        <v>835</v>
      </c>
      <c r="G384" s="1" t="s">
        <v>10</v>
      </c>
      <c r="H384" s="1" t="s">
        <v>91</v>
      </c>
      <c r="I384" s="2">
        <v>44739</v>
      </c>
      <c r="J384" s="3">
        <v>0.39444444444444443</v>
      </c>
      <c r="K384" s="1" t="s">
        <v>73</v>
      </c>
      <c r="L384" s="2">
        <v>44740</v>
      </c>
      <c r="M384" s="3">
        <v>0.40625</v>
      </c>
      <c r="N384" s="83" t="s">
        <v>836</v>
      </c>
    </row>
    <row r="385" spans="1:15" customFormat="1" ht="57.6" hidden="1" x14ac:dyDescent="0.3">
      <c r="A385" s="47" t="e">
        <f t="shared" si="15"/>
        <v>#VALUE!</v>
      </c>
      <c r="B385" s="46">
        <f t="shared" si="16"/>
        <v>27</v>
      </c>
      <c r="C385" s="46" t="e">
        <f t="shared" si="17"/>
        <v>#VALUE!</v>
      </c>
      <c r="E385" s="1" t="s">
        <v>837</v>
      </c>
      <c r="F385" s="19" t="s">
        <v>691</v>
      </c>
      <c r="G385" s="1" t="s">
        <v>9</v>
      </c>
      <c r="H385" s="1" t="s">
        <v>91</v>
      </c>
      <c r="I385" s="2">
        <v>44742</v>
      </c>
      <c r="J385" s="3">
        <v>0.44236111111111115</v>
      </c>
      <c r="K385" s="1" t="s">
        <v>73</v>
      </c>
      <c r="L385" s="2" t="s">
        <v>838</v>
      </c>
      <c r="M385" s="3"/>
      <c r="N385" s="83" t="s">
        <v>841</v>
      </c>
    </row>
    <row r="386" spans="1:15" customFormat="1" ht="72" hidden="1" x14ac:dyDescent="0.3">
      <c r="A386" s="47">
        <f t="shared" si="15"/>
        <v>2022</v>
      </c>
      <c r="B386" s="46">
        <f t="shared" si="16"/>
        <v>30</v>
      </c>
      <c r="C386" s="46">
        <f t="shared" si="17"/>
        <v>30</v>
      </c>
      <c r="E386" s="1" t="s">
        <v>839</v>
      </c>
      <c r="F386" s="19" t="s">
        <v>840</v>
      </c>
      <c r="G386" s="1" t="s">
        <v>10</v>
      </c>
      <c r="H386" s="1" t="s">
        <v>91</v>
      </c>
      <c r="I386" s="2">
        <v>44761</v>
      </c>
      <c r="J386" s="3">
        <v>0.49513888888888885</v>
      </c>
      <c r="K386" s="1" t="s">
        <v>73</v>
      </c>
      <c r="L386" s="2">
        <v>44762</v>
      </c>
      <c r="M386" s="3">
        <v>0.66805555555555562</v>
      </c>
      <c r="N386" s="83" t="s">
        <v>843</v>
      </c>
    </row>
    <row r="387" spans="1:15" customFormat="1" ht="43.2" hidden="1" x14ac:dyDescent="0.3">
      <c r="A387" s="47">
        <f t="shared" ref="A387:A450" si="18">YEAR(L387)</f>
        <v>2022</v>
      </c>
      <c r="B387" s="46">
        <f t="shared" ref="B387:B450" si="19">WEEKNUM(I387)</f>
        <v>30</v>
      </c>
      <c r="C387" s="46">
        <f t="shared" ref="C387:C450" si="20">WEEKNUM(L387)</f>
        <v>30</v>
      </c>
      <c r="D387" s="1"/>
      <c r="E387" s="1" t="s">
        <v>842</v>
      </c>
      <c r="F387" s="19" t="s">
        <v>766</v>
      </c>
      <c r="G387" s="1" t="s">
        <v>10</v>
      </c>
      <c r="H387" s="1" t="s">
        <v>91</v>
      </c>
      <c r="I387" s="2">
        <v>44761</v>
      </c>
      <c r="J387" s="3">
        <v>0.49236111111111108</v>
      </c>
      <c r="K387" s="1" t="s">
        <v>73</v>
      </c>
      <c r="L387" s="2">
        <v>44763</v>
      </c>
      <c r="M387" s="3">
        <v>0.46597222222222223</v>
      </c>
      <c r="N387" s="19" t="s">
        <v>844</v>
      </c>
      <c r="O387" s="21"/>
    </row>
    <row r="388" spans="1:15" customFormat="1" ht="72" hidden="1" x14ac:dyDescent="0.3">
      <c r="A388" s="47">
        <f t="shared" si="18"/>
        <v>2022</v>
      </c>
      <c r="B388" s="46">
        <f t="shared" si="19"/>
        <v>30</v>
      </c>
      <c r="C388" s="46">
        <f t="shared" si="20"/>
        <v>30</v>
      </c>
      <c r="D388" s="1"/>
      <c r="E388" s="1" t="s">
        <v>845</v>
      </c>
      <c r="F388" s="19" t="s">
        <v>840</v>
      </c>
      <c r="G388" s="1" t="s">
        <v>10</v>
      </c>
      <c r="H388" s="1" t="s">
        <v>91</v>
      </c>
      <c r="I388" s="2">
        <v>44761</v>
      </c>
      <c r="J388" s="3">
        <v>0.49791666666666662</v>
      </c>
      <c r="K388" s="1" t="s">
        <v>73</v>
      </c>
      <c r="L388" s="2">
        <v>44763</v>
      </c>
      <c r="M388" s="3">
        <v>0.47430555555555554</v>
      </c>
      <c r="N388" s="83" t="s">
        <v>843</v>
      </c>
      <c r="O388" s="21"/>
    </row>
    <row r="389" spans="1:15" customFormat="1" hidden="1" x14ac:dyDescent="0.3">
      <c r="A389" s="47">
        <f t="shared" si="18"/>
        <v>2022</v>
      </c>
      <c r="B389" s="46">
        <f t="shared" si="19"/>
        <v>30</v>
      </c>
      <c r="C389" s="46">
        <f t="shared" si="20"/>
        <v>30</v>
      </c>
      <c r="D389" s="1"/>
      <c r="E389" s="1" t="s">
        <v>846</v>
      </c>
      <c r="F389" s="19" t="s">
        <v>840</v>
      </c>
      <c r="G389" s="1" t="s">
        <v>10</v>
      </c>
      <c r="H389" s="1" t="s">
        <v>91</v>
      </c>
      <c r="I389" s="2">
        <v>44762</v>
      </c>
      <c r="J389" s="3">
        <v>0.64166666666666672</v>
      </c>
      <c r="K389" s="1" t="s">
        <v>73</v>
      </c>
      <c r="L389" s="2">
        <v>44763</v>
      </c>
      <c r="M389" s="3">
        <v>0.61875000000000002</v>
      </c>
      <c r="N389" s="19" t="s">
        <v>847</v>
      </c>
      <c r="O389" s="21"/>
    </row>
    <row r="390" spans="1:15" customFormat="1" ht="28.8" hidden="1" x14ac:dyDescent="0.3">
      <c r="A390" s="47">
        <f t="shared" si="18"/>
        <v>2022</v>
      </c>
      <c r="B390" s="46">
        <f t="shared" si="19"/>
        <v>30</v>
      </c>
      <c r="C390" s="46">
        <f t="shared" si="20"/>
        <v>30</v>
      </c>
      <c r="D390" s="1"/>
      <c r="E390" s="1" t="s">
        <v>848</v>
      </c>
      <c r="F390" s="19" t="s">
        <v>529</v>
      </c>
      <c r="G390" s="1" t="s">
        <v>10</v>
      </c>
      <c r="H390" s="1" t="s">
        <v>91</v>
      </c>
      <c r="I390" s="2">
        <v>44762</v>
      </c>
      <c r="J390" s="3">
        <v>0.65763888888888888</v>
      </c>
      <c r="K390" s="1" t="s">
        <v>73</v>
      </c>
      <c r="L390" s="2">
        <v>44763</v>
      </c>
      <c r="M390" s="3">
        <v>0.62222222222222223</v>
      </c>
      <c r="N390" s="19" t="s">
        <v>849</v>
      </c>
      <c r="O390" s="21"/>
    </row>
    <row r="391" spans="1:15" customFormat="1" hidden="1" x14ac:dyDescent="0.3">
      <c r="A391" s="47">
        <f t="shared" si="18"/>
        <v>2022</v>
      </c>
      <c r="B391" s="46">
        <f t="shared" si="19"/>
        <v>30</v>
      </c>
      <c r="C391" s="46">
        <f t="shared" si="20"/>
        <v>30</v>
      </c>
      <c r="D391" s="1"/>
      <c r="E391" s="1" t="s">
        <v>850</v>
      </c>
      <c r="F391" s="19" t="s">
        <v>851</v>
      </c>
      <c r="G391" s="1" t="s">
        <v>10</v>
      </c>
      <c r="H391" s="1" t="s">
        <v>91</v>
      </c>
      <c r="I391" s="2">
        <v>44762</v>
      </c>
      <c r="J391" s="3">
        <v>0.5131944444444444</v>
      </c>
      <c r="K391" s="1" t="s">
        <v>73</v>
      </c>
      <c r="L391" s="2">
        <v>44763</v>
      </c>
      <c r="M391" s="3">
        <v>0.375</v>
      </c>
      <c r="N391" s="19" t="s">
        <v>852</v>
      </c>
      <c r="O391" s="21"/>
    </row>
    <row r="392" spans="1:15" customFormat="1" hidden="1" x14ac:dyDescent="0.3">
      <c r="A392" s="47">
        <f t="shared" si="18"/>
        <v>2022</v>
      </c>
      <c r="B392" s="46">
        <f t="shared" si="19"/>
        <v>30</v>
      </c>
      <c r="C392" s="46">
        <f t="shared" si="20"/>
        <v>31</v>
      </c>
      <c r="D392" s="1"/>
      <c r="E392" s="1" t="s">
        <v>853</v>
      </c>
      <c r="F392" s="19" t="s">
        <v>760</v>
      </c>
      <c r="G392" s="1" t="s">
        <v>10</v>
      </c>
      <c r="H392" s="1" t="s">
        <v>91</v>
      </c>
      <c r="I392" s="2">
        <v>44762</v>
      </c>
      <c r="J392" s="3">
        <v>0.51736111111111105</v>
      </c>
      <c r="K392" s="1" t="s">
        <v>73</v>
      </c>
      <c r="L392" s="2">
        <v>44767</v>
      </c>
      <c r="M392" s="3">
        <v>0.57986111111111105</v>
      </c>
      <c r="N392" s="19" t="s">
        <v>852</v>
      </c>
      <c r="O392" s="21"/>
    </row>
    <row r="393" spans="1:15" customFormat="1" ht="43.2" hidden="1" x14ac:dyDescent="0.3">
      <c r="A393" s="47">
        <f t="shared" si="18"/>
        <v>2022</v>
      </c>
      <c r="B393" s="46">
        <f t="shared" si="19"/>
        <v>30</v>
      </c>
      <c r="C393" s="46">
        <f t="shared" si="20"/>
        <v>31</v>
      </c>
      <c r="D393" s="1"/>
      <c r="E393" s="1" t="s">
        <v>854</v>
      </c>
      <c r="F393" s="19" t="s">
        <v>855</v>
      </c>
      <c r="G393" s="1" t="s">
        <v>10</v>
      </c>
      <c r="H393" s="1" t="s">
        <v>91</v>
      </c>
      <c r="I393" s="2">
        <v>44762</v>
      </c>
      <c r="J393" s="3">
        <v>0.52013888888888882</v>
      </c>
      <c r="K393" s="1" t="s">
        <v>73</v>
      </c>
      <c r="L393" s="2">
        <v>44767</v>
      </c>
      <c r="M393" s="3">
        <v>0.51527777777777783</v>
      </c>
      <c r="N393" s="19" t="s">
        <v>873</v>
      </c>
      <c r="O393" s="21"/>
    </row>
    <row r="394" spans="1:15" customFormat="1" ht="28.8" hidden="1" x14ac:dyDescent="0.3">
      <c r="A394" s="47">
        <f t="shared" si="18"/>
        <v>2022</v>
      </c>
      <c r="B394" s="46">
        <f t="shared" si="19"/>
        <v>30</v>
      </c>
      <c r="C394" s="46">
        <f t="shared" si="20"/>
        <v>31</v>
      </c>
      <c r="D394" s="1"/>
      <c r="E394" s="1" t="s">
        <v>857</v>
      </c>
      <c r="F394" s="19" t="s">
        <v>856</v>
      </c>
      <c r="G394" s="1" t="s">
        <v>10</v>
      </c>
      <c r="H394" s="1" t="s">
        <v>91</v>
      </c>
      <c r="I394" s="2">
        <v>44764</v>
      </c>
      <c r="J394" s="3">
        <v>0.31458333333333333</v>
      </c>
      <c r="K394" s="1" t="s">
        <v>73</v>
      </c>
      <c r="L394" s="2">
        <v>44767</v>
      </c>
      <c r="M394" s="3">
        <v>0.65069444444444446</v>
      </c>
      <c r="N394" s="19" t="s">
        <v>858</v>
      </c>
      <c r="O394" s="21"/>
    </row>
    <row r="395" spans="1:15" customFormat="1" ht="28.8" hidden="1" x14ac:dyDescent="0.3">
      <c r="A395" s="47">
        <f t="shared" si="18"/>
        <v>2022</v>
      </c>
      <c r="B395" s="46">
        <f t="shared" si="19"/>
        <v>30</v>
      </c>
      <c r="C395" s="46">
        <f t="shared" si="20"/>
        <v>31</v>
      </c>
      <c r="D395" s="1"/>
      <c r="E395" s="1" t="s">
        <v>859</v>
      </c>
      <c r="F395" s="19" t="s">
        <v>861</v>
      </c>
      <c r="G395" s="1" t="s">
        <v>10</v>
      </c>
      <c r="H395" s="1" t="s">
        <v>91</v>
      </c>
      <c r="I395" s="2">
        <v>44764</v>
      </c>
      <c r="J395" s="3">
        <v>0.34791666666666665</v>
      </c>
      <c r="K395" s="1" t="s">
        <v>73</v>
      </c>
      <c r="L395" s="2">
        <v>44767</v>
      </c>
      <c r="M395" s="3">
        <v>0.66249999999999998</v>
      </c>
      <c r="N395" s="19" t="s">
        <v>858</v>
      </c>
      <c r="O395" s="21"/>
    </row>
    <row r="396" spans="1:15" customFormat="1" ht="43.2" hidden="1" x14ac:dyDescent="0.3">
      <c r="A396" s="47">
        <f t="shared" si="18"/>
        <v>2022</v>
      </c>
      <c r="B396" s="46">
        <f t="shared" si="19"/>
        <v>30</v>
      </c>
      <c r="C396" s="46">
        <f t="shared" si="20"/>
        <v>31</v>
      </c>
      <c r="D396" s="1"/>
      <c r="E396" s="1" t="s">
        <v>860</v>
      </c>
      <c r="F396" s="19" t="s">
        <v>636</v>
      </c>
      <c r="G396" s="1" t="s">
        <v>10</v>
      </c>
      <c r="H396" s="1" t="s">
        <v>91</v>
      </c>
      <c r="I396" s="2">
        <v>44764</v>
      </c>
      <c r="J396" s="3">
        <v>0.47916666666666669</v>
      </c>
      <c r="K396" s="1" t="s">
        <v>73</v>
      </c>
      <c r="L396" s="2">
        <v>44767</v>
      </c>
      <c r="M396" s="3">
        <v>0.67847222222222225</v>
      </c>
      <c r="N396" s="19" t="s">
        <v>862</v>
      </c>
      <c r="O396" s="21"/>
    </row>
    <row r="397" spans="1:15" customFormat="1" ht="28.8" hidden="1" x14ac:dyDescent="0.3">
      <c r="A397" s="47">
        <f t="shared" si="18"/>
        <v>2022</v>
      </c>
      <c r="B397" s="46">
        <f t="shared" si="19"/>
        <v>31</v>
      </c>
      <c r="C397" s="46">
        <f t="shared" si="20"/>
        <v>31</v>
      </c>
      <c r="D397" s="1"/>
      <c r="E397" s="1" t="s">
        <v>863</v>
      </c>
      <c r="F397" s="19" t="s">
        <v>864</v>
      </c>
      <c r="G397" s="1" t="s">
        <v>10</v>
      </c>
      <c r="H397" s="1" t="s">
        <v>91</v>
      </c>
      <c r="I397" s="2">
        <v>44768</v>
      </c>
      <c r="J397" s="3">
        <v>0.4513888888888889</v>
      </c>
      <c r="K397" s="1" t="s">
        <v>73</v>
      </c>
      <c r="L397" s="2">
        <v>44767</v>
      </c>
      <c r="M397" s="3">
        <v>0.57013888888888886</v>
      </c>
      <c r="N397" s="19" t="s">
        <v>865</v>
      </c>
      <c r="O397" s="21"/>
    </row>
    <row r="398" spans="1:15" customFormat="1" ht="28.8" hidden="1" x14ac:dyDescent="0.3">
      <c r="A398" s="47">
        <f t="shared" si="18"/>
        <v>2022</v>
      </c>
      <c r="B398" s="46">
        <f t="shared" si="19"/>
        <v>31</v>
      </c>
      <c r="C398" s="46">
        <f t="shared" si="20"/>
        <v>31</v>
      </c>
      <c r="D398" s="1"/>
      <c r="E398" s="1" t="s">
        <v>866</v>
      </c>
      <c r="F398" s="19" t="s">
        <v>867</v>
      </c>
      <c r="G398" s="1" t="s">
        <v>10</v>
      </c>
      <c r="H398" s="1" t="s">
        <v>91</v>
      </c>
      <c r="I398" s="2">
        <v>44768</v>
      </c>
      <c r="J398" s="3">
        <v>0.4513888888888889</v>
      </c>
      <c r="K398" s="1" t="s">
        <v>73</v>
      </c>
      <c r="L398" s="2">
        <v>44767</v>
      </c>
      <c r="M398" s="3">
        <v>0.62708333333333333</v>
      </c>
      <c r="N398" s="19" t="s">
        <v>865</v>
      </c>
      <c r="O398" s="21"/>
    </row>
    <row r="399" spans="1:15" customFormat="1" ht="28.8" hidden="1" x14ac:dyDescent="0.3">
      <c r="A399" s="47">
        <f t="shared" si="18"/>
        <v>2022</v>
      </c>
      <c r="B399" s="46">
        <f t="shared" si="19"/>
        <v>31</v>
      </c>
      <c r="C399" s="46">
        <f t="shared" si="20"/>
        <v>30</v>
      </c>
      <c r="D399" s="1"/>
      <c r="E399" s="1" t="s">
        <v>868</v>
      </c>
      <c r="F399" s="19" t="s">
        <v>766</v>
      </c>
      <c r="G399" s="1" t="s">
        <v>10</v>
      </c>
      <c r="H399" s="1" t="s">
        <v>91</v>
      </c>
      <c r="I399" s="2">
        <v>44769</v>
      </c>
      <c r="J399" s="3">
        <v>0.38194444444444442</v>
      </c>
      <c r="K399" s="1" t="s">
        <v>73</v>
      </c>
      <c r="L399" s="2">
        <v>44763</v>
      </c>
      <c r="M399" s="3">
        <v>0.6694444444444444</v>
      </c>
      <c r="N399" s="19" t="s">
        <v>869</v>
      </c>
      <c r="O399" s="21"/>
    </row>
    <row r="400" spans="1:15" customFormat="1" ht="28.8" hidden="1" x14ac:dyDescent="0.3">
      <c r="A400" s="47">
        <f t="shared" si="18"/>
        <v>2022</v>
      </c>
      <c r="B400" s="46">
        <f t="shared" si="19"/>
        <v>31</v>
      </c>
      <c r="C400" s="46">
        <f t="shared" si="20"/>
        <v>30</v>
      </c>
      <c r="D400" s="1"/>
      <c r="E400" s="1" t="s">
        <v>870</v>
      </c>
      <c r="F400" s="19" t="s">
        <v>840</v>
      </c>
      <c r="G400" s="1" t="s">
        <v>10</v>
      </c>
      <c r="H400" s="1" t="s">
        <v>91</v>
      </c>
      <c r="I400" s="2">
        <v>44768</v>
      </c>
      <c r="J400" s="3">
        <v>0.4604166666666667</v>
      </c>
      <c r="K400" s="1" t="s">
        <v>73</v>
      </c>
      <c r="L400" s="2">
        <v>44763</v>
      </c>
      <c r="M400" s="3">
        <v>0.6777777777777777</v>
      </c>
      <c r="N400" s="19" t="s">
        <v>871</v>
      </c>
      <c r="O400" s="21"/>
    </row>
    <row r="401" spans="1:15" customFormat="1" ht="43.2" hidden="1" x14ac:dyDescent="0.3">
      <c r="A401" s="47">
        <f t="shared" si="18"/>
        <v>2022</v>
      </c>
      <c r="B401" s="46">
        <f t="shared" si="19"/>
        <v>31</v>
      </c>
      <c r="C401" s="46">
        <f t="shared" si="20"/>
        <v>31</v>
      </c>
      <c r="D401" s="1"/>
      <c r="E401" s="1" t="s">
        <v>872</v>
      </c>
      <c r="F401" s="19" t="s">
        <v>855</v>
      </c>
      <c r="G401" s="1" t="s">
        <v>10</v>
      </c>
      <c r="H401" s="1" t="s">
        <v>91</v>
      </c>
      <c r="I401" s="2">
        <v>44768</v>
      </c>
      <c r="J401" s="3">
        <v>0.4680555555555555</v>
      </c>
      <c r="K401" s="1" t="s">
        <v>73</v>
      </c>
      <c r="L401" s="2">
        <v>44769</v>
      </c>
      <c r="M401" s="3">
        <v>0.68541666666666667</v>
      </c>
      <c r="N401" s="19" t="s">
        <v>873</v>
      </c>
      <c r="O401" s="21"/>
    </row>
    <row r="402" spans="1:15" customFormat="1" ht="28.8" hidden="1" x14ac:dyDescent="0.3">
      <c r="A402" s="47">
        <f t="shared" si="18"/>
        <v>2022</v>
      </c>
      <c r="B402" s="46">
        <f t="shared" si="19"/>
        <v>31</v>
      </c>
      <c r="C402" s="46">
        <f t="shared" si="20"/>
        <v>31</v>
      </c>
      <c r="D402" s="1"/>
      <c r="E402" s="1" t="s">
        <v>874</v>
      </c>
      <c r="F402" s="19" t="s">
        <v>554</v>
      </c>
      <c r="G402" s="1" t="s">
        <v>10</v>
      </c>
      <c r="H402" s="1" t="s">
        <v>91</v>
      </c>
      <c r="I402" s="2">
        <v>44768</v>
      </c>
      <c r="J402" s="3">
        <v>0.47430555555555554</v>
      </c>
      <c r="K402" s="1" t="s">
        <v>73</v>
      </c>
      <c r="L402" s="2">
        <v>44769</v>
      </c>
      <c r="M402" s="3">
        <v>0.70624999999999993</v>
      </c>
      <c r="N402" s="19" t="s">
        <v>875</v>
      </c>
      <c r="O402" s="21"/>
    </row>
    <row r="403" spans="1:15" customFormat="1" hidden="1" x14ac:dyDescent="0.3">
      <c r="A403" s="47">
        <f t="shared" si="18"/>
        <v>2022</v>
      </c>
      <c r="B403" s="46">
        <f t="shared" si="19"/>
        <v>31</v>
      </c>
      <c r="C403" s="46">
        <f t="shared" si="20"/>
        <v>31</v>
      </c>
      <c r="D403" s="1"/>
      <c r="E403" s="1" t="s">
        <v>876</v>
      </c>
      <c r="F403" s="19" t="s">
        <v>877</v>
      </c>
      <c r="G403" s="1" t="s">
        <v>10</v>
      </c>
      <c r="H403" s="1" t="s">
        <v>91</v>
      </c>
      <c r="I403" s="2">
        <v>44768</v>
      </c>
      <c r="J403" s="3">
        <v>0.48125000000000001</v>
      </c>
      <c r="K403" s="1" t="s">
        <v>73</v>
      </c>
      <c r="L403" s="2">
        <v>44769</v>
      </c>
      <c r="M403" s="3">
        <v>0.74444444444444446</v>
      </c>
      <c r="N403" s="19" t="s">
        <v>852</v>
      </c>
      <c r="O403" s="21"/>
    </row>
    <row r="404" spans="1:15" customFormat="1" ht="28.8" hidden="1" x14ac:dyDescent="0.3">
      <c r="A404" s="47">
        <f t="shared" si="18"/>
        <v>2022</v>
      </c>
      <c r="B404" s="46">
        <f t="shared" si="19"/>
        <v>31</v>
      </c>
      <c r="C404" s="46">
        <f t="shared" si="20"/>
        <v>31</v>
      </c>
      <c r="D404" s="1"/>
      <c r="E404" s="1" t="s">
        <v>878</v>
      </c>
      <c r="F404" s="19" t="s">
        <v>879</v>
      </c>
      <c r="G404" s="1" t="s">
        <v>10</v>
      </c>
      <c r="H404" s="1" t="s">
        <v>91</v>
      </c>
      <c r="I404" s="2">
        <v>44768</v>
      </c>
      <c r="J404" s="3">
        <v>0.48819444444444443</v>
      </c>
      <c r="K404" s="1" t="s">
        <v>73</v>
      </c>
      <c r="L404" s="2">
        <v>44769</v>
      </c>
      <c r="M404" s="3">
        <v>0.74583333333333324</v>
      </c>
      <c r="N404" s="19" t="s">
        <v>880</v>
      </c>
      <c r="O404" s="21"/>
    </row>
    <row r="405" spans="1:15" customFormat="1" ht="28.8" hidden="1" x14ac:dyDescent="0.3">
      <c r="A405" s="47">
        <f t="shared" si="18"/>
        <v>2022</v>
      </c>
      <c r="B405" s="46">
        <f t="shared" si="19"/>
        <v>31</v>
      </c>
      <c r="C405" s="46">
        <f t="shared" si="20"/>
        <v>31</v>
      </c>
      <c r="D405" s="1"/>
      <c r="E405" s="1" t="s">
        <v>881</v>
      </c>
      <c r="F405" s="19" t="s">
        <v>882</v>
      </c>
      <c r="G405" s="1" t="s">
        <v>10</v>
      </c>
      <c r="H405" s="1" t="s">
        <v>91</v>
      </c>
      <c r="I405" s="2">
        <v>44769</v>
      </c>
      <c r="J405" s="3">
        <v>0.38680555555555557</v>
      </c>
      <c r="K405" s="1" t="s">
        <v>73</v>
      </c>
      <c r="L405" s="2">
        <v>44769</v>
      </c>
      <c r="M405" s="3">
        <v>0.75</v>
      </c>
      <c r="N405" s="19" t="s">
        <v>880</v>
      </c>
      <c r="O405" s="21"/>
    </row>
    <row r="406" spans="1:15" customFormat="1" ht="57.6" hidden="1" x14ac:dyDescent="0.3">
      <c r="A406" s="47">
        <f t="shared" si="18"/>
        <v>2022</v>
      </c>
      <c r="B406" s="46">
        <f t="shared" si="19"/>
        <v>31</v>
      </c>
      <c r="C406" s="46">
        <f t="shared" si="20"/>
        <v>31</v>
      </c>
      <c r="D406" s="1"/>
      <c r="E406" s="1" t="s">
        <v>883</v>
      </c>
      <c r="F406" s="19" t="s">
        <v>746</v>
      </c>
      <c r="G406" s="1" t="s">
        <v>9</v>
      </c>
      <c r="H406" s="1" t="s">
        <v>91</v>
      </c>
      <c r="I406" s="2">
        <v>44769</v>
      </c>
      <c r="J406" s="3">
        <v>0.70624999999999993</v>
      </c>
      <c r="K406" s="1" t="s">
        <v>73</v>
      </c>
      <c r="L406" s="2">
        <v>44770</v>
      </c>
      <c r="M406" s="3">
        <v>0.78749999999999998</v>
      </c>
      <c r="N406" s="19" t="s">
        <v>884</v>
      </c>
      <c r="O406" s="21"/>
    </row>
    <row r="407" spans="1:15" customFormat="1" ht="43.2" hidden="1" x14ac:dyDescent="0.3">
      <c r="A407" s="47">
        <f t="shared" si="18"/>
        <v>2022</v>
      </c>
      <c r="B407" s="46">
        <f t="shared" si="19"/>
        <v>31</v>
      </c>
      <c r="C407" s="46">
        <f t="shared" si="20"/>
        <v>31</v>
      </c>
      <c r="D407" s="1"/>
      <c r="E407" s="1" t="s">
        <v>885</v>
      </c>
      <c r="F407" s="19" t="s">
        <v>529</v>
      </c>
      <c r="G407" s="1" t="s">
        <v>10</v>
      </c>
      <c r="H407" s="1" t="s">
        <v>91</v>
      </c>
      <c r="I407" s="2">
        <v>44770</v>
      </c>
      <c r="J407" s="3">
        <v>0.59861111111111109</v>
      </c>
      <c r="K407" s="1" t="s">
        <v>73</v>
      </c>
      <c r="L407" s="2">
        <v>44770</v>
      </c>
      <c r="M407" s="3">
        <v>0.8041666666666667</v>
      </c>
      <c r="N407" s="19" t="s">
        <v>886</v>
      </c>
      <c r="O407" s="21"/>
    </row>
    <row r="408" spans="1:15" customFormat="1" ht="57.6" hidden="1" x14ac:dyDescent="0.3">
      <c r="A408" s="47">
        <f t="shared" si="18"/>
        <v>2022</v>
      </c>
      <c r="B408" s="46">
        <f t="shared" si="19"/>
        <v>31</v>
      </c>
      <c r="C408" s="46">
        <f t="shared" si="20"/>
        <v>31</v>
      </c>
      <c r="D408" s="1"/>
      <c r="E408" s="1" t="s">
        <v>887</v>
      </c>
      <c r="F408" s="19" t="s">
        <v>888</v>
      </c>
      <c r="G408" s="1" t="s">
        <v>9</v>
      </c>
      <c r="H408" s="1" t="s">
        <v>91</v>
      </c>
      <c r="I408" s="2">
        <v>44771</v>
      </c>
      <c r="J408" s="3">
        <v>0.36874999999999997</v>
      </c>
      <c r="K408" s="1" t="s">
        <v>73</v>
      </c>
      <c r="L408" s="2">
        <v>44771</v>
      </c>
      <c r="M408" s="3">
        <v>0.45833333333333331</v>
      </c>
      <c r="N408" s="19" t="s">
        <v>889</v>
      </c>
      <c r="O408" s="21"/>
    </row>
    <row r="409" spans="1:15" customFormat="1" ht="28.8" hidden="1" x14ac:dyDescent="0.3">
      <c r="A409" s="47">
        <f t="shared" si="18"/>
        <v>2022</v>
      </c>
      <c r="B409" s="46">
        <f t="shared" si="19"/>
        <v>32</v>
      </c>
      <c r="C409" s="46">
        <f t="shared" si="20"/>
        <v>32</v>
      </c>
      <c r="D409" s="1"/>
      <c r="E409" s="1" t="s">
        <v>890</v>
      </c>
      <c r="F409" s="19" t="s">
        <v>891</v>
      </c>
      <c r="G409" s="1" t="s">
        <v>9</v>
      </c>
      <c r="H409" s="1" t="s">
        <v>91</v>
      </c>
      <c r="I409" s="2">
        <v>44774</v>
      </c>
      <c r="J409" s="3">
        <v>0.34930555555555554</v>
      </c>
      <c r="K409" s="1" t="s">
        <v>73</v>
      </c>
      <c r="L409" s="2">
        <v>44774</v>
      </c>
      <c r="M409" s="3">
        <v>0.49583333333333335</v>
      </c>
      <c r="N409" s="19" t="s">
        <v>892</v>
      </c>
      <c r="O409" s="21"/>
    </row>
    <row r="410" spans="1:15" customFormat="1" ht="43.2" hidden="1" x14ac:dyDescent="0.3">
      <c r="A410" s="47">
        <f t="shared" si="18"/>
        <v>2022</v>
      </c>
      <c r="B410" s="46">
        <f t="shared" si="19"/>
        <v>32</v>
      </c>
      <c r="C410" s="46">
        <f t="shared" si="20"/>
        <v>32</v>
      </c>
      <c r="D410" s="1"/>
      <c r="E410" s="1" t="s">
        <v>893</v>
      </c>
      <c r="F410" s="19" t="s">
        <v>529</v>
      </c>
      <c r="G410" s="1" t="s">
        <v>9</v>
      </c>
      <c r="H410" s="1" t="s">
        <v>91</v>
      </c>
      <c r="I410" s="2">
        <v>44774</v>
      </c>
      <c r="J410" s="3">
        <v>0.51944444444444449</v>
      </c>
      <c r="K410" s="1" t="s">
        <v>73</v>
      </c>
      <c r="L410" s="2">
        <v>44774</v>
      </c>
      <c r="M410" s="3">
        <v>0.69444444444444453</v>
      </c>
      <c r="N410" s="19" t="s">
        <v>894</v>
      </c>
      <c r="O410" s="21"/>
    </row>
    <row r="411" spans="1:15" customFormat="1" ht="28.8" hidden="1" x14ac:dyDescent="0.3">
      <c r="A411" s="47">
        <f t="shared" si="18"/>
        <v>2022</v>
      </c>
      <c r="B411" s="46">
        <f t="shared" si="19"/>
        <v>32</v>
      </c>
      <c r="C411" s="46">
        <f t="shared" si="20"/>
        <v>32</v>
      </c>
      <c r="D411" s="1"/>
      <c r="E411" s="1" t="s">
        <v>895</v>
      </c>
      <c r="F411" s="19" t="s">
        <v>896</v>
      </c>
      <c r="G411" s="1" t="s">
        <v>9</v>
      </c>
      <c r="H411" s="1" t="s">
        <v>91</v>
      </c>
      <c r="I411" s="2">
        <v>44775</v>
      </c>
      <c r="J411" s="3">
        <v>0.37847222222222227</v>
      </c>
      <c r="K411" s="1" t="s">
        <v>73</v>
      </c>
      <c r="L411" s="2">
        <v>44775</v>
      </c>
      <c r="M411" s="3">
        <v>0.47430555555555554</v>
      </c>
      <c r="N411" s="19" t="s">
        <v>897</v>
      </c>
      <c r="O411" s="21"/>
    </row>
    <row r="412" spans="1:15" ht="100.8" hidden="1" x14ac:dyDescent="0.3">
      <c r="A412" s="47">
        <f t="shared" si="18"/>
        <v>2022</v>
      </c>
      <c r="B412" s="46">
        <f t="shared" si="19"/>
        <v>33</v>
      </c>
      <c r="C412" s="46">
        <f t="shared" si="20"/>
        <v>33</v>
      </c>
      <c r="E412" s="56" t="s">
        <v>898</v>
      </c>
      <c r="F412" s="88" t="s">
        <v>899</v>
      </c>
      <c r="G412" s="56" t="s">
        <v>900</v>
      </c>
      <c r="H412" s="56" t="s">
        <v>91</v>
      </c>
      <c r="I412" s="57">
        <v>44781</v>
      </c>
      <c r="J412" s="58">
        <v>0.68055555555555547</v>
      </c>
      <c r="K412" s="56" t="s">
        <v>73</v>
      </c>
      <c r="L412" s="57">
        <v>44784</v>
      </c>
      <c r="M412" s="58">
        <v>0.57916666666666672</v>
      </c>
      <c r="N412" s="88" t="s">
        <v>901</v>
      </c>
    </row>
    <row r="413" spans="1:15" ht="129.6" hidden="1" x14ac:dyDescent="0.3">
      <c r="A413" s="47">
        <f t="shared" si="18"/>
        <v>2022</v>
      </c>
      <c r="B413" s="46">
        <f t="shared" si="19"/>
        <v>33</v>
      </c>
      <c r="C413" s="46">
        <f t="shared" si="20"/>
        <v>33</v>
      </c>
      <c r="E413" s="56" t="s">
        <v>902</v>
      </c>
      <c r="F413" s="88" t="s">
        <v>903</v>
      </c>
      <c r="G413" s="56" t="s">
        <v>900</v>
      </c>
      <c r="H413" s="56" t="s">
        <v>91</v>
      </c>
      <c r="I413" s="57">
        <v>44781</v>
      </c>
      <c r="J413" s="58">
        <v>0.68333333333333324</v>
      </c>
      <c r="K413" s="56" t="s">
        <v>73</v>
      </c>
      <c r="L413" s="57">
        <v>44784</v>
      </c>
      <c r="M413" s="58">
        <v>0.71180555555555547</v>
      </c>
      <c r="N413" s="88" t="s">
        <v>904</v>
      </c>
    </row>
    <row r="414" spans="1:15" ht="86.4" hidden="1" x14ac:dyDescent="0.3">
      <c r="A414" s="47">
        <f t="shared" si="18"/>
        <v>2022</v>
      </c>
      <c r="B414" s="46">
        <f t="shared" si="19"/>
        <v>33</v>
      </c>
      <c r="C414" s="46">
        <f t="shared" si="20"/>
        <v>33</v>
      </c>
      <c r="E414" s="56" t="s">
        <v>905</v>
      </c>
      <c r="F414" s="88" t="s">
        <v>906</v>
      </c>
      <c r="G414" s="56" t="s">
        <v>900</v>
      </c>
      <c r="H414" s="56" t="s">
        <v>91</v>
      </c>
      <c r="I414" s="57">
        <v>44783</v>
      </c>
      <c r="J414" s="58">
        <v>0.71319444444444446</v>
      </c>
      <c r="K414" s="56" t="s">
        <v>73</v>
      </c>
      <c r="L414" s="57">
        <v>44785</v>
      </c>
      <c r="M414" s="58">
        <v>0.3444444444444445</v>
      </c>
      <c r="N414" s="88" t="s">
        <v>907</v>
      </c>
    </row>
    <row r="415" spans="1:15" ht="86.4" hidden="1" x14ac:dyDescent="0.3">
      <c r="A415" s="47">
        <f t="shared" si="18"/>
        <v>2022</v>
      </c>
      <c r="B415" s="46">
        <f t="shared" si="19"/>
        <v>33</v>
      </c>
      <c r="C415" s="46">
        <f t="shared" si="20"/>
        <v>33</v>
      </c>
      <c r="E415" s="56" t="s">
        <v>905</v>
      </c>
      <c r="F415" s="88" t="s">
        <v>906</v>
      </c>
      <c r="G415" s="56" t="s">
        <v>900</v>
      </c>
      <c r="H415" s="56" t="s">
        <v>91</v>
      </c>
      <c r="I415" s="57">
        <v>44785</v>
      </c>
      <c r="J415" s="58">
        <v>0.36180555555555555</v>
      </c>
      <c r="K415" s="56" t="s">
        <v>73</v>
      </c>
      <c r="L415" s="57">
        <v>44785</v>
      </c>
      <c r="M415" s="58">
        <v>0.7055555555555556</v>
      </c>
      <c r="N415" s="88" t="s">
        <v>908</v>
      </c>
    </row>
    <row r="416" spans="1:15" customFormat="1" ht="72" hidden="1" x14ac:dyDescent="0.3">
      <c r="A416" s="47">
        <f t="shared" si="18"/>
        <v>2022</v>
      </c>
      <c r="B416" s="46">
        <f t="shared" si="19"/>
        <v>33</v>
      </c>
      <c r="C416" s="46">
        <f t="shared" si="20"/>
        <v>34</v>
      </c>
      <c r="D416" s="1"/>
      <c r="E416" s="1" t="s">
        <v>909</v>
      </c>
      <c r="F416" s="19" t="s">
        <v>910</v>
      </c>
      <c r="G416" s="1" t="s">
        <v>9</v>
      </c>
      <c r="H416" s="1" t="s">
        <v>91</v>
      </c>
      <c r="I416" s="2">
        <v>44784</v>
      </c>
      <c r="J416" s="3">
        <v>0.40277777777777773</v>
      </c>
      <c r="K416" s="1" t="s">
        <v>73</v>
      </c>
      <c r="L416" s="2">
        <v>44789</v>
      </c>
      <c r="M416" s="3">
        <v>0.66111111111111109</v>
      </c>
      <c r="N416" s="19" t="s">
        <v>911</v>
      </c>
      <c r="O416" s="21"/>
    </row>
    <row r="417" spans="1:15" customFormat="1" ht="28.8" hidden="1" x14ac:dyDescent="0.3">
      <c r="A417" s="47">
        <f t="shared" si="18"/>
        <v>2022</v>
      </c>
      <c r="B417" s="46">
        <f t="shared" si="19"/>
        <v>33</v>
      </c>
      <c r="C417" s="46">
        <f t="shared" si="20"/>
        <v>34</v>
      </c>
      <c r="D417" s="1"/>
      <c r="E417" s="1" t="s">
        <v>912</v>
      </c>
      <c r="F417" s="19" t="s">
        <v>913</v>
      </c>
      <c r="G417" s="1" t="s">
        <v>10</v>
      </c>
      <c r="H417" s="1" t="s">
        <v>91</v>
      </c>
      <c r="I417" s="2">
        <v>44784</v>
      </c>
      <c r="J417" s="3">
        <v>0.69861111111111107</v>
      </c>
      <c r="K417" s="1" t="s">
        <v>73</v>
      </c>
      <c r="L417" s="2">
        <v>44789</v>
      </c>
      <c r="M417" s="3">
        <v>0.66597222222222219</v>
      </c>
      <c r="N417" s="19" t="s">
        <v>914</v>
      </c>
      <c r="O417" s="21"/>
    </row>
    <row r="418" spans="1:15" ht="28.8" hidden="1" x14ac:dyDescent="0.3">
      <c r="A418" s="47">
        <f t="shared" si="18"/>
        <v>2022</v>
      </c>
      <c r="B418" s="46">
        <f t="shared" si="19"/>
        <v>33</v>
      </c>
      <c r="C418" s="46">
        <f t="shared" si="20"/>
        <v>34</v>
      </c>
      <c r="E418" s="1" t="s">
        <v>915</v>
      </c>
      <c r="F418" s="19" t="s">
        <v>916</v>
      </c>
      <c r="G418" s="1" t="s">
        <v>900</v>
      </c>
      <c r="H418" s="1" t="s">
        <v>91</v>
      </c>
      <c r="I418" s="2">
        <v>44785</v>
      </c>
      <c r="J418" s="3">
        <v>0.53888888888888886</v>
      </c>
      <c r="K418" s="1" t="s">
        <v>73</v>
      </c>
      <c r="L418" s="2">
        <v>44789</v>
      </c>
      <c r="M418" s="3">
        <v>0.70763888888888893</v>
      </c>
      <c r="N418" s="19" t="s">
        <v>917</v>
      </c>
    </row>
    <row r="419" spans="1:15" customFormat="1" ht="43.2" hidden="1" x14ac:dyDescent="0.3">
      <c r="A419" s="47">
        <f t="shared" si="18"/>
        <v>2022</v>
      </c>
      <c r="B419" s="46">
        <f t="shared" si="19"/>
        <v>34</v>
      </c>
      <c r="C419" s="46">
        <f t="shared" si="20"/>
        <v>34</v>
      </c>
      <c r="D419" s="1"/>
      <c r="E419" s="1" t="s">
        <v>918</v>
      </c>
      <c r="F419" s="19" t="s">
        <v>919</v>
      </c>
      <c r="G419" s="1" t="s">
        <v>10</v>
      </c>
      <c r="H419" s="1" t="s">
        <v>91</v>
      </c>
      <c r="I419" s="2">
        <v>44788</v>
      </c>
      <c r="J419" s="3">
        <v>0.41666666666666669</v>
      </c>
      <c r="K419" s="1" t="s">
        <v>73</v>
      </c>
      <c r="L419" s="2">
        <v>44789</v>
      </c>
      <c r="M419" s="1"/>
      <c r="N419" s="19" t="s">
        <v>920</v>
      </c>
      <c r="O419" s="21"/>
    </row>
    <row r="420" spans="1:15" customFormat="1" ht="43.2" hidden="1" x14ac:dyDescent="0.3">
      <c r="A420" s="47">
        <f t="shared" si="18"/>
        <v>2022</v>
      </c>
      <c r="B420" s="46">
        <f t="shared" si="19"/>
        <v>33</v>
      </c>
      <c r="C420" s="46">
        <f t="shared" si="20"/>
        <v>34</v>
      </c>
      <c r="D420" s="1"/>
      <c r="E420" s="1" t="s">
        <v>921</v>
      </c>
      <c r="F420" s="19" t="s">
        <v>766</v>
      </c>
      <c r="G420" s="1" t="s">
        <v>10</v>
      </c>
      <c r="H420" s="1" t="s">
        <v>91</v>
      </c>
      <c r="I420" s="2">
        <v>44785</v>
      </c>
      <c r="J420" s="3">
        <v>0.5541666666666667</v>
      </c>
      <c r="K420" s="1" t="s">
        <v>73</v>
      </c>
      <c r="L420" s="2">
        <v>44791</v>
      </c>
      <c r="M420" s="3">
        <v>0.44027777777777777</v>
      </c>
      <c r="N420" s="19" t="s">
        <v>922</v>
      </c>
      <c r="O420" s="21"/>
    </row>
    <row r="421" spans="1:15" customFormat="1" hidden="1" x14ac:dyDescent="0.3">
      <c r="A421" s="47">
        <f t="shared" si="18"/>
        <v>2022</v>
      </c>
      <c r="B421" s="46">
        <f t="shared" si="19"/>
        <v>33</v>
      </c>
      <c r="C421" s="46">
        <f t="shared" si="20"/>
        <v>34</v>
      </c>
      <c r="D421" s="1"/>
      <c r="E421" s="1" t="s">
        <v>923</v>
      </c>
      <c r="F421" s="19" t="s">
        <v>924</v>
      </c>
      <c r="G421" s="1" t="s">
        <v>10</v>
      </c>
      <c r="H421" s="1" t="s">
        <v>91</v>
      </c>
      <c r="I421" s="2">
        <v>44785</v>
      </c>
      <c r="J421" s="3">
        <v>0.55833333333333335</v>
      </c>
      <c r="K421" s="1" t="s">
        <v>73</v>
      </c>
      <c r="L421" s="2">
        <v>44791</v>
      </c>
      <c r="M421" s="3">
        <v>0.6020833333333333</v>
      </c>
      <c r="N421" s="19" t="s">
        <v>925</v>
      </c>
      <c r="O421" s="21"/>
    </row>
    <row r="422" spans="1:15" customFormat="1" ht="43.2" hidden="1" x14ac:dyDescent="0.3">
      <c r="A422" s="47">
        <f t="shared" si="18"/>
        <v>2022</v>
      </c>
      <c r="B422" s="46">
        <f t="shared" si="19"/>
        <v>34</v>
      </c>
      <c r="C422" s="46">
        <f t="shared" si="20"/>
        <v>34</v>
      </c>
      <c r="D422" s="1"/>
      <c r="E422" s="1" t="s">
        <v>926</v>
      </c>
      <c r="F422" s="19" t="s">
        <v>927</v>
      </c>
      <c r="G422" s="1" t="s">
        <v>10</v>
      </c>
      <c r="H422" s="1" t="s">
        <v>91</v>
      </c>
      <c r="I422" s="2">
        <v>44788</v>
      </c>
      <c r="J422" s="3">
        <v>0.41805555555555557</v>
      </c>
      <c r="K422" s="1" t="s">
        <v>73</v>
      </c>
      <c r="L422" s="2">
        <v>44791</v>
      </c>
      <c r="M422" s="1"/>
      <c r="N422" s="19" t="s">
        <v>928</v>
      </c>
      <c r="O422" s="21"/>
    </row>
    <row r="423" spans="1:15" customFormat="1" hidden="1" x14ac:dyDescent="0.3">
      <c r="A423" s="47">
        <f t="shared" si="18"/>
        <v>2022</v>
      </c>
      <c r="B423" s="46">
        <f t="shared" si="19"/>
        <v>33</v>
      </c>
      <c r="C423" s="46">
        <f t="shared" si="20"/>
        <v>34</v>
      </c>
      <c r="D423" s="1"/>
      <c r="E423" s="1" t="s">
        <v>929</v>
      </c>
      <c r="F423" s="19" t="s">
        <v>877</v>
      </c>
      <c r="G423" s="1" t="s">
        <v>10</v>
      </c>
      <c r="H423" s="1" t="s">
        <v>91</v>
      </c>
      <c r="I423" s="2">
        <v>44785</v>
      </c>
      <c r="J423" s="3">
        <v>0.56805555555555554</v>
      </c>
      <c r="K423" s="1" t="s">
        <v>73</v>
      </c>
      <c r="L423" s="2">
        <v>44791</v>
      </c>
      <c r="M423" s="3">
        <v>0.6333333333333333</v>
      </c>
      <c r="N423" s="19" t="s">
        <v>930</v>
      </c>
      <c r="O423" s="21"/>
    </row>
    <row r="424" spans="1:15" customFormat="1" ht="28.8" hidden="1" x14ac:dyDescent="0.3">
      <c r="A424" s="47">
        <f t="shared" si="18"/>
        <v>2022</v>
      </c>
      <c r="B424" s="46">
        <f t="shared" si="19"/>
        <v>34</v>
      </c>
      <c r="C424" s="46">
        <f t="shared" si="20"/>
        <v>34</v>
      </c>
      <c r="D424" s="1"/>
      <c r="E424" s="1" t="s">
        <v>931</v>
      </c>
      <c r="F424" s="19" t="s">
        <v>646</v>
      </c>
      <c r="G424" s="1" t="s">
        <v>10</v>
      </c>
      <c r="H424" s="1" t="s">
        <v>91</v>
      </c>
      <c r="I424" s="2">
        <v>44788</v>
      </c>
      <c r="J424" s="3">
        <v>0.64583333333333337</v>
      </c>
      <c r="K424" s="1" t="s">
        <v>73</v>
      </c>
      <c r="L424" s="2">
        <v>44791</v>
      </c>
      <c r="M424" s="3">
        <v>0.65069444444444446</v>
      </c>
      <c r="N424" s="19" t="s">
        <v>932</v>
      </c>
      <c r="O424" s="21"/>
    </row>
    <row r="425" spans="1:15" customFormat="1" hidden="1" x14ac:dyDescent="0.3">
      <c r="A425" s="47">
        <f t="shared" si="18"/>
        <v>2022</v>
      </c>
      <c r="B425" s="46">
        <f t="shared" si="19"/>
        <v>34</v>
      </c>
      <c r="C425" s="46">
        <f t="shared" si="20"/>
        <v>34</v>
      </c>
      <c r="D425" s="1"/>
      <c r="E425" s="1" t="s">
        <v>933</v>
      </c>
      <c r="F425" s="19" t="s">
        <v>934</v>
      </c>
      <c r="G425" s="1" t="s">
        <v>10</v>
      </c>
      <c r="H425" s="1" t="s">
        <v>91</v>
      </c>
      <c r="I425" s="2">
        <v>44788</v>
      </c>
      <c r="J425" s="3">
        <v>0.66597222222222219</v>
      </c>
      <c r="K425" s="1" t="s">
        <v>73</v>
      </c>
      <c r="L425" s="2">
        <v>44791</v>
      </c>
      <c r="M425" s="3">
        <v>0.66041666666666665</v>
      </c>
      <c r="N425" s="19" t="s">
        <v>935</v>
      </c>
      <c r="O425" s="21"/>
    </row>
    <row r="426" spans="1:15" customFormat="1" hidden="1" x14ac:dyDescent="0.3">
      <c r="A426" s="47">
        <f t="shared" si="18"/>
        <v>2022</v>
      </c>
      <c r="B426" s="46">
        <f t="shared" si="19"/>
        <v>34</v>
      </c>
      <c r="C426" s="46">
        <f t="shared" si="20"/>
        <v>34</v>
      </c>
      <c r="D426" s="1"/>
      <c r="E426" s="1" t="s">
        <v>936</v>
      </c>
      <c r="F426" s="19" t="s">
        <v>927</v>
      </c>
      <c r="G426" s="1" t="s">
        <v>10</v>
      </c>
      <c r="H426" s="1" t="s">
        <v>91</v>
      </c>
      <c r="I426" s="2">
        <v>44788</v>
      </c>
      <c r="J426" s="3">
        <v>0.67291666666666661</v>
      </c>
      <c r="K426" s="1" t="s">
        <v>73</v>
      </c>
      <c r="L426" s="2">
        <v>44791</v>
      </c>
      <c r="M426" s="3">
        <v>0.6972222222222223</v>
      </c>
      <c r="N426" s="19" t="s">
        <v>930</v>
      </c>
      <c r="O426" s="21"/>
    </row>
    <row r="427" spans="1:15" customFormat="1" hidden="1" x14ac:dyDescent="0.3">
      <c r="A427" s="47">
        <f t="shared" si="18"/>
        <v>2022</v>
      </c>
      <c r="B427" s="46">
        <f t="shared" si="19"/>
        <v>34</v>
      </c>
      <c r="C427" s="46">
        <f t="shared" si="20"/>
        <v>34</v>
      </c>
      <c r="D427" s="1"/>
      <c r="E427" s="1" t="s">
        <v>937</v>
      </c>
      <c r="F427" s="19" t="s">
        <v>913</v>
      </c>
      <c r="G427" s="1" t="s">
        <v>10</v>
      </c>
      <c r="H427" s="1" t="s">
        <v>91</v>
      </c>
      <c r="I427" s="2">
        <v>44791</v>
      </c>
      <c r="J427" s="3">
        <v>0.67291666666666661</v>
      </c>
      <c r="K427" s="1" t="s">
        <v>73</v>
      </c>
      <c r="L427" s="2">
        <v>44791</v>
      </c>
      <c r="M427" s="3">
        <v>0.70763888888888893</v>
      </c>
      <c r="N427" s="19" t="s">
        <v>930</v>
      </c>
      <c r="O427" s="21"/>
    </row>
    <row r="428" spans="1:15" customFormat="1" ht="43.2" hidden="1" x14ac:dyDescent="0.3">
      <c r="A428" s="47">
        <f t="shared" si="18"/>
        <v>2022</v>
      </c>
      <c r="B428" s="46">
        <f t="shared" si="19"/>
        <v>34</v>
      </c>
      <c r="C428" s="46">
        <f t="shared" si="20"/>
        <v>34</v>
      </c>
      <c r="D428" s="1"/>
      <c r="E428" s="1" t="s">
        <v>938</v>
      </c>
      <c r="F428" s="19" t="s">
        <v>927</v>
      </c>
      <c r="G428" s="1" t="s">
        <v>10</v>
      </c>
      <c r="H428" s="1" t="s">
        <v>91</v>
      </c>
      <c r="I428" s="2">
        <v>44788</v>
      </c>
      <c r="J428" s="3">
        <v>0.67569444444444438</v>
      </c>
      <c r="K428" s="1" t="s">
        <v>73</v>
      </c>
      <c r="L428" s="2">
        <v>44791</v>
      </c>
      <c r="M428" s="3">
        <v>0.71875</v>
      </c>
      <c r="N428" s="19" t="s">
        <v>939</v>
      </c>
      <c r="O428" s="21"/>
    </row>
    <row r="429" spans="1:15" customFormat="1" ht="28.8" hidden="1" x14ac:dyDescent="0.3">
      <c r="A429" s="47">
        <f t="shared" si="18"/>
        <v>2022</v>
      </c>
      <c r="B429" s="46">
        <f t="shared" si="19"/>
        <v>34</v>
      </c>
      <c r="C429" s="46">
        <f t="shared" si="20"/>
        <v>34</v>
      </c>
      <c r="D429" s="1"/>
      <c r="E429" s="1" t="s">
        <v>940</v>
      </c>
      <c r="F429" s="19" t="s">
        <v>760</v>
      </c>
      <c r="G429" s="1" t="s">
        <v>10</v>
      </c>
      <c r="H429" s="1" t="s">
        <v>91</v>
      </c>
      <c r="I429" s="2">
        <v>44788</v>
      </c>
      <c r="J429" s="3">
        <v>0.67986111111111114</v>
      </c>
      <c r="K429" s="1" t="s">
        <v>73</v>
      </c>
      <c r="L429" s="2">
        <v>44792</v>
      </c>
      <c r="M429" s="3">
        <v>0.36249999999999999</v>
      </c>
      <c r="N429" s="19" t="s">
        <v>941</v>
      </c>
      <c r="O429" s="21"/>
    </row>
    <row r="430" spans="1:15" customFormat="1" hidden="1" x14ac:dyDescent="0.3">
      <c r="A430" s="47">
        <f t="shared" si="18"/>
        <v>2022</v>
      </c>
      <c r="B430" s="46">
        <f t="shared" si="19"/>
        <v>34</v>
      </c>
      <c r="C430" s="46">
        <f t="shared" si="20"/>
        <v>34</v>
      </c>
      <c r="D430" s="1"/>
      <c r="E430" s="1" t="s">
        <v>942</v>
      </c>
      <c r="F430" s="19" t="s">
        <v>927</v>
      </c>
      <c r="G430" s="1" t="s">
        <v>10</v>
      </c>
      <c r="H430" s="1" t="s">
        <v>91</v>
      </c>
      <c r="I430" s="2">
        <v>44789</v>
      </c>
      <c r="J430" s="3">
        <v>0.46527777777777773</v>
      </c>
      <c r="K430" s="1" t="s">
        <v>73</v>
      </c>
      <c r="L430" s="2">
        <v>44792</v>
      </c>
      <c r="M430" s="3">
        <v>0.44861111111111113</v>
      </c>
      <c r="N430" s="19" t="s">
        <v>930</v>
      </c>
      <c r="O430" s="21"/>
    </row>
    <row r="431" spans="1:15" hidden="1" x14ac:dyDescent="0.3">
      <c r="A431" s="47">
        <f t="shared" si="18"/>
        <v>2022</v>
      </c>
      <c r="B431" s="46">
        <f t="shared" si="19"/>
        <v>34</v>
      </c>
      <c r="C431" s="46">
        <f t="shared" si="20"/>
        <v>34</v>
      </c>
      <c r="E431" s="1" t="s">
        <v>943</v>
      </c>
      <c r="F431" s="19" t="s">
        <v>944</v>
      </c>
      <c r="G431" s="1" t="s">
        <v>900</v>
      </c>
      <c r="H431" s="1" t="s">
        <v>91</v>
      </c>
      <c r="I431" s="2">
        <v>44790</v>
      </c>
      <c r="J431" s="3">
        <v>0.4458333333333333</v>
      </c>
      <c r="K431" s="1" t="s">
        <v>73</v>
      </c>
      <c r="L431" s="2">
        <v>44792</v>
      </c>
      <c r="M431" s="3">
        <v>0.44305555555555554</v>
      </c>
      <c r="N431" s="19" t="s">
        <v>930</v>
      </c>
    </row>
    <row r="432" spans="1:15" customFormat="1" ht="28.8" hidden="1" x14ac:dyDescent="0.3">
      <c r="A432" s="47">
        <f t="shared" si="18"/>
        <v>2022</v>
      </c>
      <c r="B432" s="46">
        <f t="shared" si="19"/>
        <v>34</v>
      </c>
      <c r="C432" s="46">
        <f t="shared" si="20"/>
        <v>35</v>
      </c>
      <c r="D432" s="1"/>
      <c r="E432" s="1" t="s">
        <v>945</v>
      </c>
      <c r="F432" s="19" t="s">
        <v>946</v>
      </c>
      <c r="G432" s="1" t="s">
        <v>9</v>
      </c>
      <c r="H432" s="1" t="s">
        <v>91</v>
      </c>
      <c r="I432" s="2">
        <v>44790</v>
      </c>
      <c r="J432" s="3">
        <v>0.45763888888888887</v>
      </c>
      <c r="K432" s="1" t="s">
        <v>73</v>
      </c>
      <c r="L432" s="2">
        <v>44797</v>
      </c>
      <c r="M432" s="3">
        <v>0.71319444444444446</v>
      </c>
      <c r="N432" s="19" t="s">
        <v>947</v>
      </c>
      <c r="O432" s="21"/>
    </row>
    <row r="433" spans="1:15" customFormat="1" ht="28.8" hidden="1" x14ac:dyDescent="0.3">
      <c r="A433" s="47">
        <f t="shared" si="18"/>
        <v>2022</v>
      </c>
      <c r="B433" s="46">
        <f t="shared" si="19"/>
        <v>34</v>
      </c>
      <c r="C433" s="46">
        <f t="shared" si="20"/>
        <v>35</v>
      </c>
      <c r="D433" s="1"/>
      <c r="E433" s="1" t="s">
        <v>949</v>
      </c>
      <c r="F433" s="19" t="s">
        <v>948</v>
      </c>
      <c r="G433" s="1" t="s">
        <v>9</v>
      </c>
      <c r="H433" s="1" t="s">
        <v>91</v>
      </c>
      <c r="I433" s="2">
        <v>44790</v>
      </c>
      <c r="J433" s="3">
        <v>0.48680555555555555</v>
      </c>
      <c r="K433" s="1" t="s">
        <v>73</v>
      </c>
      <c r="L433" s="2">
        <v>44797</v>
      </c>
      <c r="M433" s="3">
        <v>0.43958333333333338</v>
      </c>
      <c r="N433" s="19" t="s">
        <v>1002</v>
      </c>
      <c r="O433" s="21"/>
    </row>
    <row r="434" spans="1:15" customFormat="1" ht="28.8" hidden="1" x14ac:dyDescent="0.3">
      <c r="A434" s="47">
        <f t="shared" si="18"/>
        <v>2022</v>
      </c>
      <c r="B434" s="46">
        <f t="shared" si="19"/>
        <v>34</v>
      </c>
      <c r="C434" s="46">
        <f t="shared" si="20"/>
        <v>35</v>
      </c>
      <c r="D434" s="1"/>
      <c r="E434" s="1" t="s">
        <v>950</v>
      </c>
      <c r="F434" s="19" t="s">
        <v>948</v>
      </c>
      <c r="G434" s="1" t="s">
        <v>9</v>
      </c>
      <c r="H434" s="1" t="s">
        <v>91</v>
      </c>
      <c r="I434" s="2">
        <v>44790</v>
      </c>
      <c r="J434" s="3">
        <v>0.50208333333333333</v>
      </c>
      <c r="K434" s="1" t="s">
        <v>73</v>
      </c>
      <c r="L434" s="2">
        <v>44796</v>
      </c>
      <c r="M434" s="3">
        <v>0.3430555555555555</v>
      </c>
      <c r="N434" s="19" t="s">
        <v>951</v>
      </c>
      <c r="O434" s="21"/>
    </row>
    <row r="435" spans="1:15" customFormat="1" ht="28.8" hidden="1" x14ac:dyDescent="0.3">
      <c r="A435" s="47">
        <f t="shared" si="18"/>
        <v>2022</v>
      </c>
      <c r="B435" s="46">
        <f t="shared" si="19"/>
        <v>34</v>
      </c>
      <c r="C435" s="46">
        <f t="shared" si="20"/>
        <v>35</v>
      </c>
      <c r="D435" s="1"/>
      <c r="E435" s="1" t="s">
        <v>952</v>
      </c>
      <c r="F435" s="19" t="s">
        <v>948</v>
      </c>
      <c r="G435" s="1" t="s">
        <v>9</v>
      </c>
      <c r="H435" s="1" t="s">
        <v>91</v>
      </c>
      <c r="I435" s="2">
        <v>44790</v>
      </c>
      <c r="J435" s="3">
        <v>0.50277777777777777</v>
      </c>
      <c r="K435" s="1" t="s">
        <v>73</v>
      </c>
      <c r="L435" s="2">
        <v>44796</v>
      </c>
      <c r="M435" s="3">
        <v>0.34375</v>
      </c>
      <c r="N435" s="19" t="s">
        <v>951</v>
      </c>
      <c r="O435" s="21"/>
    </row>
    <row r="436" spans="1:15" customFormat="1" hidden="1" x14ac:dyDescent="0.3">
      <c r="A436" s="47">
        <f t="shared" si="18"/>
        <v>2022</v>
      </c>
      <c r="B436" s="46">
        <f t="shared" si="19"/>
        <v>34</v>
      </c>
      <c r="C436" s="46">
        <f t="shared" si="20"/>
        <v>35</v>
      </c>
      <c r="D436" s="1"/>
      <c r="E436" s="1" t="s">
        <v>953</v>
      </c>
      <c r="F436" s="19" t="s">
        <v>927</v>
      </c>
      <c r="G436" s="1" t="s">
        <v>10</v>
      </c>
      <c r="H436" s="1" t="s">
        <v>91</v>
      </c>
      <c r="I436" s="2">
        <v>44790</v>
      </c>
      <c r="J436" s="3">
        <v>0.50138888888888888</v>
      </c>
      <c r="K436" s="1" t="s">
        <v>73</v>
      </c>
      <c r="L436" s="2">
        <v>44796</v>
      </c>
      <c r="M436" s="3">
        <v>0.3444444444444445</v>
      </c>
      <c r="N436" s="19" t="s">
        <v>955</v>
      </c>
      <c r="O436" s="21"/>
    </row>
    <row r="437" spans="1:15" customFormat="1" ht="43.2" hidden="1" x14ac:dyDescent="0.3">
      <c r="A437" s="47">
        <f t="shared" si="18"/>
        <v>2022</v>
      </c>
      <c r="B437" s="46">
        <f t="shared" si="19"/>
        <v>34</v>
      </c>
      <c r="C437" s="46">
        <f t="shared" si="20"/>
        <v>35</v>
      </c>
      <c r="D437" s="1"/>
      <c r="E437" s="1" t="s">
        <v>954</v>
      </c>
      <c r="F437" s="19" t="s">
        <v>946</v>
      </c>
      <c r="G437" s="1" t="s">
        <v>9</v>
      </c>
      <c r="H437" s="1" t="s">
        <v>91</v>
      </c>
      <c r="I437" s="2">
        <v>44790</v>
      </c>
      <c r="J437" s="3">
        <v>0.50416666666666665</v>
      </c>
      <c r="K437" s="1" t="s">
        <v>73</v>
      </c>
      <c r="L437" s="2">
        <v>44797</v>
      </c>
      <c r="M437" s="3">
        <v>0.58680555555555558</v>
      </c>
      <c r="N437" s="19" t="s">
        <v>970</v>
      </c>
      <c r="O437" s="21"/>
    </row>
    <row r="438" spans="1:15" customFormat="1" ht="43.2" hidden="1" x14ac:dyDescent="0.3">
      <c r="A438" s="47">
        <f t="shared" si="18"/>
        <v>2022</v>
      </c>
      <c r="B438" s="46">
        <f t="shared" si="19"/>
        <v>34</v>
      </c>
      <c r="C438" s="46">
        <f t="shared" si="20"/>
        <v>35</v>
      </c>
      <c r="D438" s="1"/>
      <c r="E438" s="1" t="s">
        <v>956</v>
      </c>
      <c r="F438" s="19" t="s">
        <v>946</v>
      </c>
      <c r="G438" s="1" t="s">
        <v>9</v>
      </c>
      <c r="H438" s="1" t="s">
        <v>91</v>
      </c>
      <c r="I438" s="2">
        <v>44790</v>
      </c>
      <c r="J438" s="3">
        <v>0.50486111111111109</v>
      </c>
      <c r="K438" s="1" t="s">
        <v>73</v>
      </c>
      <c r="L438" s="2">
        <v>44796</v>
      </c>
      <c r="M438" s="3">
        <v>0.34791666666666665</v>
      </c>
      <c r="N438" s="19" t="s">
        <v>957</v>
      </c>
      <c r="O438" s="21"/>
    </row>
    <row r="439" spans="1:15" customFormat="1" ht="28.8" hidden="1" x14ac:dyDescent="0.3">
      <c r="A439" s="47">
        <f t="shared" si="18"/>
        <v>2022</v>
      </c>
      <c r="B439" s="46">
        <f t="shared" si="19"/>
        <v>34</v>
      </c>
      <c r="C439" s="46">
        <f t="shared" si="20"/>
        <v>35</v>
      </c>
      <c r="D439" s="1"/>
      <c r="E439" s="1" t="s">
        <v>958</v>
      </c>
      <c r="F439" s="19" t="s">
        <v>927</v>
      </c>
      <c r="G439" s="1" t="s">
        <v>10</v>
      </c>
      <c r="H439" s="1" t="s">
        <v>91</v>
      </c>
      <c r="I439" s="2">
        <v>44791</v>
      </c>
      <c r="J439" s="3">
        <v>0.40972222222222227</v>
      </c>
      <c r="K439" s="1" t="s">
        <v>73</v>
      </c>
      <c r="L439" s="2">
        <v>44796</v>
      </c>
      <c r="M439" s="3">
        <v>0.34861111111111115</v>
      </c>
      <c r="N439" s="19" t="s">
        <v>959</v>
      </c>
      <c r="O439" s="21"/>
    </row>
    <row r="440" spans="1:15" customFormat="1" ht="72" hidden="1" x14ac:dyDescent="0.3">
      <c r="A440" s="47">
        <f t="shared" si="18"/>
        <v>2022</v>
      </c>
      <c r="B440" s="46">
        <f t="shared" si="19"/>
        <v>34</v>
      </c>
      <c r="C440" s="46">
        <f t="shared" si="20"/>
        <v>35</v>
      </c>
      <c r="D440" s="1"/>
      <c r="E440" s="1" t="s">
        <v>960</v>
      </c>
      <c r="F440" s="19" t="s">
        <v>919</v>
      </c>
      <c r="G440" s="1" t="s">
        <v>10</v>
      </c>
      <c r="H440" s="1" t="s">
        <v>91</v>
      </c>
      <c r="I440" s="2">
        <v>44791</v>
      </c>
      <c r="J440" s="3">
        <v>0.44375000000000003</v>
      </c>
      <c r="K440" s="1" t="s">
        <v>73</v>
      </c>
      <c r="L440" s="2">
        <v>44796</v>
      </c>
      <c r="M440" s="3">
        <v>0.34861111111111115</v>
      </c>
      <c r="N440" s="19" t="s">
        <v>961</v>
      </c>
      <c r="O440" s="21"/>
    </row>
    <row r="441" spans="1:15" customFormat="1" ht="72" hidden="1" x14ac:dyDescent="0.3">
      <c r="A441" s="47">
        <f t="shared" si="18"/>
        <v>2022</v>
      </c>
      <c r="B441" s="46">
        <f t="shared" si="19"/>
        <v>34</v>
      </c>
      <c r="C441" s="46">
        <f t="shared" si="20"/>
        <v>35</v>
      </c>
      <c r="D441" s="1"/>
      <c r="E441" s="1" t="s">
        <v>962</v>
      </c>
      <c r="F441" s="19" t="s">
        <v>963</v>
      </c>
      <c r="G441" s="1" t="s">
        <v>10</v>
      </c>
      <c r="H441" s="1" t="s">
        <v>91</v>
      </c>
      <c r="I441" s="2">
        <v>44791</v>
      </c>
      <c r="J441" s="3">
        <v>0.44722222222222219</v>
      </c>
      <c r="K441" s="1" t="s">
        <v>73</v>
      </c>
      <c r="L441" s="2">
        <v>44796</v>
      </c>
      <c r="M441" s="3">
        <v>0.34930555555555554</v>
      </c>
      <c r="N441" s="19" t="s">
        <v>964</v>
      </c>
      <c r="O441" s="21"/>
    </row>
    <row r="442" spans="1:15" customFormat="1" ht="43.2" hidden="1" x14ac:dyDescent="0.3">
      <c r="A442" s="47">
        <f t="shared" si="18"/>
        <v>2022</v>
      </c>
      <c r="B442" s="46">
        <f t="shared" si="19"/>
        <v>34</v>
      </c>
      <c r="C442" s="46">
        <f t="shared" si="20"/>
        <v>35</v>
      </c>
      <c r="D442" s="1"/>
      <c r="E442" s="1" t="s">
        <v>965</v>
      </c>
      <c r="F442" s="19" t="s">
        <v>966</v>
      </c>
      <c r="G442" s="1" t="s">
        <v>9</v>
      </c>
      <c r="H442" s="1" t="s">
        <v>91</v>
      </c>
      <c r="I442" s="2">
        <v>44791</v>
      </c>
      <c r="J442" s="3">
        <v>0.44930555555555557</v>
      </c>
      <c r="K442" s="1" t="s">
        <v>73</v>
      </c>
      <c r="L442" s="2">
        <v>44796</v>
      </c>
      <c r="M442" s="3">
        <v>0.34930555555555554</v>
      </c>
      <c r="N442" s="19" t="s">
        <v>967</v>
      </c>
      <c r="O442" s="21"/>
    </row>
    <row r="443" spans="1:15" customFormat="1" ht="57.6" hidden="1" x14ac:dyDescent="0.3">
      <c r="A443" s="47">
        <f t="shared" si="18"/>
        <v>2022</v>
      </c>
      <c r="B443" s="46">
        <f t="shared" si="19"/>
        <v>34</v>
      </c>
      <c r="C443" s="46">
        <f t="shared" si="20"/>
        <v>35</v>
      </c>
      <c r="D443" s="1"/>
      <c r="E443" s="1" t="s">
        <v>968</v>
      </c>
      <c r="F443" s="19" t="s">
        <v>966</v>
      </c>
      <c r="G443" s="1" t="s">
        <v>9</v>
      </c>
      <c r="H443" s="1" t="s">
        <v>91</v>
      </c>
      <c r="I443" s="2">
        <v>44791</v>
      </c>
      <c r="J443" s="3">
        <v>0.44930555555555557</v>
      </c>
      <c r="K443" s="1" t="s">
        <v>73</v>
      </c>
      <c r="L443" s="2">
        <v>44796</v>
      </c>
      <c r="M443" s="3">
        <v>0.34930555555555554</v>
      </c>
      <c r="N443" s="19" t="s">
        <v>969</v>
      </c>
      <c r="O443" s="21"/>
    </row>
    <row r="444" spans="1:15" ht="129.6" hidden="1" x14ac:dyDescent="0.3">
      <c r="A444" s="47">
        <f t="shared" si="18"/>
        <v>2022</v>
      </c>
      <c r="B444" s="46">
        <f t="shared" si="19"/>
        <v>34</v>
      </c>
      <c r="C444" s="46">
        <f t="shared" si="20"/>
        <v>35</v>
      </c>
      <c r="E444" s="56" t="s">
        <v>971</v>
      </c>
      <c r="F444" s="88" t="s">
        <v>1006</v>
      </c>
      <c r="G444" s="56" t="s">
        <v>900</v>
      </c>
      <c r="H444" s="56" t="s">
        <v>91</v>
      </c>
      <c r="I444" s="57">
        <v>44792</v>
      </c>
      <c r="J444" s="58">
        <v>0.42222222222222222</v>
      </c>
      <c r="K444" s="56" t="s">
        <v>73</v>
      </c>
      <c r="L444" s="57">
        <v>44796</v>
      </c>
      <c r="M444" s="59" t="s">
        <v>973</v>
      </c>
      <c r="N444" s="88" t="s">
        <v>972</v>
      </c>
    </row>
    <row r="445" spans="1:15" customFormat="1" ht="28.8" hidden="1" x14ac:dyDescent="0.3">
      <c r="A445" s="47">
        <f t="shared" si="18"/>
        <v>2022</v>
      </c>
      <c r="B445" s="46">
        <f t="shared" si="19"/>
        <v>34</v>
      </c>
      <c r="C445" s="46">
        <f t="shared" si="20"/>
        <v>35</v>
      </c>
      <c r="D445" s="1"/>
      <c r="E445" s="1" t="s">
        <v>974</v>
      </c>
      <c r="F445" s="19" t="s">
        <v>927</v>
      </c>
      <c r="G445" s="1" t="s">
        <v>10</v>
      </c>
      <c r="H445" s="1" t="s">
        <v>91</v>
      </c>
      <c r="I445" s="2">
        <v>44792</v>
      </c>
      <c r="J445" s="3">
        <v>0.6972222222222223</v>
      </c>
      <c r="K445" s="1" t="s">
        <v>73</v>
      </c>
      <c r="L445" s="2">
        <v>44796</v>
      </c>
      <c r="M445" s="3">
        <v>0.4465277777777778</v>
      </c>
      <c r="N445" s="19" t="s">
        <v>975</v>
      </c>
      <c r="O445" s="21"/>
    </row>
    <row r="446" spans="1:15" customFormat="1" ht="28.8" hidden="1" x14ac:dyDescent="0.3">
      <c r="A446" s="47">
        <f t="shared" si="18"/>
        <v>2022</v>
      </c>
      <c r="B446" s="46">
        <f t="shared" si="19"/>
        <v>34</v>
      </c>
      <c r="C446" s="46">
        <f t="shared" si="20"/>
        <v>35</v>
      </c>
      <c r="D446" s="1"/>
      <c r="E446" s="1" t="s">
        <v>976</v>
      </c>
      <c r="F446" s="19" t="s">
        <v>927</v>
      </c>
      <c r="G446" s="1" t="s">
        <v>10</v>
      </c>
      <c r="H446" s="1" t="s">
        <v>91</v>
      </c>
      <c r="I446" s="2">
        <v>44792</v>
      </c>
      <c r="J446" s="3">
        <v>0.70138888888888884</v>
      </c>
      <c r="K446" s="1" t="s">
        <v>73</v>
      </c>
      <c r="L446" s="2">
        <v>44796</v>
      </c>
      <c r="M446" s="3">
        <v>0.44930555555555557</v>
      </c>
      <c r="N446" s="19" t="s">
        <v>975</v>
      </c>
      <c r="O446" s="21"/>
    </row>
    <row r="447" spans="1:15" customFormat="1" ht="28.8" hidden="1" x14ac:dyDescent="0.3">
      <c r="A447" s="47">
        <f t="shared" si="18"/>
        <v>2022</v>
      </c>
      <c r="B447" s="46">
        <f t="shared" si="19"/>
        <v>35</v>
      </c>
      <c r="C447" s="46">
        <f t="shared" si="20"/>
        <v>35</v>
      </c>
      <c r="D447" s="1"/>
      <c r="E447" s="1" t="s">
        <v>977</v>
      </c>
      <c r="F447" s="19" t="s">
        <v>562</v>
      </c>
      <c r="G447" s="1" t="s">
        <v>10</v>
      </c>
      <c r="H447" s="1" t="s">
        <v>91</v>
      </c>
      <c r="I447" s="2">
        <v>44795</v>
      </c>
      <c r="J447" s="3">
        <v>0.36319444444444443</v>
      </c>
      <c r="K447" s="1" t="s">
        <v>73</v>
      </c>
      <c r="L447" s="2">
        <v>44796</v>
      </c>
      <c r="M447" s="3">
        <v>0.45416666666666666</v>
      </c>
      <c r="N447" s="19" t="s">
        <v>978</v>
      </c>
      <c r="O447" s="21"/>
    </row>
    <row r="448" spans="1:15" customFormat="1" ht="28.8" hidden="1" x14ac:dyDescent="0.3">
      <c r="A448" s="47">
        <f t="shared" si="18"/>
        <v>2022</v>
      </c>
      <c r="B448" s="46">
        <f t="shared" si="19"/>
        <v>35</v>
      </c>
      <c r="C448" s="46">
        <f t="shared" si="20"/>
        <v>35</v>
      </c>
      <c r="D448" s="1"/>
      <c r="E448" s="1" t="s">
        <v>979</v>
      </c>
      <c r="F448" s="19" t="s">
        <v>562</v>
      </c>
      <c r="G448" s="1" t="s">
        <v>10</v>
      </c>
      <c r="H448" s="1" t="s">
        <v>91</v>
      </c>
      <c r="I448" s="2">
        <v>44795</v>
      </c>
      <c r="J448" s="3">
        <v>0.3666666666666667</v>
      </c>
      <c r="K448" s="1" t="s">
        <v>73</v>
      </c>
      <c r="L448" s="2">
        <v>44796</v>
      </c>
      <c r="M448" s="3">
        <v>0.45833333333333331</v>
      </c>
      <c r="N448" s="19" t="s">
        <v>980</v>
      </c>
      <c r="O448" s="21"/>
    </row>
    <row r="449" spans="1:15" customFormat="1" ht="28.8" hidden="1" x14ac:dyDescent="0.3">
      <c r="A449" s="47">
        <f t="shared" si="18"/>
        <v>2022</v>
      </c>
      <c r="B449" s="46">
        <f t="shared" si="19"/>
        <v>35</v>
      </c>
      <c r="C449" s="46">
        <f t="shared" si="20"/>
        <v>35</v>
      </c>
      <c r="D449" s="1"/>
      <c r="E449" s="1" t="s">
        <v>981</v>
      </c>
      <c r="F449" s="19" t="s">
        <v>562</v>
      </c>
      <c r="G449" s="1" t="s">
        <v>10</v>
      </c>
      <c r="H449" s="1" t="s">
        <v>91</v>
      </c>
      <c r="I449" s="2">
        <v>44795</v>
      </c>
      <c r="J449" s="3">
        <v>0.36944444444444446</v>
      </c>
      <c r="K449" s="1" t="s">
        <v>73</v>
      </c>
      <c r="L449" s="2">
        <v>44796</v>
      </c>
      <c r="M449" s="3">
        <v>0.46388888888888885</v>
      </c>
      <c r="N449" s="19" t="s">
        <v>980</v>
      </c>
      <c r="O449" s="21"/>
    </row>
    <row r="450" spans="1:15" customFormat="1" ht="28.8" hidden="1" x14ac:dyDescent="0.3">
      <c r="A450" s="47">
        <f t="shared" si="18"/>
        <v>2022</v>
      </c>
      <c r="B450" s="46">
        <f t="shared" si="19"/>
        <v>35</v>
      </c>
      <c r="C450" s="46">
        <f t="shared" si="20"/>
        <v>35</v>
      </c>
      <c r="D450" s="1"/>
      <c r="E450" s="1" t="s">
        <v>982</v>
      </c>
      <c r="F450" s="19" t="s">
        <v>562</v>
      </c>
      <c r="G450" s="1" t="s">
        <v>10</v>
      </c>
      <c r="H450" s="1" t="s">
        <v>91</v>
      </c>
      <c r="I450" s="2">
        <v>44795</v>
      </c>
      <c r="J450" s="3">
        <v>0.37291666666666662</v>
      </c>
      <c r="K450" s="1" t="s">
        <v>73</v>
      </c>
      <c r="L450" s="2">
        <v>44796</v>
      </c>
      <c r="M450" s="3">
        <v>0.46736111111111112</v>
      </c>
      <c r="N450" s="19" t="s">
        <v>983</v>
      </c>
      <c r="O450" s="21"/>
    </row>
    <row r="451" spans="1:15" customFormat="1" ht="185.55" hidden="1" customHeight="1" x14ac:dyDescent="0.3">
      <c r="A451" s="47" t="e">
        <f t="shared" ref="A451:A514" si="21">YEAR(L451)</f>
        <v>#VALUE!</v>
      </c>
      <c r="B451" s="46">
        <f t="shared" ref="B451:B514" si="22">WEEKNUM(I451)</f>
        <v>35</v>
      </c>
      <c r="C451" s="46" t="e">
        <f t="shared" ref="C451:C514" si="23">WEEKNUM(L451)</f>
        <v>#VALUE!</v>
      </c>
      <c r="D451" s="1"/>
      <c r="E451" s="1" t="s">
        <v>984</v>
      </c>
      <c r="F451" s="19" t="s">
        <v>927</v>
      </c>
      <c r="G451" s="1" t="s">
        <v>10</v>
      </c>
      <c r="H451" s="1" t="s">
        <v>91</v>
      </c>
      <c r="I451" s="2">
        <v>44795</v>
      </c>
      <c r="J451" s="3">
        <v>0.3979166666666667</v>
      </c>
      <c r="K451" s="1" t="s">
        <v>73</v>
      </c>
      <c r="L451" s="34" t="s">
        <v>1017</v>
      </c>
      <c r="M451" s="28" t="s">
        <v>1019</v>
      </c>
      <c r="N451" s="69" t="s">
        <v>1018</v>
      </c>
      <c r="O451" s="21"/>
    </row>
    <row r="452" spans="1:15" customFormat="1" ht="43.2" hidden="1" x14ac:dyDescent="0.3">
      <c r="A452" s="47">
        <f t="shared" si="21"/>
        <v>2022</v>
      </c>
      <c r="B452" s="46">
        <f t="shared" si="22"/>
        <v>35</v>
      </c>
      <c r="C452" s="46">
        <f t="shared" si="23"/>
        <v>35</v>
      </c>
      <c r="D452" s="1"/>
      <c r="E452" s="1" t="s">
        <v>985</v>
      </c>
      <c r="F452" s="19" t="s">
        <v>986</v>
      </c>
      <c r="G452" s="1" t="s">
        <v>10</v>
      </c>
      <c r="H452" s="1" t="s">
        <v>91</v>
      </c>
      <c r="I452" s="2">
        <v>44795</v>
      </c>
      <c r="J452" s="3">
        <v>0.65069444444444446</v>
      </c>
      <c r="K452" s="1" t="s">
        <v>73</v>
      </c>
      <c r="L452" s="2">
        <v>44796</v>
      </c>
      <c r="M452" s="3">
        <v>0.60833333333333328</v>
      </c>
      <c r="N452" s="19" t="s">
        <v>987</v>
      </c>
      <c r="O452" s="21"/>
    </row>
    <row r="453" spans="1:15" customFormat="1" ht="28.8" hidden="1" x14ac:dyDescent="0.3">
      <c r="A453" s="47">
        <f t="shared" si="21"/>
        <v>2022</v>
      </c>
      <c r="B453" s="46">
        <f t="shared" si="22"/>
        <v>35</v>
      </c>
      <c r="C453" s="46">
        <f t="shared" si="23"/>
        <v>35</v>
      </c>
      <c r="D453" s="1"/>
      <c r="E453" s="1" t="s">
        <v>988</v>
      </c>
      <c r="F453" s="19" t="s">
        <v>927</v>
      </c>
      <c r="G453" s="1" t="s">
        <v>10</v>
      </c>
      <c r="H453" s="1" t="s">
        <v>91</v>
      </c>
      <c r="I453" s="2">
        <v>44796</v>
      </c>
      <c r="J453" s="3">
        <v>0.32847222222222222</v>
      </c>
      <c r="K453" s="1" t="s">
        <v>73</v>
      </c>
      <c r="L453" s="2">
        <v>44796</v>
      </c>
      <c r="M453" s="3">
        <v>0.65069444444444446</v>
      </c>
      <c r="N453" s="19" t="s">
        <v>983</v>
      </c>
      <c r="O453" s="21"/>
    </row>
    <row r="454" spans="1:15" customFormat="1" ht="52.35" hidden="1" customHeight="1" x14ac:dyDescent="0.3">
      <c r="A454" s="47">
        <f t="shared" si="21"/>
        <v>2022</v>
      </c>
      <c r="B454" s="46">
        <f t="shared" si="22"/>
        <v>35</v>
      </c>
      <c r="C454" s="46">
        <f t="shared" si="23"/>
        <v>35</v>
      </c>
      <c r="D454" s="1"/>
      <c r="E454" s="1" t="s">
        <v>989</v>
      </c>
      <c r="F454" s="19" t="s">
        <v>990</v>
      </c>
      <c r="G454" s="1" t="s">
        <v>10</v>
      </c>
      <c r="H454" s="1" t="s">
        <v>91</v>
      </c>
      <c r="I454" s="2">
        <v>44796</v>
      </c>
      <c r="J454" s="3">
        <v>0.32847222222222222</v>
      </c>
      <c r="K454" s="1" t="s">
        <v>73</v>
      </c>
      <c r="L454" s="2">
        <v>44796</v>
      </c>
      <c r="M454" s="3">
        <v>0.6743055555555556</v>
      </c>
      <c r="N454" s="19" t="s">
        <v>991</v>
      </c>
      <c r="O454" s="21"/>
    </row>
    <row r="455" spans="1:15" customFormat="1" ht="41.1" hidden="1" customHeight="1" x14ac:dyDescent="0.3">
      <c r="A455" s="47">
        <f t="shared" si="21"/>
        <v>2022</v>
      </c>
      <c r="B455" s="46">
        <f t="shared" si="22"/>
        <v>35</v>
      </c>
      <c r="C455" s="46">
        <f t="shared" si="23"/>
        <v>35</v>
      </c>
      <c r="D455" s="1"/>
      <c r="E455" s="1" t="s">
        <v>992</v>
      </c>
      <c r="F455" s="19" t="s">
        <v>993</v>
      </c>
      <c r="G455" s="1" t="s">
        <v>10</v>
      </c>
      <c r="H455" s="1" t="s">
        <v>91</v>
      </c>
      <c r="I455" s="2">
        <v>44796</v>
      </c>
      <c r="J455" s="3">
        <v>0.3347222222222222</v>
      </c>
      <c r="K455" s="1" t="s">
        <v>73</v>
      </c>
      <c r="L455" s="2">
        <v>44796</v>
      </c>
      <c r="M455" s="3">
        <v>0.67708333333333337</v>
      </c>
      <c r="N455" s="19" t="s">
        <v>991</v>
      </c>
      <c r="O455" s="21"/>
    </row>
    <row r="456" spans="1:15" customFormat="1" ht="43.2" hidden="1" x14ac:dyDescent="0.3">
      <c r="A456" s="47">
        <f t="shared" si="21"/>
        <v>2022</v>
      </c>
      <c r="B456" s="46">
        <f t="shared" si="22"/>
        <v>35</v>
      </c>
      <c r="C456" s="46">
        <f t="shared" si="23"/>
        <v>35</v>
      </c>
      <c r="D456" s="1"/>
      <c r="E456" s="1" t="s">
        <v>994</v>
      </c>
      <c r="F456" s="19" t="s">
        <v>636</v>
      </c>
      <c r="G456" s="1" t="s">
        <v>10</v>
      </c>
      <c r="H456" s="1" t="s">
        <v>91</v>
      </c>
      <c r="I456" s="2">
        <v>44796</v>
      </c>
      <c r="J456" s="3">
        <v>0.39374999999999999</v>
      </c>
      <c r="K456" s="1" t="s">
        <v>73</v>
      </c>
      <c r="L456" s="2">
        <v>44796</v>
      </c>
      <c r="M456" s="3">
        <v>0.68125000000000002</v>
      </c>
      <c r="N456" s="19" t="s">
        <v>996</v>
      </c>
      <c r="O456" s="21"/>
    </row>
    <row r="457" spans="1:15" customFormat="1" ht="43.2" hidden="1" x14ac:dyDescent="0.3">
      <c r="A457" s="47">
        <f t="shared" si="21"/>
        <v>2022</v>
      </c>
      <c r="B457" s="46">
        <f t="shared" si="22"/>
        <v>35</v>
      </c>
      <c r="C457" s="46">
        <f t="shared" si="23"/>
        <v>35</v>
      </c>
      <c r="D457" s="1"/>
      <c r="E457" s="1" t="s">
        <v>995</v>
      </c>
      <c r="F457" s="19" t="s">
        <v>636</v>
      </c>
      <c r="G457" s="1" t="s">
        <v>10</v>
      </c>
      <c r="H457" s="1" t="s">
        <v>91</v>
      </c>
      <c r="I457" s="2">
        <v>44796</v>
      </c>
      <c r="J457" s="3">
        <v>0.39652777777777781</v>
      </c>
      <c r="K457" s="1" t="s">
        <v>73</v>
      </c>
      <c r="L457" s="2">
        <v>44796</v>
      </c>
      <c r="M457" s="3">
        <v>0.68263888888888891</v>
      </c>
      <c r="N457" s="19" t="s">
        <v>997</v>
      </c>
      <c r="O457" s="21"/>
    </row>
    <row r="458" spans="1:15" customFormat="1" ht="43.2" hidden="1" x14ac:dyDescent="0.3">
      <c r="A458" s="47">
        <f t="shared" si="21"/>
        <v>2022</v>
      </c>
      <c r="B458" s="46">
        <f t="shared" si="22"/>
        <v>35</v>
      </c>
      <c r="C458" s="46">
        <f t="shared" si="23"/>
        <v>35</v>
      </c>
      <c r="D458" s="1"/>
      <c r="E458" s="1" t="s">
        <v>998</v>
      </c>
      <c r="F458" s="19" t="s">
        <v>636</v>
      </c>
      <c r="G458" s="1" t="s">
        <v>10</v>
      </c>
      <c r="H458" s="1" t="s">
        <v>91</v>
      </c>
      <c r="I458" s="2">
        <v>44796</v>
      </c>
      <c r="J458" s="3">
        <v>0.39652777777777781</v>
      </c>
      <c r="K458" s="1" t="s">
        <v>73</v>
      </c>
      <c r="L458" s="2">
        <v>44796</v>
      </c>
      <c r="M458" s="3">
        <v>0.68472222222222223</v>
      </c>
      <c r="N458" s="19" t="s">
        <v>999</v>
      </c>
      <c r="O458" s="21"/>
    </row>
    <row r="459" spans="1:15" customFormat="1" ht="43.2" hidden="1" x14ac:dyDescent="0.3">
      <c r="A459" s="47">
        <f t="shared" si="21"/>
        <v>2022</v>
      </c>
      <c r="B459" s="46">
        <f t="shared" si="22"/>
        <v>35</v>
      </c>
      <c r="C459" s="46">
        <f t="shared" si="23"/>
        <v>35</v>
      </c>
      <c r="D459" s="1"/>
      <c r="E459" s="1" t="s">
        <v>1000</v>
      </c>
      <c r="F459" s="19" t="s">
        <v>966</v>
      </c>
      <c r="G459" s="1" t="s">
        <v>9</v>
      </c>
      <c r="H459" s="1" t="s">
        <v>91</v>
      </c>
      <c r="I459" s="2">
        <v>44796</v>
      </c>
      <c r="J459" s="3">
        <v>0.40069444444444446</v>
      </c>
      <c r="K459" s="1" t="s">
        <v>73</v>
      </c>
      <c r="L459" s="2">
        <v>44796</v>
      </c>
      <c r="M459" s="3">
        <v>0.71111111111111114</v>
      </c>
      <c r="N459" s="19" t="s">
        <v>1001</v>
      </c>
      <c r="O459" s="21"/>
    </row>
    <row r="460" spans="1:15" customFormat="1" ht="43.2" hidden="1" x14ac:dyDescent="0.3">
      <c r="A460" s="47">
        <f t="shared" si="21"/>
        <v>2022</v>
      </c>
      <c r="B460" s="46">
        <f t="shared" si="22"/>
        <v>35</v>
      </c>
      <c r="C460" s="46">
        <f t="shared" si="23"/>
        <v>35</v>
      </c>
      <c r="D460" s="1"/>
      <c r="E460" s="1" t="s">
        <v>1003</v>
      </c>
      <c r="F460" s="19" t="s">
        <v>760</v>
      </c>
      <c r="G460" s="1" t="s">
        <v>10</v>
      </c>
      <c r="H460" s="1" t="s">
        <v>91</v>
      </c>
      <c r="I460" s="2">
        <v>44796</v>
      </c>
      <c r="J460" s="3">
        <v>0.72013888888888899</v>
      </c>
      <c r="K460" s="1" t="s">
        <v>73</v>
      </c>
      <c r="L460" s="2">
        <v>44798</v>
      </c>
      <c r="M460" s="3">
        <v>0.45763888888888887</v>
      </c>
      <c r="N460" s="19" t="s">
        <v>1004</v>
      </c>
      <c r="O460" s="21"/>
    </row>
    <row r="461" spans="1:15" ht="43.2" hidden="1" x14ac:dyDescent="0.3">
      <c r="A461" s="47" t="e">
        <f t="shared" si="21"/>
        <v>#VALUE!</v>
      </c>
      <c r="B461" s="46">
        <f t="shared" si="22"/>
        <v>35</v>
      </c>
      <c r="C461" s="46" t="e">
        <f t="shared" si="23"/>
        <v>#VALUE!</v>
      </c>
      <c r="E461" s="56" t="s">
        <v>1005</v>
      </c>
      <c r="F461" s="88" t="s">
        <v>1006</v>
      </c>
      <c r="G461" s="56" t="s">
        <v>900</v>
      </c>
      <c r="H461" s="56" t="s">
        <v>91</v>
      </c>
      <c r="I461" s="57">
        <v>44797</v>
      </c>
      <c r="J461" s="58">
        <v>0.42430555555555555</v>
      </c>
      <c r="K461" s="56" t="s">
        <v>73</v>
      </c>
      <c r="L461" s="60" t="s">
        <v>1008</v>
      </c>
      <c r="M461" s="59" t="s">
        <v>1009</v>
      </c>
      <c r="N461" s="88" t="s">
        <v>1331</v>
      </c>
    </row>
    <row r="462" spans="1:15" ht="28.8" hidden="1" x14ac:dyDescent="0.3">
      <c r="A462" s="47">
        <f t="shared" si="21"/>
        <v>2022</v>
      </c>
      <c r="B462" s="46">
        <f t="shared" si="22"/>
        <v>35</v>
      </c>
      <c r="C462" s="46">
        <f t="shared" si="23"/>
        <v>35</v>
      </c>
      <c r="E462" s="1" t="s">
        <v>1010</v>
      </c>
      <c r="F462" s="19" t="s">
        <v>1011</v>
      </c>
      <c r="G462" s="1" t="s">
        <v>900</v>
      </c>
      <c r="H462" s="1" t="s">
        <v>91</v>
      </c>
      <c r="I462" s="2">
        <v>44797</v>
      </c>
      <c r="J462" s="3">
        <v>0.42430555555555555</v>
      </c>
      <c r="K462" s="1" t="s">
        <v>73</v>
      </c>
      <c r="L462" s="2">
        <v>44798</v>
      </c>
      <c r="M462" s="3">
        <v>0.47500000000000003</v>
      </c>
      <c r="N462" s="19" t="s">
        <v>1007</v>
      </c>
    </row>
    <row r="463" spans="1:15" ht="28.8" hidden="1" x14ac:dyDescent="0.3">
      <c r="A463" s="47">
        <f t="shared" si="21"/>
        <v>2022</v>
      </c>
      <c r="B463" s="46">
        <f t="shared" si="22"/>
        <v>35</v>
      </c>
      <c r="C463" s="46">
        <f t="shared" si="23"/>
        <v>36</v>
      </c>
      <c r="E463" s="56" t="s">
        <v>1012</v>
      </c>
      <c r="F463" s="88" t="s">
        <v>1330</v>
      </c>
      <c r="G463" s="56" t="s">
        <v>900</v>
      </c>
      <c r="H463" s="56" t="s">
        <v>91</v>
      </c>
      <c r="I463" s="57">
        <v>44798</v>
      </c>
      <c r="J463" s="58">
        <v>0.73263888888888884</v>
      </c>
      <c r="K463" s="56" t="s">
        <v>73</v>
      </c>
      <c r="L463" s="57">
        <v>44802</v>
      </c>
      <c r="M463" s="56" t="s">
        <v>1013</v>
      </c>
      <c r="N463" s="88" t="s">
        <v>1014</v>
      </c>
    </row>
    <row r="464" spans="1:15" hidden="1" x14ac:dyDescent="0.3">
      <c r="A464" s="47">
        <f t="shared" si="21"/>
        <v>2022</v>
      </c>
      <c r="B464" s="46">
        <f t="shared" si="22"/>
        <v>36</v>
      </c>
      <c r="C464" s="46">
        <f t="shared" si="23"/>
        <v>36</v>
      </c>
      <c r="E464" s="1" t="s">
        <v>1015</v>
      </c>
      <c r="F464" s="19" t="s">
        <v>1016</v>
      </c>
      <c r="G464" s="1" t="s">
        <v>900</v>
      </c>
      <c r="H464" s="1" t="s">
        <v>91</v>
      </c>
      <c r="I464" s="2">
        <v>44802</v>
      </c>
      <c r="J464" s="3">
        <v>0.36944444444444446</v>
      </c>
      <c r="K464" s="1" t="s">
        <v>73</v>
      </c>
      <c r="L464" s="2">
        <v>44803</v>
      </c>
      <c r="M464" s="3">
        <v>0.50624999999999998</v>
      </c>
      <c r="N464" s="19" t="s">
        <v>1021</v>
      </c>
    </row>
    <row r="465" spans="1:15" customFormat="1" ht="129.6" hidden="1" x14ac:dyDescent="0.3">
      <c r="A465" s="47">
        <f t="shared" si="21"/>
        <v>2022</v>
      </c>
      <c r="B465" s="46">
        <f t="shared" si="22"/>
        <v>35</v>
      </c>
      <c r="C465" s="46">
        <f t="shared" si="23"/>
        <v>36</v>
      </c>
      <c r="D465" s="1"/>
      <c r="E465" s="1" t="s">
        <v>1020</v>
      </c>
      <c r="F465" s="19" t="s">
        <v>966</v>
      </c>
      <c r="G465" s="1" t="s">
        <v>9</v>
      </c>
      <c r="H465" s="1" t="s">
        <v>91</v>
      </c>
      <c r="I465" s="2">
        <v>44798</v>
      </c>
      <c r="J465" s="3">
        <v>0.7416666666666667</v>
      </c>
      <c r="K465" s="1" t="s">
        <v>73</v>
      </c>
      <c r="L465" s="2">
        <v>44803</v>
      </c>
      <c r="M465" s="3">
        <v>0.73541666666666661</v>
      </c>
      <c r="N465" s="19" t="s">
        <v>1027</v>
      </c>
      <c r="O465" s="21"/>
    </row>
    <row r="466" spans="1:15" customFormat="1" hidden="1" x14ac:dyDescent="0.3">
      <c r="A466" s="47">
        <f t="shared" si="21"/>
        <v>2022</v>
      </c>
      <c r="B466" s="46">
        <f t="shared" si="22"/>
        <v>36</v>
      </c>
      <c r="C466" s="46">
        <f t="shared" si="23"/>
        <v>36</v>
      </c>
      <c r="D466" s="1"/>
      <c r="E466" s="1" t="s">
        <v>1022</v>
      </c>
      <c r="F466" s="19" t="s">
        <v>1023</v>
      </c>
      <c r="G466" s="1" t="s">
        <v>10</v>
      </c>
      <c r="H466" s="1" t="s">
        <v>91</v>
      </c>
      <c r="I466" s="2">
        <v>44803</v>
      </c>
      <c r="J466" s="3">
        <v>0.3611111111111111</v>
      </c>
      <c r="K466" s="1" t="s">
        <v>73</v>
      </c>
      <c r="L466" s="2">
        <v>44803</v>
      </c>
      <c r="M466" s="3">
        <v>0.57291666666666663</v>
      </c>
      <c r="N466" s="19" t="s">
        <v>1021</v>
      </c>
      <c r="O466" s="21"/>
    </row>
    <row r="467" spans="1:15" customFormat="1" ht="72" hidden="1" x14ac:dyDescent="0.3">
      <c r="A467" s="47">
        <f t="shared" si="21"/>
        <v>2022</v>
      </c>
      <c r="B467" s="46">
        <f t="shared" si="22"/>
        <v>36</v>
      </c>
      <c r="C467" s="46">
        <f t="shared" si="23"/>
        <v>36</v>
      </c>
      <c r="D467" s="1"/>
      <c r="E467" s="1" t="s">
        <v>1024</v>
      </c>
      <c r="F467" s="19" t="s">
        <v>1025</v>
      </c>
      <c r="G467" s="1" t="s">
        <v>10</v>
      </c>
      <c r="H467" s="1" t="s">
        <v>91</v>
      </c>
      <c r="I467" s="2">
        <v>44803</v>
      </c>
      <c r="J467" s="3">
        <v>0.40069444444444446</v>
      </c>
      <c r="K467" s="1" t="s">
        <v>73</v>
      </c>
      <c r="L467" s="2">
        <v>44803</v>
      </c>
      <c r="M467" s="3">
        <v>0.61805555555555558</v>
      </c>
      <c r="N467" s="19" t="s">
        <v>1026</v>
      </c>
      <c r="O467" s="21"/>
    </row>
    <row r="468" spans="1:15" customFormat="1" ht="28.8" hidden="1" x14ac:dyDescent="0.3">
      <c r="A468" s="47">
        <f t="shared" si="21"/>
        <v>2022</v>
      </c>
      <c r="B468" s="46">
        <f t="shared" si="22"/>
        <v>36</v>
      </c>
      <c r="C468" s="46">
        <f t="shared" si="23"/>
        <v>37</v>
      </c>
      <c r="D468" s="1"/>
      <c r="E468" s="1" t="s">
        <v>1029</v>
      </c>
      <c r="F468" s="19" t="s">
        <v>1030</v>
      </c>
      <c r="G468" s="1" t="s">
        <v>9</v>
      </c>
      <c r="H468" s="1" t="s">
        <v>91</v>
      </c>
      <c r="I468" s="2">
        <v>44806</v>
      </c>
      <c r="J468" s="3">
        <v>0.64236111111111105</v>
      </c>
      <c r="K468" s="1" t="s">
        <v>73</v>
      </c>
      <c r="L468" s="2">
        <v>44809</v>
      </c>
      <c r="M468" s="3">
        <v>0.35972222222222222</v>
      </c>
      <c r="N468" s="19" t="s">
        <v>1028</v>
      </c>
      <c r="O468" s="21"/>
    </row>
    <row r="469" spans="1:15" customFormat="1" ht="57.6" hidden="1" x14ac:dyDescent="0.3">
      <c r="A469" s="47">
        <f t="shared" si="21"/>
        <v>2022</v>
      </c>
      <c r="B469" s="46">
        <f t="shared" si="22"/>
        <v>36</v>
      </c>
      <c r="C469" s="46">
        <f t="shared" si="23"/>
        <v>37</v>
      </c>
      <c r="D469" s="1"/>
      <c r="E469" s="1" t="s">
        <v>1031</v>
      </c>
      <c r="F469" s="19" t="s">
        <v>1032</v>
      </c>
      <c r="G469" s="1" t="s">
        <v>9</v>
      </c>
      <c r="H469" s="1" t="s">
        <v>91</v>
      </c>
      <c r="I469" s="2">
        <v>44806</v>
      </c>
      <c r="J469" s="3">
        <v>0.66805555555555562</v>
      </c>
      <c r="K469" s="1" t="s">
        <v>73</v>
      </c>
      <c r="L469" s="2">
        <v>44809</v>
      </c>
      <c r="M469" s="3">
        <v>0.50347222222222221</v>
      </c>
      <c r="N469" s="19" t="s">
        <v>1033</v>
      </c>
      <c r="O469" s="21"/>
    </row>
    <row r="470" spans="1:15" customFormat="1" ht="72" hidden="1" x14ac:dyDescent="0.3">
      <c r="A470" s="47">
        <f t="shared" si="21"/>
        <v>2022</v>
      </c>
      <c r="B470" s="46">
        <f t="shared" si="22"/>
        <v>37</v>
      </c>
      <c r="C470" s="46">
        <f t="shared" si="23"/>
        <v>37</v>
      </c>
      <c r="D470" s="1"/>
      <c r="E470" s="1" t="s">
        <v>1034</v>
      </c>
      <c r="F470" s="19" t="s">
        <v>1035</v>
      </c>
      <c r="G470" s="1" t="s">
        <v>9</v>
      </c>
      <c r="H470" s="1" t="s">
        <v>91</v>
      </c>
      <c r="I470" s="2">
        <v>44809</v>
      </c>
      <c r="J470" s="3">
        <v>0.73055555555555562</v>
      </c>
      <c r="K470" s="1" t="s">
        <v>73</v>
      </c>
      <c r="L470" s="2">
        <v>44810</v>
      </c>
      <c r="M470" s="3">
        <v>0.38819444444444445</v>
      </c>
      <c r="N470" s="19" t="s">
        <v>1036</v>
      </c>
      <c r="O470" s="21"/>
    </row>
    <row r="471" spans="1:15" customFormat="1" ht="28.8" hidden="1" x14ac:dyDescent="0.3">
      <c r="A471" s="47">
        <f t="shared" si="21"/>
        <v>2022</v>
      </c>
      <c r="B471" s="46">
        <f t="shared" si="22"/>
        <v>37</v>
      </c>
      <c r="C471" s="46">
        <f t="shared" si="23"/>
        <v>37</v>
      </c>
      <c r="D471" s="1"/>
      <c r="E471" s="1" t="s">
        <v>1037</v>
      </c>
      <c r="F471" s="19" t="s">
        <v>646</v>
      </c>
      <c r="G471" s="1" t="s">
        <v>10</v>
      </c>
      <c r="H471" s="1" t="s">
        <v>91</v>
      </c>
      <c r="I471" s="2">
        <v>44813</v>
      </c>
      <c r="J471" s="3">
        <v>0.50416666666666665</v>
      </c>
      <c r="K471" s="1" t="s">
        <v>73</v>
      </c>
      <c r="L471" s="2">
        <v>44813</v>
      </c>
      <c r="M471" s="3">
        <v>0.68125000000000002</v>
      </c>
      <c r="N471" s="19" t="s">
        <v>1038</v>
      </c>
      <c r="O471" s="21"/>
    </row>
    <row r="472" spans="1:15" customFormat="1" ht="28.8" hidden="1" x14ac:dyDescent="0.3">
      <c r="A472" s="47">
        <f t="shared" si="21"/>
        <v>2022</v>
      </c>
      <c r="B472" s="46">
        <f t="shared" si="22"/>
        <v>37</v>
      </c>
      <c r="C472" s="46">
        <f t="shared" si="23"/>
        <v>37</v>
      </c>
      <c r="D472" s="1"/>
      <c r="E472" s="1" t="s">
        <v>1039</v>
      </c>
      <c r="F472" s="19" t="s">
        <v>1040</v>
      </c>
      <c r="G472" s="1" t="s">
        <v>10</v>
      </c>
      <c r="H472" s="1" t="s">
        <v>91</v>
      </c>
      <c r="I472" s="2">
        <v>44813</v>
      </c>
      <c r="J472" s="3">
        <v>0.50694444444444442</v>
      </c>
      <c r="K472" s="1" t="s">
        <v>73</v>
      </c>
      <c r="L472" s="2">
        <v>44813</v>
      </c>
      <c r="M472" s="3">
        <v>0.68333333333333324</v>
      </c>
      <c r="N472" s="19" t="s">
        <v>1041</v>
      </c>
      <c r="O472" s="21"/>
    </row>
    <row r="473" spans="1:15" customFormat="1" hidden="1" x14ac:dyDescent="0.3">
      <c r="A473" s="47">
        <f t="shared" si="21"/>
        <v>2022</v>
      </c>
      <c r="B473" s="46">
        <f t="shared" si="22"/>
        <v>38</v>
      </c>
      <c r="C473" s="46">
        <f t="shared" si="23"/>
        <v>38</v>
      </c>
      <c r="D473" s="1"/>
      <c r="E473" s="1" t="s">
        <v>1042</v>
      </c>
      <c r="F473" s="19" t="s">
        <v>877</v>
      </c>
      <c r="G473" s="1" t="s">
        <v>10</v>
      </c>
      <c r="H473" s="1" t="s">
        <v>91</v>
      </c>
      <c r="I473" s="2">
        <v>44816</v>
      </c>
      <c r="J473" s="3">
        <v>0.32708333333333334</v>
      </c>
      <c r="K473" s="1" t="s">
        <v>73</v>
      </c>
      <c r="L473" s="2">
        <v>44816</v>
      </c>
      <c r="M473" s="3">
        <v>0.7055555555555556</v>
      </c>
      <c r="N473" s="19" t="s">
        <v>1043</v>
      </c>
      <c r="O473" s="21"/>
    </row>
    <row r="474" spans="1:15" customFormat="1" hidden="1" x14ac:dyDescent="0.3">
      <c r="A474" s="47">
        <f t="shared" si="21"/>
        <v>2022</v>
      </c>
      <c r="B474" s="46">
        <f t="shared" si="22"/>
        <v>38</v>
      </c>
      <c r="C474" s="46">
        <f t="shared" si="23"/>
        <v>38</v>
      </c>
      <c r="D474" s="1"/>
      <c r="E474" s="1" t="s">
        <v>1044</v>
      </c>
      <c r="F474" s="19" t="s">
        <v>1045</v>
      </c>
      <c r="G474" s="1" t="s">
        <v>10</v>
      </c>
      <c r="H474" s="1" t="s">
        <v>91</v>
      </c>
      <c r="I474" s="2">
        <v>44817</v>
      </c>
      <c r="J474" s="3">
        <v>0.37013888888888885</v>
      </c>
      <c r="K474" s="1" t="s">
        <v>73</v>
      </c>
      <c r="L474" s="2">
        <v>44817</v>
      </c>
      <c r="M474" s="3">
        <v>0.35833333333333334</v>
      </c>
      <c r="N474" s="19" t="s">
        <v>83</v>
      </c>
      <c r="O474" s="21"/>
    </row>
    <row r="475" spans="1:15" customFormat="1" hidden="1" x14ac:dyDescent="0.3">
      <c r="A475" s="47">
        <f t="shared" si="21"/>
        <v>2022</v>
      </c>
      <c r="B475" s="46">
        <f t="shared" si="22"/>
        <v>38</v>
      </c>
      <c r="C475" s="46">
        <f t="shared" si="23"/>
        <v>38</v>
      </c>
      <c r="D475" s="1"/>
      <c r="E475" s="1" t="s">
        <v>1046</v>
      </c>
      <c r="F475" s="19" t="s">
        <v>646</v>
      </c>
      <c r="G475" s="1" t="s">
        <v>10</v>
      </c>
      <c r="H475" s="1" t="s">
        <v>91</v>
      </c>
      <c r="I475" s="2">
        <v>44819</v>
      </c>
      <c r="J475" s="3">
        <v>0.41319444444444442</v>
      </c>
      <c r="K475" s="1" t="s">
        <v>73</v>
      </c>
      <c r="L475" s="2">
        <v>44819</v>
      </c>
      <c r="M475" s="3">
        <v>0.45555555555555555</v>
      </c>
      <c r="N475" s="19" t="s">
        <v>1047</v>
      </c>
      <c r="O475" s="21"/>
    </row>
    <row r="476" spans="1:15" customFormat="1" ht="28.8" hidden="1" x14ac:dyDescent="0.3">
      <c r="A476" s="47">
        <f t="shared" si="21"/>
        <v>2022</v>
      </c>
      <c r="B476" s="46">
        <f t="shared" si="22"/>
        <v>38</v>
      </c>
      <c r="C476" s="46">
        <f t="shared" si="23"/>
        <v>38</v>
      </c>
      <c r="D476" s="1"/>
      <c r="E476" s="1" t="s">
        <v>1048</v>
      </c>
      <c r="F476" s="19" t="s">
        <v>1049</v>
      </c>
      <c r="G476" s="1" t="s">
        <v>9</v>
      </c>
      <c r="H476" s="1" t="s">
        <v>91</v>
      </c>
      <c r="I476" s="2">
        <v>44819</v>
      </c>
      <c r="J476" s="3">
        <v>0.72083333333333333</v>
      </c>
      <c r="K476" s="1" t="s">
        <v>73</v>
      </c>
      <c r="L476" s="2">
        <v>44820</v>
      </c>
      <c r="M476" s="3">
        <v>0.39583333333333331</v>
      </c>
      <c r="N476" s="19" t="s">
        <v>1050</v>
      </c>
      <c r="O476" s="21"/>
    </row>
    <row r="477" spans="1:15" customFormat="1" ht="28.8" hidden="1" x14ac:dyDescent="0.3">
      <c r="A477" s="47">
        <f t="shared" si="21"/>
        <v>2022</v>
      </c>
      <c r="B477" s="46">
        <f t="shared" si="22"/>
        <v>39</v>
      </c>
      <c r="C477" s="46">
        <f t="shared" si="23"/>
        <v>39</v>
      </c>
      <c r="D477" s="1"/>
      <c r="E477" s="1" t="s">
        <v>1051</v>
      </c>
      <c r="F477" s="19" t="s">
        <v>877</v>
      </c>
      <c r="G477" s="1" t="s">
        <v>10</v>
      </c>
      <c r="H477" s="1" t="s">
        <v>91</v>
      </c>
      <c r="I477" s="2">
        <v>44824</v>
      </c>
      <c r="J477" s="3">
        <v>0.36180555555555555</v>
      </c>
      <c r="K477" s="1" t="s">
        <v>73</v>
      </c>
      <c r="L477" s="2">
        <v>44824</v>
      </c>
      <c r="M477" s="3">
        <v>0.47291666666666665</v>
      </c>
      <c r="N477" s="19" t="s">
        <v>1052</v>
      </c>
      <c r="O477" s="21"/>
    </row>
    <row r="478" spans="1:15" customFormat="1" ht="28.8" hidden="1" x14ac:dyDescent="0.3">
      <c r="A478" s="47">
        <f t="shared" si="21"/>
        <v>2022</v>
      </c>
      <c r="B478" s="46">
        <f t="shared" si="22"/>
        <v>40</v>
      </c>
      <c r="C478" s="46">
        <f t="shared" si="23"/>
        <v>40</v>
      </c>
      <c r="D478" s="1"/>
      <c r="E478" s="1" t="s">
        <v>1053</v>
      </c>
      <c r="F478" s="19" t="s">
        <v>913</v>
      </c>
      <c r="G478" s="1" t="s">
        <v>10</v>
      </c>
      <c r="H478" s="1" t="s">
        <v>91</v>
      </c>
      <c r="I478" s="2">
        <v>44830</v>
      </c>
      <c r="J478" s="3">
        <v>0.37291666666666662</v>
      </c>
      <c r="K478" s="1" t="s">
        <v>73</v>
      </c>
      <c r="L478" s="2">
        <v>44830</v>
      </c>
      <c r="M478" s="3">
        <v>0.41666666666666669</v>
      </c>
      <c r="N478" s="19" t="s">
        <v>1041</v>
      </c>
      <c r="O478" s="21"/>
    </row>
    <row r="479" spans="1:15" customFormat="1" ht="28.8" hidden="1" x14ac:dyDescent="0.3">
      <c r="A479" s="47">
        <f t="shared" si="21"/>
        <v>2022</v>
      </c>
      <c r="B479" s="46">
        <f t="shared" si="22"/>
        <v>40</v>
      </c>
      <c r="C479" s="46">
        <f t="shared" si="23"/>
        <v>40</v>
      </c>
      <c r="D479" s="1"/>
      <c r="E479" s="1" t="s">
        <v>1054</v>
      </c>
      <c r="F479" s="19" t="s">
        <v>1049</v>
      </c>
      <c r="G479" s="1" t="s">
        <v>10</v>
      </c>
      <c r="H479" s="1" t="s">
        <v>91</v>
      </c>
      <c r="I479" s="2">
        <v>44831</v>
      </c>
      <c r="J479" s="3">
        <v>0.42222222222222222</v>
      </c>
      <c r="K479" s="1" t="s">
        <v>73</v>
      </c>
      <c r="L479" s="2">
        <v>44832</v>
      </c>
      <c r="M479" s="3">
        <v>0.64097222222222217</v>
      </c>
      <c r="N479" s="19" t="s">
        <v>1055</v>
      </c>
      <c r="O479" s="21"/>
    </row>
    <row r="480" spans="1:15" customFormat="1" ht="28.8" hidden="1" x14ac:dyDescent="0.3">
      <c r="A480" s="47">
        <f t="shared" si="21"/>
        <v>2022</v>
      </c>
      <c r="B480" s="46">
        <f t="shared" si="22"/>
        <v>40</v>
      </c>
      <c r="C480" s="46">
        <f t="shared" si="23"/>
        <v>40</v>
      </c>
      <c r="D480" s="1"/>
      <c r="E480" s="1" t="s">
        <v>1056</v>
      </c>
      <c r="F480" s="19" t="s">
        <v>1049</v>
      </c>
      <c r="G480" s="1" t="s">
        <v>10</v>
      </c>
      <c r="H480" s="1" t="s">
        <v>91</v>
      </c>
      <c r="I480" s="2">
        <v>44831</v>
      </c>
      <c r="J480" s="3">
        <v>0.42222222222222222</v>
      </c>
      <c r="K480" s="1" t="s">
        <v>73</v>
      </c>
      <c r="L480" s="2">
        <v>44832</v>
      </c>
      <c r="M480" s="3">
        <v>0.71666666666666667</v>
      </c>
      <c r="N480" s="19" t="s">
        <v>1057</v>
      </c>
      <c r="O480" s="21"/>
    </row>
    <row r="481" spans="1:15" customFormat="1" ht="57.6" hidden="1" x14ac:dyDescent="0.3">
      <c r="A481" s="47">
        <f t="shared" si="21"/>
        <v>2022</v>
      </c>
      <c r="B481" s="46">
        <f t="shared" si="22"/>
        <v>40</v>
      </c>
      <c r="C481" s="46">
        <f t="shared" si="23"/>
        <v>40</v>
      </c>
      <c r="D481" s="1"/>
      <c r="E481" s="1" t="s">
        <v>1058</v>
      </c>
      <c r="F481" s="19" t="s">
        <v>1049</v>
      </c>
      <c r="G481" s="1" t="s">
        <v>9</v>
      </c>
      <c r="H481" s="1" t="s">
        <v>91</v>
      </c>
      <c r="I481" s="2">
        <v>44831</v>
      </c>
      <c r="J481" s="3">
        <v>0.44861111111111113</v>
      </c>
      <c r="K481" s="1" t="s">
        <v>73</v>
      </c>
      <c r="L481" s="2">
        <v>44833</v>
      </c>
      <c r="M481" s="3">
        <v>0.39027777777777778</v>
      </c>
      <c r="N481" s="19" t="s">
        <v>1059</v>
      </c>
      <c r="O481" s="21"/>
    </row>
    <row r="482" spans="1:15" customFormat="1" ht="28.8" hidden="1" x14ac:dyDescent="0.3">
      <c r="A482" s="47">
        <f t="shared" si="21"/>
        <v>2022</v>
      </c>
      <c r="B482" s="46">
        <f t="shared" si="22"/>
        <v>40</v>
      </c>
      <c r="C482" s="46">
        <f t="shared" si="23"/>
        <v>40</v>
      </c>
      <c r="D482" s="1"/>
      <c r="E482" s="1" t="s">
        <v>1060</v>
      </c>
      <c r="F482" s="19" t="s">
        <v>1061</v>
      </c>
      <c r="G482" s="1" t="s">
        <v>10</v>
      </c>
      <c r="H482" s="1" t="s">
        <v>91</v>
      </c>
      <c r="I482" s="2">
        <v>44832</v>
      </c>
      <c r="J482" s="3">
        <v>0.3666666666666667</v>
      </c>
      <c r="K482" s="1" t="s">
        <v>73</v>
      </c>
      <c r="L482" s="2">
        <v>44833</v>
      </c>
      <c r="M482" s="3">
        <v>0.4916666666666667</v>
      </c>
      <c r="N482" s="19" t="s">
        <v>1062</v>
      </c>
      <c r="O482" s="21"/>
    </row>
    <row r="483" spans="1:15" customFormat="1" hidden="1" x14ac:dyDescent="0.3">
      <c r="A483" s="47">
        <f t="shared" si="21"/>
        <v>2022</v>
      </c>
      <c r="B483" s="46">
        <f t="shared" si="22"/>
        <v>40</v>
      </c>
      <c r="C483" s="46">
        <f t="shared" si="23"/>
        <v>40</v>
      </c>
      <c r="D483" s="1"/>
      <c r="E483" s="1" t="s">
        <v>1063</v>
      </c>
      <c r="F483" s="19" t="s">
        <v>1064</v>
      </c>
      <c r="G483" s="1" t="s">
        <v>10</v>
      </c>
      <c r="H483" s="1" t="s">
        <v>91</v>
      </c>
      <c r="I483" s="2">
        <v>44832</v>
      </c>
      <c r="J483" s="3">
        <v>0.3666666666666667</v>
      </c>
      <c r="K483" s="1" t="s">
        <v>73</v>
      </c>
      <c r="L483" s="2">
        <v>44833</v>
      </c>
      <c r="M483" s="3">
        <v>0.49513888888888885</v>
      </c>
      <c r="N483" s="19" t="s">
        <v>1065</v>
      </c>
      <c r="O483" s="21"/>
    </row>
    <row r="484" spans="1:15" customFormat="1" ht="57.6" hidden="1" x14ac:dyDescent="0.3">
      <c r="A484" s="47">
        <f t="shared" si="21"/>
        <v>2022</v>
      </c>
      <c r="B484" s="46">
        <f t="shared" si="22"/>
        <v>40</v>
      </c>
      <c r="C484" s="46">
        <f t="shared" si="23"/>
        <v>41</v>
      </c>
      <c r="D484" s="1"/>
      <c r="E484" s="1" t="s">
        <v>1066</v>
      </c>
      <c r="F484" s="19" t="s">
        <v>1049</v>
      </c>
      <c r="G484" s="1" t="s">
        <v>9</v>
      </c>
      <c r="H484" s="1" t="s">
        <v>91</v>
      </c>
      <c r="I484" s="2">
        <v>44831</v>
      </c>
      <c r="J484" s="3">
        <v>0.49722222222222223</v>
      </c>
      <c r="K484" s="1" t="s">
        <v>73</v>
      </c>
      <c r="L484" s="2">
        <v>44837</v>
      </c>
      <c r="M484" s="3">
        <v>0.35069444444444442</v>
      </c>
      <c r="N484" s="19" t="s">
        <v>1067</v>
      </c>
      <c r="O484" s="21"/>
    </row>
    <row r="485" spans="1:15" customFormat="1" ht="28.8" hidden="1" x14ac:dyDescent="0.3">
      <c r="A485" s="47">
        <f t="shared" si="21"/>
        <v>2022</v>
      </c>
      <c r="B485" s="46">
        <f t="shared" si="22"/>
        <v>40</v>
      </c>
      <c r="C485" s="46">
        <f t="shared" si="23"/>
        <v>41</v>
      </c>
      <c r="D485" s="1"/>
      <c r="E485" s="1" t="s">
        <v>1068</v>
      </c>
      <c r="F485" s="19" t="s">
        <v>1069</v>
      </c>
      <c r="G485" s="1" t="s">
        <v>10</v>
      </c>
      <c r="H485" s="1" t="s">
        <v>91</v>
      </c>
      <c r="I485" s="2">
        <v>44832</v>
      </c>
      <c r="J485" s="3">
        <v>0.36249999999999999</v>
      </c>
      <c r="K485" s="1" t="s">
        <v>73</v>
      </c>
      <c r="L485" s="2">
        <v>44837</v>
      </c>
      <c r="M485" s="3">
        <v>0.4201388888888889</v>
      </c>
      <c r="N485" s="19" t="s">
        <v>1070</v>
      </c>
      <c r="O485" s="21"/>
    </row>
    <row r="486" spans="1:15" customFormat="1" ht="72" hidden="1" x14ac:dyDescent="0.3">
      <c r="A486" s="47">
        <f t="shared" si="21"/>
        <v>2022</v>
      </c>
      <c r="B486" s="46">
        <f t="shared" si="22"/>
        <v>40</v>
      </c>
      <c r="C486" s="46">
        <f t="shared" si="23"/>
        <v>41</v>
      </c>
      <c r="D486" s="1"/>
      <c r="E486" s="1" t="s">
        <v>1072</v>
      </c>
      <c r="F486" s="19" t="s">
        <v>1071</v>
      </c>
      <c r="G486" s="1" t="s">
        <v>9</v>
      </c>
      <c r="H486" s="1" t="s">
        <v>91</v>
      </c>
      <c r="I486" s="2">
        <v>44832</v>
      </c>
      <c r="J486" s="3">
        <v>0.63263888888888886</v>
      </c>
      <c r="K486" s="1" t="s">
        <v>73</v>
      </c>
      <c r="L486" s="2">
        <v>44837</v>
      </c>
      <c r="M486" s="3">
        <v>0.47361111111111115</v>
      </c>
      <c r="N486" s="19" t="s">
        <v>1073</v>
      </c>
      <c r="O486" s="21"/>
    </row>
    <row r="487" spans="1:15" customFormat="1" ht="28.8" hidden="1" x14ac:dyDescent="0.3">
      <c r="A487" s="47">
        <f t="shared" si="21"/>
        <v>2022</v>
      </c>
      <c r="B487" s="46">
        <f t="shared" si="22"/>
        <v>40</v>
      </c>
      <c r="C487" s="46">
        <f t="shared" si="23"/>
        <v>41</v>
      </c>
      <c r="D487" s="1"/>
      <c r="E487" s="1" t="s">
        <v>1074</v>
      </c>
      <c r="F487" s="19" t="s">
        <v>1071</v>
      </c>
      <c r="G487" s="1" t="s">
        <v>9</v>
      </c>
      <c r="H487" s="1" t="s">
        <v>91</v>
      </c>
      <c r="I487" s="2">
        <v>44833</v>
      </c>
      <c r="J487" s="3">
        <v>0.59583333333333333</v>
      </c>
      <c r="K487" s="1" t="s">
        <v>73</v>
      </c>
      <c r="L487" s="2">
        <v>44839</v>
      </c>
      <c r="M487" s="3">
        <v>0.32569444444444445</v>
      </c>
      <c r="N487" s="19" t="s">
        <v>1075</v>
      </c>
      <c r="O487" s="21"/>
    </row>
    <row r="488" spans="1:15" customFormat="1" ht="28.8" hidden="1" x14ac:dyDescent="0.3">
      <c r="A488" s="47">
        <f t="shared" si="21"/>
        <v>2022</v>
      </c>
      <c r="B488" s="46">
        <f t="shared" si="22"/>
        <v>40</v>
      </c>
      <c r="C488" s="46">
        <f t="shared" si="23"/>
        <v>41</v>
      </c>
      <c r="D488" s="1"/>
      <c r="E488" s="1" t="s">
        <v>1076</v>
      </c>
      <c r="F488" s="19" t="s">
        <v>1071</v>
      </c>
      <c r="G488" s="1" t="s">
        <v>9</v>
      </c>
      <c r="H488" s="1" t="s">
        <v>91</v>
      </c>
      <c r="I488" s="2">
        <v>44834</v>
      </c>
      <c r="J488" s="3">
        <v>0.33958333333333335</v>
      </c>
      <c r="K488" s="1" t="s">
        <v>73</v>
      </c>
      <c r="L488" s="2">
        <v>44839</v>
      </c>
      <c r="M488" s="3">
        <v>0.32569444444444445</v>
      </c>
      <c r="N488" s="19" t="s">
        <v>1077</v>
      </c>
      <c r="O488" s="21"/>
    </row>
    <row r="489" spans="1:15" customFormat="1" ht="28.8" hidden="1" x14ac:dyDescent="0.3">
      <c r="A489" s="47">
        <f t="shared" si="21"/>
        <v>2022</v>
      </c>
      <c r="B489" s="46">
        <f t="shared" si="22"/>
        <v>40</v>
      </c>
      <c r="C489" s="46">
        <f t="shared" si="23"/>
        <v>41</v>
      </c>
      <c r="D489" s="1"/>
      <c r="E489" s="1" t="s">
        <v>1078</v>
      </c>
      <c r="F489" s="19" t="s">
        <v>1071</v>
      </c>
      <c r="G489" s="1" t="s">
        <v>9</v>
      </c>
      <c r="H489" s="1" t="s">
        <v>91</v>
      </c>
      <c r="I489" s="2">
        <v>44834</v>
      </c>
      <c r="J489" s="3">
        <v>0.49305555555555558</v>
      </c>
      <c r="K489" s="1" t="s">
        <v>73</v>
      </c>
      <c r="L489" s="2">
        <v>44839</v>
      </c>
      <c r="M489" s="3">
        <v>0.32569444444444445</v>
      </c>
      <c r="N489" s="19" t="s">
        <v>1079</v>
      </c>
      <c r="O489" s="21"/>
    </row>
    <row r="490" spans="1:15" ht="158.4" hidden="1" x14ac:dyDescent="0.3">
      <c r="A490" s="47">
        <f t="shared" si="21"/>
        <v>2022</v>
      </c>
      <c r="B490" s="46">
        <f t="shared" si="22"/>
        <v>41</v>
      </c>
      <c r="C490" s="46">
        <f t="shared" si="23"/>
        <v>42</v>
      </c>
      <c r="E490" s="1" t="s">
        <v>1080</v>
      </c>
      <c r="F490" s="19" t="s">
        <v>1081</v>
      </c>
      <c r="G490" s="1" t="s">
        <v>900</v>
      </c>
      <c r="H490" s="1" t="s">
        <v>91</v>
      </c>
      <c r="I490" s="2">
        <v>44838</v>
      </c>
      <c r="J490" s="3">
        <v>0.64166666666666672</v>
      </c>
      <c r="K490" s="1" t="s">
        <v>73</v>
      </c>
      <c r="L490" s="2">
        <v>44845</v>
      </c>
      <c r="M490" s="3">
        <v>0.3354166666666667</v>
      </c>
      <c r="N490" s="19" t="s">
        <v>1082</v>
      </c>
    </row>
    <row r="491" spans="1:15" ht="172.8" hidden="1" x14ac:dyDescent="0.3">
      <c r="A491" s="47">
        <f t="shared" si="21"/>
        <v>2022</v>
      </c>
      <c r="B491" s="46">
        <f t="shared" si="22"/>
        <v>41</v>
      </c>
      <c r="C491" s="46">
        <f t="shared" si="23"/>
        <v>42</v>
      </c>
      <c r="E491" s="1" t="s">
        <v>1083</v>
      </c>
      <c r="F491" s="19" t="s">
        <v>1084</v>
      </c>
      <c r="G491" s="1" t="s">
        <v>900</v>
      </c>
      <c r="H491" s="1" t="s">
        <v>91</v>
      </c>
      <c r="I491" s="2">
        <v>44838</v>
      </c>
      <c r="J491" s="3">
        <v>0.64374999999999993</v>
      </c>
      <c r="K491" s="1" t="s">
        <v>73</v>
      </c>
      <c r="L491" s="2">
        <v>44845</v>
      </c>
      <c r="M491" s="3">
        <v>0.3354166666666667</v>
      </c>
      <c r="N491" s="19" t="s">
        <v>1085</v>
      </c>
    </row>
    <row r="492" spans="1:15" customFormat="1" ht="57.6" hidden="1" x14ac:dyDescent="0.3">
      <c r="A492" s="47">
        <f t="shared" si="21"/>
        <v>2022</v>
      </c>
      <c r="B492" s="46">
        <f t="shared" si="22"/>
        <v>41</v>
      </c>
      <c r="C492" s="46">
        <f t="shared" si="23"/>
        <v>42</v>
      </c>
      <c r="D492" s="1"/>
      <c r="E492" s="1" t="s">
        <v>1086</v>
      </c>
      <c r="F492" s="19" t="s">
        <v>1071</v>
      </c>
      <c r="G492" s="1" t="s">
        <v>9</v>
      </c>
      <c r="H492" s="1" t="s">
        <v>91</v>
      </c>
      <c r="I492" s="2">
        <v>44838</v>
      </c>
      <c r="J492" s="3">
        <v>0.67708333333333337</v>
      </c>
      <c r="K492" s="1" t="s">
        <v>73</v>
      </c>
      <c r="L492" s="2">
        <v>44845</v>
      </c>
      <c r="M492" s="3">
        <v>0.3354166666666667</v>
      </c>
      <c r="N492" s="19" t="s">
        <v>1087</v>
      </c>
      <c r="O492" s="21"/>
    </row>
    <row r="493" spans="1:15" ht="115.2" hidden="1" x14ac:dyDescent="0.3">
      <c r="A493" s="47">
        <f t="shared" si="21"/>
        <v>2022</v>
      </c>
      <c r="B493" s="46">
        <f t="shared" si="22"/>
        <v>41</v>
      </c>
      <c r="C493" s="46">
        <f t="shared" si="23"/>
        <v>42</v>
      </c>
      <c r="E493" s="1" t="s">
        <v>1088</v>
      </c>
      <c r="F493" s="19" t="s">
        <v>1091</v>
      </c>
      <c r="G493" s="1" t="s">
        <v>900</v>
      </c>
      <c r="H493" s="1" t="s">
        <v>91</v>
      </c>
      <c r="I493" s="2">
        <v>44838</v>
      </c>
      <c r="J493" s="3">
        <v>0.7006944444444444</v>
      </c>
      <c r="K493" s="1" t="s">
        <v>73</v>
      </c>
      <c r="L493" s="2">
        <v>44845</v>
      </c>
      <c r="M493" s="3">
        <v>0.3354166666666667</v>
      </c>
      <c r="N493" s="19" t="s">
        <v>1089</v>
      </c>
    </row>
    <row r="494" spans="1:15" customFormat="1" ht="28.8" hidden="1" x14ac:dyDescent="0.3">
      <c r="A494" s="47">
        <f t="shared" si="21"/>
        <v>2022</v>
      </c>
      <c r="B494" s="46">
        <f t="shared" si="22"/>
        <v>41</v>
      </c>
      <c r="C494" s="46">
        <f t="shared" si="23"/>
        <v>42</v>
      </c>
      <c r="D494" s="1"/>
      <c r="E494" s="1" t="s">
        <v>1090</v>
      </c>
      <c r="F494" s="19" t="s">
        <v>1071</v>
      </c>
      <c r="G494" s="1" t="s">
        <v>9</v>
      </c>
      <c r="H494" s="1" t="s">
        <v>91</v>
      </c>
      <c r="I494" s="2">
        <v>44838</v>
      </c>
      <c r="J494" s="3">
        <v>0.67708333333333337</v>
      </c>
      <c r="K494" s="1" t="s">
        <v>73</v>
      </c>
      <c r="L494" s="2">
        <v>44845</v>
      </c>
      <c r="M494" s="3">
        <v>0.3354166666666667</v>
      </c>
      <c r="N494" s="19" t="s">
        <v>1092</v>
      </c>
      <c r="O494" s="21"/>
    </row>
    <row r="495" spans="1:15" customFormat="1" ht="28.8" hidden="1" x14ac:dyDescent="0.3">
      <c r="A495" s="47">
        <f t="shared" si="21"/>
        <v>2022</v>
      </c>
      <c r="B495" s="46">
        <f t="shared" si="22"/>
        <v>41</v>
      </c>
      <c r="C495" s="46">
        <f t="shared" si="23"/>
        <v>42</v>
      </c>
      <c r="D495" s="1"/>
      <c r="E495" s="1" t="s">
        <v>1093</v>
      </c>
      <c r="F495" s="19" t="s">
        <v>1071</v>
      </c>
      <c r="G495" s="1" t="s">
        <v>9</v>
      </c>
      <c r="H495" s="1" t="s">
        <v>91</v>
      </c>
      <c r="I495" s="2">
        <v>44839</v>
      </c>
      <c r="J495" s="3">
        <v>0.53749999999999998</v>
      </c>
      <c r="K495" s="1" t="s">
        <v>73</v>
      </c>
      <c r="L495" s="2">
        <v>44845</v>
      </c>
      <c r="M495" s="3">
        <v>0.3354166666666667</v>
      </c>
      <c r="N495" s="19" t="s">
        <v>1094</v>
      </c>
      <c r="O495" s="21"/>
    </row>
    <row r="496" spans="1:15" customFormat="1" ht="28.8" hidden="1" x14ac:dyDescent="0.3">
      <c r="A496" s="47">
        <f t="shared" si="21"/>
        <v>2022</v>
      </c>
      <c r="B496" s="46">
        <f t="shared" si="22"/>
        <v>41</v>
      </c>
      <c r="C496" s="46">
        <f t="shared" si="23"/>
        <v>42</v>
      </c>
      <c r="D496" s="1"/>
      <c r="E496" s="1" t="s">
        <v>1095</v>
      </c>
      <c r="F496" s="19" t="s">
        <v>1071</v>
      </c>
      <c r="G496" s="1" t="s">
        <v>9</v>
      </c>
      <c r="H496" s="1" t="s">
        <v>91</v>
      </c>
      <c r="I496" s="2">
        <v>44839</v>
      </c>
      <c r="J496" s="3">
        <v>0.54583333333333328</v>
      </c>
      <c r="K496" s="1" t="s">
        <v>73</v>
      </c>
      <c r="L496" s="2">
        <v>44845</v>
      </c>
      <c r="M496" s="3">
        <v>0.3354166666666667</v>
      </c>
      <c r="N496" s="19" t="s">
        <v>1092</v>
      </c>
      <c r="O496" s="21"/>
    </row>
    <row r="497" spans="1:15" customFormat="1" ht="28.8" hidden="1" x14ac:dyDescent="0.3">
      <c r="A497" s="47">
        <f t="shared" si="21"/>
        <v>2022</v>
      </c>
      <c r="B497" s="46">
        <f t="shared" si="22"/>
        <v>41</v>
      </c>
      <c r="C497" s="46">
        <f t="shared" si="23"/>
        <v>42</v>
      </c>
      <c r="D497" s="1"/>
      <c r="E497" s="1" t="s">
        <v>1096</v>
      </c>
      <c r="F497" s="19" t="s">
        <v>1097</v>
      </c>
      <c r="G497" s="1" t="s">
        <v>9</v>
      </c>
      <c r="H497" s="1" t="s">
        <v>91</v>
      </c>
      <c r="I497" s="2">
        <v>44839</v>
      </c>
      <c r="J497" s="3">
        <v>0.68958333333333333</v>
      </c>
      <c r="K497" s="1" t="s">
        <v>73</v>
      </c>
      <c r="L497" s="2">
        <v>44845</v>
      </c>
      <c r="M497" s="3">
        <v>0.3354166666666667</v>
      </c>
      <c r="N497" s="19" t="s">
        <v>1098</v>
      </c>
      <c r="O497" s="21"/>
    </row>
    <row r="498" spans="1:15" customFormat="1" hidden="1" x14ac:dyDescent="0.3">
      <c r="A498" s="47">
        <f t="shared" si="21"/>
        <v>2022</v>
      </c>
      <c r="B498" s="46">
        <f t="shared" si="22"/>
        <v>41</v>
      </c>
      <c r="C498" s="46">
        <f t="shared" si="23"/>
        <v>42</v>
      </c>
      <c r="D498" s="1"/>
      <c r="E498" s="1" t="s">
        <v>1099</v>
      </c>
      <c r="F498" s="19" t="s">
        <v>1097</v>
      </c>
      <c r="G498" s="1" t="s">
        <v>9</v>
      </c>
      <c r="H498" s="1" t="s">
        <v>91</v>
      </c>
      <c r="I498" s="2">
        <v>44840</v>
      </c>
      <c r="J498" s="3">
        <v>0.39444444444444443</v>
      </c>
      <c r="K498" s="1" t="s">
        <v>73</v>
      </c>
      <c r="L498" s="2">
        <v>44845</v>
      </c>
      <c r="M498" s="3">
        <v>0.3354166666666667</v>
      </c>
      <c r="N498" s="19" t="s">
        <v>1100</v>
      </c>
      <c r="O498" s="21"/>
    </row>
    <row r="499" spans="1:15" customFormat="1" ht="28.8" hidden="1" x14ac:dyDescent="0.3">
      <c r="A499" s="47">
        <f t="shared" si="21"/>
        <v>2022</v>
      </c>
      <c r="B499" s="46">
        <f t="shared" si="22"/>
        <v>41</v>
      </c>
      <c r="C499" s="46">
        <f t="shared" si="23"/>
        <v>42</v>
      </c>
      <c r="D499" s="1"/>
      <c r="E499" s="1" t="s">
        <v>1101</v>
      </c>
      <c r="F499" s="19" t="s">
        <v>877</v>
      </c>
      <c r="G499" s="1" t="s">
        <v>10</v>
      </c>
      <c r="H499" s="1" t="s">
        <v>91</v>
      </c>
      <c r="I499" s="2">
        <v>44841</v>
      </c>
      <c r="J499" s="3">
        <v>0.54861111111111105</v>
      </c>
      <c r="K499" s="1" t="s">
        <v>73</v>
      </c>
      <c r="L499" s="2">
        <v>44847</v>
      </c>
      <c r="M499" s="3">
        <v>0.34652777777777777</v>
      </c>
      <c r="N499" s="19" t="s">
        <v>1102</v>
      </c>
      <c r="O499" s="21"/>
    </row>
    <row r="500" spans="1:15" customFormat="1" ht="187.2" hidden="1" x14ac:dyDescent="0.3">
      <c r="A500" s="47">
        <f t="shared" si="21"/>
        <v>2022</v>
      </c>
      <c r="B500" s="46">
        <f t="shared" si="22"/>
        <v>41</v>
      </c>
      <c r="C500" s="46">
        <f t="shared" si="23"/>
        <v>42</v>
      </c>
      <c r="D500" s="1"/>
      <c r="E500" s="1" t="s">
        <v>1103</v>
      </c>
      <c r="F500" s="19" t="s">
        <v>927</v>
      </c>
      <c r="G500" s="1" t="s">
        <v>10</v>
      </c>
      <c r="H500" s="1" t="s">
        <v>91</v>
      </c>
      <c r="I500" s="2">
        <v>44841</v>
      </c>
      <c r="J500" s="3">
        <v>0.55208333333333337</v>
      </c>
      <c r="K500" s="1" t="s">
        <v>73</v>
      </c>
      <c r="L500" s="2">
        <v>44849</v>
      </c>
      <c r="M500" s="3">
        <v>0.60347222222222219</v>
      </c>
      <c r="N500" s="89" t="s">
        <v>1125</v>
      </c>
      <c r="O500" s="21"/>
    </row>
    <row r="501" spans="1:15" customFormat="1" ht="28.8" hidden="1" x14ac:dyDescent="0.3">
      <c r="A501" s="47" t="e">
        <f t="shared" si="21"/>
        <v>#VALUE!</v>
      </c>
      <c r="B501" s="46">
        <f t="shared" si="22"/>
        <v>44</v>
      </c>
      <c r="C501" s="46" t="e">
        <f t="shared" si="23"/>
        <v>#VALUE!</v>
      </c>
      <c r="D501" s="1"/>
      <c r="E501" s="1" t="s">
        <v>1104</v>
      </c>
      <c r="F501" s="19" t="s">
        <v>1105</v>
      </c>
      <c r="G501" s="1" t="s">
        <v>10</v>
      </c>
      <c r="H501" s="21" t="s">
        <v>1224</v>
      </c>
      <c r="I501" s="34">
        <v>44860</v>
      </c>
      <c r="J501" s="28" t="s">
        <v>1225</v>
      </c>
      <c r="K501" s="1" t="s">
        <v>73</v>
      </c>
      <c r="L501" s="34" t="s">
        <v>1226</v>
      </c>
      <c r="M501" s="3">
        <v>0.22291666666666665</v>
      </c>
      <c r="N501" s="19" t="s">
        <v>1106</v>
      </c>
      <c r="O501" s="21"/>
    </row>
    <row r="502" spans="1:15" customFormat="1" ht="100.8" hidden="1" x14ac:dyDescent="0.3">
      <c r="A502" s="47" t="e">
        <f t="shared" si="21"/>
        <v>#VALUE!</v>
      </c>
      <c r="B502" s="46">
        <f t="shared" si="22"/>
        <v>42</v>
      </c>
      <c r="C502" s="46" t="e">
        <f t="shared" si="23"/>
        <v>#VALUE!</v>
      </c>
      <c r="D502" s="1"/>
      <c r="E502" s="1" t="s">
        <v>1107</v>
      </c>
      <c r="F502" s="19" t="s">
        <v>1108</v>
      </c>
      <c r="G502" s="1" t="s">
        <v>10</v>
      </c>
      <c r="H502" s="1" t="s">
        <v>91</v>
      </c>
      <c r="I502" s="2">
        <v>44844</v>
      </c>
      <c r="J502" s="3">
        <v>0.34861111111111115</v>
      </c>
      <c r="K502" s="1" t="s">
        <v>73</v>
      </c>
      <c r="L502" s="34" t="s">
        <v>1127</v>
      </c>
      <c r="M502" s="3">
        <v>0.34097222222222223</v>
      </c>
      <c r="N502" s="19" t="s">
        <v>1128</v>
      </c>
      <c r="O502" s="21"/>
    </row>
    <row r="503" spans="1:15" customFormat="1" ht="129.6" hidden="1" x14ac:dyDescent="0.3">
      <c r="A503" s="47" t="e">
        <f t="shared" si="21"/>
        <v>#VALUE!</v>
      </c>
      <c r="B503" s="46">
        <f t="shared" si="22"/>
        <v>42</v>
      </c>
      <c r="C503" s="46" t="e">
        <f t="shared" si="23"/>
        <v>#VALUE!</v>
      </c>
      <c r="D503" s="1"/>
      <c r="E503" s="1" t="s">
        <v>1109</v>
      </c>
      <c r="F503" s="19" t="s">
        <v>1110</v>
      </c>
      <c r="G503" s="1" t="s">
        <v>10</v>
      </c>
      <c r="H503" s="1" t="s">
        <v>91</v>
      </c>
      <c r="I503" s="2">
        <v>44844</v>
      </c>
      <c r="J503" s="3">
        <v>0.36527777777777781</v>
      </c>
      <c r="K503" s="1" t="s">
        <v>73</v>
      </c>
      <c r="L503" s="34" t="s">
        <v>1127</v>
      </c>
      <c r="M503" s="28" t="s">
        <v>1129</v>
      </c>
      <c r="N503" s="19" t="s">
        <v>1126</v>
      </c>
      <c r="O503" s="21"/>
    </row>
    <row r="504" spans="1:15" customFormat="1" ht="57.6" hidden="1" x14ac:dyDescent="0.3">
      <c r="A504" s="47">
        <f t="shared" si="21"/>
        <v>2022</v>
      </c>
      <c r="B504" s="46">
        <f t="shared" si="22"/>
        <v>42</v>
      </c>
      <c r="C504" s="46">
        <f t="shared" si="23"/>
        <v>42</v>
      </c>
      <c r="D504" s="1"/>
      <c r="E504" s="1" t="s">
        <v>1111</v>
      </c>
      <c r="F504" s="19" t="s">
        <v>1108</v>
      </c>
      <c r="G504" s="1" t="s">
        <v>10</v>
      </c>
      <c r="H504" s="1" t="s">
        <v>91</v>
      </c>
      <c r="I504" s="2">
        <v>44844</v>
      </c>
      <c r="J504" s="3">
        <v>0.3666666666666667</v>
      </c>
      <c r="K504" s="1" t="s">
        <v>73</v>
      </c>
      <c r="L504" s="2">
        <v>44847</v>
      </c>
      <c r="M504" s="3">
        <v>0.34652777777777777</v>
      </c>
      <c r="N504" s="19" t="s">
        <v>1112</v>
      </c>
      <c r="O504" s="21"/>
    </row>
    <row r="505" spans="1:15" customFormat="1" ht="57.6" hidden="1" x14ac:dyDescent="0.3">
      <c r="A505" s="47">
        <f t="shared" si="21"/>
        <v>2022</v>
      </c>
      <c r="B505" s="46">
        <f t="shared" si="22"/>
        <v>41</v>
      </c>
      <c r="C505" s="46">
        <f t="shared" si="23"/>
        <v>43</v>
      </c>
      <c r="D505" s="1"/>
      <c r="E505" s="1" t="s">
        <v>1113</v>
      </c>
      <c r="F505" s="19" t="s">
        <v>1049</v>
      </c>
      <c r="G505" s="1" t="s">
        <v>9</v>
      </c>
      <c r="H505" s="1" t="s">
        <v>91</v>
      </c>
      <c r="I505" s="2">
        <v>44841</v>
      </c>
      <c r="J505" s="3">
        <v>0.60347222222222219</v>
      </c>
      <c r="K505" s="1" t="s">
        <v>73</v>
      </c>
      <c r="L505" s="2">
        <v>44852</v>
      </c>
      <c r="M505" s="3">
        <v>0.28263888888888888</v>
      </c>
      <c r="N505" s="19" t="s">
        <v>1120</v>
      </c>
      <c r="O505" s="21"/>
    </row>
    <row r="506" spans="1:15" customFormat="1" ht="57.6" hidden="1" x14ac:dyDescent="0.3">
      <c r="A506" s="47">
        <f t="shared" si="21"/>
        <v>2022</v>
      </c>
      <c r="B506" s="46">
        <f t="shared" si="22"/>
        <v>41</v>
      </c>
      <c r="C506" s="46">
        <f t="shared" si="23"/>
        <v>43</v>
      </c>
      <c r="D506" s="1"/>
      <c r="E506" s="38" t="s">
        <v>1114</v>
      </c>
      <c r="F506" s="19" t="s">
        <v>1115</v>
      </c>
      <c r="G506" s="1" t="s">
        <v>9</v>
      </c>
      <c r="H506" s="1" t="s">
        <v>91</v>
      </c>
      <c r="I506" s="2">
        <v>44841</v>
      </c>
      <c r="J506" s="3">
        <v>0.62361111111111112</v>
      </c>
      <c r="K506" s="1" t="s">
        <v>73</v>
      </c>
      <c r="L506" s="2">
        <v>44852</v>
      </c>
      <c r="M506" s="3">
        <v>0.28263888888888888</v>
      </c>
      <c r="N506" s="19" t="s">
        <v>1119</v>
      </c>
      <c r="O506" s="21"/>
    </row>
    <row r="507" spans="1:15" customFormat="1" ht="57.6" hidden="1" x14ac:dyDescent="0.3">
      <c r="A507" s="47">
        <f t="shared" si="21"/>
        <v>2022</v>
      </c>
      <c r="B507" s="46">
        <f t="shared" si="22"/>
        <v>41</v>
      </c>
      <c r="C507" s="46">
        <f t="shared" si="23"/>
        <v>43</v>
      </c>
      <c r="D507" s="1"/>
      <c r="E507" s="38" t="s">
        <v>1116</v>
      </c>
      <c r="F507" s="19" t="s">
        <v>1117</v>
      </c>
      <c r="G507" s="1" t="s">
        <v>9</v>
      </c>
      <c r="H507" s="1" t="s">
        <v>91</v>
      </c>
      <c r="I507" s="2">
        <v>44841</v>
      </c>
      <c r="J507" s="3">
        <v>0.62777777777777777</v>
      </c>
      <c r="K507" s="1" t="s">
        <v>73</v>
      </c>
      <c r="L507" s="2">
        <v>44852</v>
      </c>
      <c r="M507" s="3">
        <v>0.28263888888888888</v>
      </c>
      <c r="N507" s="19" t="s">
        <v>1118</v>
      </c>
      <c r="O507" s="21"/>
    </row>
    <row r="508" spans="1:15" customFormat="1" ht="100.8" hidden="1" x14ac:dyDescent="0.3">
      <c r="A508" s="47">
        <f t="shared" si="21"/>
        <v>2022</v>
      </c>
      <c r="B508" s="46">
        <f t="shared" si="22"/>
        <v>42</v>
      </c>
      <c r="C508" s="46">
        <f t="shared" si="23"/>
        <v>43</v>
      </c>
      <c r="D508" s="1"/>
      <c r="E508" s="1" t="s">
        <v>1121</v>
      </c>
      <c r="F508" s="19" t="s">
        <v>1108</v>
      </c>
      <c r="G508" s="1" t="s">
        <v>10</v>
      </c>
      <c r="H508" s="1" t="s">
        <v>91</v>
      </c>
      <c r="I508" s="2">
        <v>44844</v>
      </c>
      <c r="J508" s="3">
        <v>0.35069444444444442</v>
      </c>
      <c r="K508" s="1" t="s">
        <v>73</v>
      </c>
      <c r="L508" s="2">
        <v>44852</v>
      </c>
      <c r="M508" s="3">
        <v>0.28263888888888888</v>
      </c>
      <c r="N508" s="19" t="s">
        <v>1122</v>
      </c>
      <c r="O508" s="21"/>
    </row>
    <row r="509" spans="1:15" customFormat="1" ht="144" hidden="1" x14ac:dyDescent="0.3">
      <c r="A509" s="47">
        <f t="shared" si="21"/>
        <v>2022</v>
      </c>
      <c r="B509" s="46">
        <f t="shared" si="22"/>
        <v>42</v>
      </c>
      <c r="C509" s="46">
        <f t="shared" si="23"/>
        <v>43</v>
      </c>
      <c r="D509" s="1"/>
      <c r="E509" s="1" t="s">
        <v>1123</v>
      </c>
      <c r="F509" s="19" t="s">
        <v>1108</v>
      </c>
      <c r="G509" s="1" t="s">
        <v>10</v>
      </c>
      <c r="H509" s="1" t="s">
        <v>91</v>
      </c>
      <c r="I509" s="2">
        <v>44844</v>
      </c>
      <c r="J509" s="3">
        <v>0.3520833333333333</v>
      </c>
      <c r="K509" s="1" t="s">
        <v>73</v>
      </c>
      <c r="L509" s="2">
        <v>44852</v>
      </c>
      <c r="M509" s="3">
        <v>0.28263888888888888</v>
      </c>
      <c r="N509" s="19" t="s">
        <v>1124</v>
      </c>
      <c r="O509" s="21"/>
    </row>
    <row r="510" spans="1:15" customFormat="1" ht="100.8" hidden="1" x14ac:dyDescent="0.3">
      <c r="A510" s="47">
        <f t="shared" si="21"/>
        <v>2022</v>
      </c>
      <c r="B510" s="46">
        <f t="shared" si="22"/>
        <v>42</v>
      </c>
      <c r="C510" s="46">
        <f t="shared" si="23"/>
        <v>43</v>
      </c>
      <c r="D510" s="1"/>
      <c r="E510" s="38" t="s">
        <v>1130</v>
      </c>
      <c r="F510" s="92" t="s">
        <v>1131</v>
      </c>
      <c r="G510" s="1" t="s">
        <v>10</v>
      </c>
      <c r="H510" s="1" t="s">
        <v>91</v>
      </c>
      <c r="I510" s="2">
        <v>44844</v>
      </c>
      <c r="J510" s="3">
        <v>0.36805555555555558</v>
      </c>
      <c r="K510" s="1" t="s">
        <v>73</v>
      </c>
      <c r="L510" s="2">
        <v>44852</v>
      </c>
      <c r="M510" s="3">
        <v>0.43402777777777773</v>
      </c>
      <c r="N510" s="19" t="s">
        <v>1132</v>
      </c>
      <c r="O510" s="21"/>
    </row>
    <row r="511" spans="1:15" customFormat="1" ht="28.8" hidden="1" x14ac:dyDescent="0.3">
      <c r="A511" s="47">
        <f t="shared" si="21"/>
        <v>2022</v>
      </c>
      <c r="B511" s="46">
        <f t="shared" si="22"/>
        <v>42</v>
      </c>
      <c r="C511" s="46">
        <f t="shared" si="23"/>
        <v>43</v>
      </c>
      <c r="D511" s="1"/>
      <c r="E511" s="1" t="s">
        <v>1133</v>
      </c>
      <c r="F511" s="19" t="s">
        <v>1134</v>
      </c>
      <c r="G511" s="1" t="s">
        <v>10</v>
      </c>
      <c r="H511" s="1" t="s">
        <v>91</v>
      </c>
      <c r="I511" s="2">
        <v>44845</v>
      </c>
      <c r="J511" s="3">
        <v>0.45208333333333334</v>
      </c>
      <c r="K511" s="1" t="s">
        <v>73</v>
      </c>
      <c r="L511" s="2">
        <v>44852</v>
      </c>
      <c r="M511" s="3">
        <v>0.59791666666666665</v>
      </c>
      <c r="N511" s="19" t="s">
        <v>1135</v>
      </c>
      <c r="O511" s="21"/>
    </row>
    <row r="512" spans="1:15" customFormat="1" ht="72" hidden="1" x14ac:dyDescent="0.3">
      <c r="A512" s="47">
        <f t="shared" si="21"/>
        <v>2022</v>
      </c>
      <c r="B512" s="46">
        <f t="shared" si="22"/>
        <v>42</v>
      </c>
      <c r="C512" s="46">
        <f t="shared" si="23"/>
        <v>43</v>
      </c>
      <c r="D512" s="1"/>
      <c r="E512" s="1" t="s">
        <v>1136</v>
      </c>
      <c r="F512" s="19" t="s">
        <v>1137</v>
      </c>
      <c r="G512" s="1" t="s">
        <v>10</v>
      </c>
      <c r="H512" s="1" t="s">
        <v>91</v>
      </c>
      <c r="I512" s="2">
        <v>44845</v>
      </c>
      <c r="J512" s="3">
        <v>0.45208333333333334</v>
      </c>
      <c r="K512" s="1" t="s">
        <v>73</v>
      </c>
      <c r="L512" s="2">
        <v>44852</v>
      </c>
      <c r="M512" s="3">
        <v>0.61527777777777781</v>
      </c>
      <c r="N512" s="19" t="s">
        <v>1138</v>
      </c>
      <c r="O512" s="21"/>
    </row>
    <row r="513" spans="1:15" customFormat="1" ht="57.6" hidden="1" x14ac:dyDescent="0.3">
      <c r="A513" s="47">
        <f t="shared" si="21"/>
        <v>2022</v>
      </c>
      <c r="B513" s="46">
        <f t="shared" si="22"/>
        <v>42</v>
      </c>
      <c r="C513" s="46">
        <f t="shared" si="23"/>
        <v>43</v>
      </c>
      <c r="D513" s="1"/>
      <c r="E513" s="1" t="s">
        <v>1139</v>
      </c>
      <c r="F513" s="19" t="s">
        <v>1137</v>
      </c>
      <c r="G513" s="1" t="s">
        <v>10</v>
      </c>
      <c r="H513" s="1" t="s">
        <v>91</v>
      </c>
      <c r="I513" s="2">
        <v>44845</v>
      </c>
      <c r="J513" s="3">
        <v>0.6381944444444444</v>
      </c>
      <c r="K513" s="1" t="s">
        <v>73</v>
      </c>
      <c r="L513" s="2">
        <v>44852</v>
      </c>
      <c r="M513" s="3">
        <v>0.62569444444444444</v>
      </c>
      <c r="N513" s="19" t="s">
        <v>1140</v>
      </c>
      <c r="O513" s="21"/>
    </row>
    <row r="514" spans="1:15" customFormat="1" ht="57.6" hidden="1" x14ac:dyDescent="0.3">
      <c r="A514" s="47">
        <f t="shared" si="21"/>
        <v>2022</v>
      </c>
      <c r="B514" s="46">
        <f t="shared" si="22"/>
        <v>42</v>
      </c>
      <c r="C514" s="46">
        <f t="shared" si="23"/>
        <v>43</v>
      </c>
      <c r="D514" s="1"/>
      <c r="E514" s="1" t="s">
        <v>1141</v>
      </c>
      <c r="F514" s="19" t="s">
        <v>1142</v>
      </c>
      <c r="G514" s="1" t="s">
        <v>10</v>
      </c>
      <c r="H514" s="1" t="s">
        <v>91</v>
      </c>
      <c r="I514" s="2">
        <v>44845</v>
      </c>
      <c r="J514" s="3">
        <v>0.64236111111111105</v>
      </c>
      <c r="K514" s="1" t="s">
        <v>73</v>
      </c>
      <c r="L514" s="2">
        <v>44852</v>
      </c>
      <c r="M514" s="3">
        <v>0.67638888888888893</v>
      </c>
      <c r="N514" s="19" t="s">
        <v>1143</v>
      </c>
      <c r="O514" s="21"/>
    </row>
    <row r="515" spans="1:15" customFormat="1" ht="86.4" hidden="1" x14ac:dyDescent="0.3">
      <c r="A515" s="47">
        <f t="shared" ref="A515:A578" si="24">YEAR(L515)</f>
        <v>2022</v>
      </c>
      <c r="B515" s="46">
        <f t="shared" ref="B515:B578" si="25">WEEKNUM(I515)</f>
        <v>42</v>
      </c>
      <c r="C515" s="46">
        <f t="shared" ref="C515:C578" si="26">WEEKNUM(L515)</f>
        <v>43</v>
      </c>
      <c r="D515" s="1"/>
      <c r="E515" s="1" t="s">
        <v>1144</v>
      </c>
      <c r="F515" s="19" t="s">
        <v>1145</v>
      </c>
      <c r="G515" s="1" t="s">
        <v>10</v>
      </c>
      <c r="H515" s="1" t="s">
        <v>91</v>
      </c>
      <c r="I515" s="2">
        <v>44845</v>
      </c>
      <c r="J515" s="3">
        <v>0.64513888888888882</v>
      </c>
      <c r="K515" s="1" t="s">
        <v>73</v>
      </c>
      <c r="L515" s="2">
        <v>44852</v>
      </c>
      <c r="M515" s="3">
        <v>0.67986111111111114</v>
      </c>
      <c r="N515" s="19" t="s">
        <v>1146</v>
      </c>
      <c r="O515" s="21"/>
    </row>
    <row r="516" spans="1:15" customFormat="1" ht="72" hidden="1" x14ac:dyDescent="0.3">
      <c r="A516" s="47">
        <f t="shared" si="24"/>
        <v>2022</v>
      </c>
      <c r="B516" s="46">
        <f t="shared" si="25"/>
        <v>42</v>
      </c>
      <c r="C516" s="46">
        <f t="shared" si="26"/>
        <v>43</v>
      </c>
      <c r="D516" s="1"/>
      <c r="E516" s="1" t="s">
        <v>1148</v>
      </c>
      <c r="F516" s="19" t="s">
        <v>1147</v>
      </c>
      <c r="G516" s="1" t="s">
        <v>10</v>
      </c>
      <c r="H516" s="1" t="s">
        <v>91</v>
      </c>
      <c r="I516" s="2">
        <v>44845</v>
      </c>
      <c r="J516" s="3">
        <v>0.64583333333333337</v>
      </c>
      <c r="K516" s="1" t="s">
        <v>73</v>
      </c>
      <c r="L516" s="2">
        <v>44852</v>
      </c>
      <c r="M516" s="3">
        <v>0.69097222222222221</v>
      </c>
      <c r="N516" s="19" t="s">
        <v>1149</v>
      </c>
      <c r="O516" s="21"/>
    </row>
    <row r="517" spans="1:15" customFormat="1" ht="100.8" hidden="1" x14ac:dyDescent="0.3">
      <c r="A517" s="47">
        <f t="shared" si="24"/>
        <v>2022</v>
      </c>
      <c r="B517" s="46">
        <f t="shared" si="25"/>
        <v>42</v>
      </c>
      <c r="C517" s="46">
        <f t="shared" si="26"/>
        <v>43</v>
      </c>
      <c r="D517" s="1"/>
      <c r="E517" s="38" t="s">
        <v>1150</v>
      </c>
      <c r="F517" s="19" t="s">
        <v>1137</v>
      </c>
      <c r="G517" s="1" t="s">
        <v>10</v>
      </c>
      <c r="H517" s="1" t="s">
        <v>91</v>
      </c>
      <c r="I517" s="2">
        <v>44845</v>
      </c>
      <c r="J517" s="3">
        <v>0.65069444444444446</v>
      </c>
      <c r="K517" s="1" t="s">
        <v>73</v>
      </c>
      <c r="L517" s="2">
        <v>44852</v>
      </c>
      <c r="M517" s="3">
        <v>0.70763888888888893</v>
      </c>
      <c r="N517" s="19" t="s">
        <v>1151</v>
      </c>
      <c r="O517" s="21"/>
    </row>
    <row r="518" spans="1:15" customFormat="1" ht="178.35" hidden="1" customHeight="1" x14ac:dyDescent="0.3">
      <c r="A518" s="47">
        <f t="shared" si="24"/>
        <v>2022</v>
      </c>
      <c r="B518" s="46">
        <f t="shared" si="25"/>
        <v>42</v>
      </c>
      <c r="C518" s="46">
        <f t="shared" si="26"/>
        <v>43</v>
      </c>
      <c r="D518" s="1"/>
      <c r="E518" s="1" t="s">
        <v>1152</v>
      </c>
      <c r="F518" s="19" t="s">
        <v>1108</v>
      </c>
      <c r="G518" s="1" t="s">
        <v>10</v>
      </c>
      <c r="H518" s="1" t="s">
        <v>91</v>
      </c>
      <c r="I518" s="2">
        <v>44844</v>
      </c>
      <c r="J518" s="3">
        <v>0.37222222222222223</v>
      </c>
      <c r="K518" s="1" t="s">
        <v>73</v>
      </c>
      <c r="L518" s="2">
        <v>44854</v>
      </c>
      <c r="M518" s="3">
        <v>0.36319444444444443</v>
      </c>
      <c r="N518" s="19" t="s">
        <v>1153</v>
      </c>
      <c r="O518" s="21"/>
    </row>
    <row r="519" spans="1:15" customFormat="1" ht="57.6" hidden="1" x14ac:dyDescent="0.3">
      <c r="A519" s="47">
        <f t="shared" si="24"/>
        <v>2022</v>
      </c>
      <c r="B519" s="46">
        <f t="shared" si="25"/>
        <v>42</v>
      </c>
      <c r="C519" s="46">
        <f t="shared" si="26"/>
        <v>43</v>
      </c>
      <c r="D519" s="1"/>
      <c r="E519" s="1" t="s">
        <v>1154</v>
      </c>
      <c r="F519" s="19" t="s">
        <v>1155</v>
      </c>
      <c r="G519" s="1" t="s">
        <v>10</v>
      </c>
      <c r="H519" s="1" t="s">
        <v>91</v>
      </c>
      <c r="I519" s="2">
        <v>44845</v>
      </c>
      <c r="J519" s="3">
        <v>0.66180555555555554</v>
      </c>
      <c r="K519" s="1" t="s">
        <v>73</v>
      </c>
      <c r="L519" s="2">
        <v>44854</v>
      </c>
      <c r="M519" s="3">
        <v>0.36319444444444443</v>
      </c>
      <c r="N519" s="19" t="s">
        <v>1156</v>
      </c>
      <c r="O519" s="21"/>
    </row>
    <row r="520" spans="1:15" customFormat="1" ht="72" hidden="1" x14ac:dyDescent="0.3">
      <c r="A520" s="47">
        <f t="shared" si="24"/>
        <v>2022</v>
      </c>
      <c r="B520" s="46">
        <f t="shared" si="25"/>
        <v>42</v>
      </c>
      <c r="C520" s="46">
        <f t="shared" si="26"/>
        <v>43</v>
      </c>
      <c r="D520" s="1"/>
      <c r="E520" s="1" t="s">
        <v>1157</v>
      </c>
      <c r="F520" s="19" t="s">
        <v>1158</v>
      </c>
      <c r="G520" s="1" t="s">
        <v>10</v>
      </c>
      <c r="H520" s="1" t="s">
        <v>91</v>
      </c>
      <c r="I520" s="2">
        <v>44845</v>
      </c>
      <c r="J520" s="3">
        <v>0.66249999999999998</v>
      </c>
      <c r="K520" s="1" t="s">
        <v>73</v>
      </c>
      <c r="L520" s="2">
        <v>44854</v>
      </c>
      <c r="M520" s="3">
        <v>0.36319444444444443</v>
      </c>
      <c r="N520" s="19" t="s">
        <v>1159</v>
      </c>
      <c r="O520" s="21"/>
    </row>
    <row r="521" spans="1:15" customFormat="1" ht="57.6" hidden="1" x14ac:dyDescent="0.3">
      <c r="A521" s="47">
        <f t="shared" si="24"/>
        <v>2022</v>
      </c>
      <c r="B521" s="46">
        <f t="shared" si="25"/>
        <v>42</v>
      </c>
      <c r="C521" s="46">
        <f t="shared" si="26"/>
        <v>43</v>
      </c>
      <c r="D521" s="1"/>
      <c r="E521" s="1" t="s">
        <v>1160</v>
      </c>
      <c r="F521" s="19" t="s">
        <v>1161</v>
      </c>
      <c r="G521" s="1" t="s">
        <v>10</v>
      </c>
      <c r="H521" s="1" t="s">
        <v>91</v>
      </c>
      <c r="I521" s="2">
        <v>44845</v>
      </c>
      <c r="J521" s="3">
        <v>0.66666666666666663</v>
      </c>
      <c r="K521" s="1" t="s">
        <v>73</v>
      </c>
      <c r="L521" s="2">
        <v>44854</v>
      </c>
      <c r="M521" s="3">
        <v>0.36319444444444443</v>
      </c>
      <c r="N521" s="19" t="s">
        <v>1162</v>
      </c>
      <c r="O521" s="21"/>
    </row>
    <row r="522" spans="1:15" customFormat="1" ht="43.2" hidden="1" x14ac:dyDescent="0.3">
      <c r="A522" s="47">
        <f t="shared" si="24"/>
        <v>2022</v>
      </c>
      <c r="B522" s="46">
        <f t="shared" si="25"/>
        <v>42</v>
      </c>
      <c r="C522" s="46">
        <f t="shared" si="26"/>
        <v>43</v>
      </c>
      <c r="D522" s="1"/>
      <c r="E522" s="1" t="s">
        <v>1163</v>
      </c>
      <c r="F522" s="19" t="s">
        <v>1147</v>
      </c>
      <c r="G522" s="1" t="s">
        <v>10</v>
      </c>
      <c r="H522" s="1" t="s">
        <v>91</v>
      </c>
      <c r="I522" s="2">
        <v>44845</v>
      </c>
      <c r="J522" s="3">
        <v>0.66875000000000007</v>
      </c>
      <c r="K522" s="1" t="s">
        <v>73</v>
      </c>
      <c r="L522" s="2">
        <v>44854</v>
      </c>
      <c r="M522" s="3">
        <v>0.36319444444444443</v>
      </c>
      <c r="N522" s="19" t="s">
        <v>1164</v>
      </c>
      <c r="O522" s="21"/>
    </row>
    <row r="523" spans="1:15" customFormat="1" ht="57.6" hidden="1" x14ac:dyDescent="0.3">
      <c r="A523" s="47">
        <f t="shared" si="24"/>
        <v>2022</v>
      </c>
      <c r="B523" s="46">
        <f t="shared" si="25"/>
        <v>41</v>
      </c>
      <c r="C523" s="46">
        <f t="shared" si="26"/>
        <v>43</v>
      </c>
      <c r="D523" s="1"/>
      <c r="E523" s="1" t="s">
        <v>1165</v>
      </c>
      <c r="F523" s="19" t="s">
        <v>877</v>
      </c>
      <c r="G523" s="1" t="s">
        <v>10</v>
      </c>
      <c r="H523" s="1" t="s">
        <v>91</v>
      </c>
      <c r="I523" s="2">
        <v>44841</v>
      </c>
      <c r="J523" s="3">
        <v>0.54652777777777783</v>
      </c>
      <c r="K523" s="1" t="s">
        <v>73</v>
      </c>
      <c r="L523" s="2">
        <v>44854</v>
      </c>
      <c r="M523" s="3">
        <v>0.63194444444444442</v>
      </c>
      <c r="N523" s="19" t="s">
        <v>1166</v>
      </c>
      <c r="O523" s="21"/>
    </row>
    <row r="524" spans="1:15" customFormat="1" ht="72" hidden="1" x14ac:dyDescent="0.3">
      <c r="A524" s="47">
        <f t="shared" si="24"/>
        <v>2022</v>
      </c>
      <c r="B524" s="46">
        <f t="shared" si="25"/>
        <v>41</v>
      </c>
      <c r="C524" s="46">
        <f t="shared" si="26"/>
        <v>43</v>
      </c>
      <c r="D524" s="1"/>
      <c r="E524" s="1" t="s">
        <v>1167</v>
      </c>
      <c r="F524" s="19" t="s">
        <v>1168</v>
      </c>
      <c r="G524" s="1" t="s">
        <v>10</v>
      </c>
      <c r="H524" s="1" t="s">
        <v>91</v>
      </c>
      <c r="I524" s="2">
        <v>44841</v>
      </c>
      <c r="J524" s="3">
        <v>0.5541666666666667</v>
      </c>
      <c r="K524" s="1" t="s">
        <v>73</v>
      </c>
      <c r="L524" s="2">
        <v>44854</v>
      </c>
      <c r="M524" s="3">
        <v>0.70277777777777783</v>
      </c>
      <c r="N524" s="19" t="s">
        <v>1169</v>
      </c>
      <c r="O524" s="21"/>
    </row>
    <row r="525" spans="1:15" customFormat="1" ht="43.2" hidden="1" x14ac:dyDescent="0.3">
      <c r="A525" s="47">
        <f t="shared" si="24"/>
        <v>2022</v>
      </c>
      <c r="B525" s="46">
        <f t="shared" si="25"/>
        <v>42</v>
      </c>
      <c r="C525" s="46">
        <f t="shared" si="26"/>
        <v>43</v>
      </c>
      <c r="D525" s="1"/>
      <c r="E525" s="1" t="s">
        <v>1170</v>
      </c>
      <c r="F525" s="19" t="s">
        <v>1171</v>
      </c>
      <c r="G525" s="1" t="s">
        <v>10</v>
      </c>
      <c r="H525" s="1" t="s">
        <v>91</v>
      </c>
      <c r="I525" s="2">
        <v>44849</v>
      </c>
      <c r="J525" s="3">
        <v>0.40277777777777773</v>
      </c>
      <c r="K525" s="1" t="s">
        <v>73</v>
      </c>
      <c r="L525" s="2">
        <v>44855</v>
      </c>
      <c r="M525" s="3">
        <v>0.4375</v>
      </c>
      <c r="N525" s="19" t="s">
        <v>1172</v>
      </c>
      <c r="O525" s="21"/>
    </row>
    <row r="526" spans="1:15" customFormat="1" ht="43.2" hidden="1" x14ac:dyDescent="0.3">
      <c r="A526" s="47">
        <f t="shared" si="24"/>
        <v>2022</v>
      </c>
      <c r="B526" s="46">
        <f t="shared" si="25"/>
        <v>42</v>
      </c>
      <c r="C526" s="46">
        <f t="shared" si="26"/>
        <v>43</v>
      </c>
      <c r="D526" s="1"/>
      <c r="E526" s="1" t="s">
        <v>1173</v>
      </c>
      <c r="F526" s="19" t="s">
        <v>1174</v>
      </c>
      <c r="G526" s="1" t="s">
        <v>10</v>
      </c>
      <c r="H526" s="1" t="s">
        <v>91</v>
      </c>
      <c r="I526" s="2">
        <v>44849</v>
      </c>
      <c r="J526" s="3">
        <v>0.41111111111111115</v>
      </c>
      <c r="K526" s="1" t="s">
        <v>73</v>
      </c>
      <c r="L526" s="2">
        <v>44855</v>
      </c>
      <c r="M526" s="3">
        <v>0.48958333333333331</v>
      </c>
      <c r="N526" s="19" t="s">
        <v>1175</v>
      </c>
      <c r="O526" s="21"/>
    </row>
    <row r="527" spans="1:15" customFormat="1" ht="72" hidden="1" x14ac:dyDescent="0.3">
      <c r="A527" s="47">
        <f t="shared" si="24"/>
        <v>2022</v>
      </c>
      <c r="B527" s="46">
        <f t="shared" si="25"/>
        <v>42</v>
      </c>
      <c r="C527" s="46">
        <f t="shared" si="26"/>
        <v>43</v>
      </c>
      <c r="D527" s="1"/>
      <c r="E527" s="1" t="s">
        <v>1177</v>
      </c>
      <c r="F527" s="19" t="s">
        <v>1178</v>
      </c>
      <c r="G527" s="1" t="s">
        <v>10</v>
      </c>
      <c r="H527" s="1" t="s">
        <v>91</v>
      </c>
      <c r="I527" s="2">
        <v>44849</v>
      </c>
      <c r="J527" s="3">
        <v>0.42152777777777778</v>
      </c>
      <c r="K527" s="1" t="s">
        <v>73</v>
      </c>
      <c r="L527" s="2">
        <v>44855</v>
      </c>
      <c r="M527" s="3">
        <v>0.49374999999999997</v>
      </c>
      <c r="N527" s="19" t="s">
        <v>1176</v>
      </c>
      <c r="O527" s="21"/>
    </row>
    <row r="528" spans="1:15" customFormat="1" ht="72" hidden="1" x14ac:dyDescent="0.3">
      <c r="A528" s="47">
        <f t="shared" si="24"/>
        <v>2022</v>
      </c>
      <c r="B528" s="46">
        <f t="shared" si="25"/>
        <v>42</v>
      </c>
      <c r="C528" s="46">
        <f t="shared" si="26"/>
        <v>43</v>
      </c>
      <c r="D528" s="1"/>
      <c r="E528" s="1" t="s">
        <v>1179</v>
      </c>
      <c r="F528" s="19" t="s">
        <v>1180</v>
      </c>
      <c r="G528" s="1" t="s">
        <v>10</v>
      </c>
      <c r="H528" s="1" t="s">
        <v>91</v>
      </c>
      <c r="I528" s="2">
        <v>44849</v>
      </c>
      <c r="J528" s="3">
        <v>0.42152777777777778</v>
      </c>
      <c r="K528" s="1" t="s">
        <v>73</v>
      </c>
      <c r="L528" s="2">
        <v>44855</v>
      </c>
      <c r="M528" s="3">
        <v>0.4993055555555555</v>
      </c>
      <c r="N528" s="19" t="s">
        <v>1181</v>
      </c>
      <c r="O528" s="21"/>
    </row>
    <row r="529" spans="1:15" customFormat="1" ht="43.2" hidden="1" x14ac:dyDescent="0.3">
      <c r="A529" s="47">
        <f t="shared" si="24"/>
        <v>2022</v>
      </c>
      <c r="B529" s="46">
        <f t="shared" si="25"/>
        <v>42</v>
      </c>
      <c r="C529" s="46">
        <f t="shared" si="26"/>
        <v>43</v>
      </c>
      <c r="D529" s="1"/>
      <c r="E529" s="1" t="s">
        <v>1182</v>
      </c>
      <c r="F529" s="19" t="s">
        <v>1178</v>
      </c>
      <c r="G529" s="1" t="s">
        <v>10</v>
      </c>
      <c r="H529" s="1" t="s">
        <v>91</v>
      </c>
      <c r="I529" s="2">
        <v>44849</v>
      </c>
      <c r="J529" s="3">
        <v>0.47291666666666665</v>
      </c>
      <c r="K529" s="1" t="s">
        <v>73</v>
      </c>
      <c r="L529" s="2">
        <v>44855</v>
      </c>
      <c r="M529" s="3">
        <v>0.50277777777777777</v>
      </c>
      <c r="N529" s="19" t="s">
        <v>1183</v>
      </c>
      <c r="O529" s="21"/>
    </row>
    <row r="530" spans="1:15" customFormat="1" ht="43.2" hidden="1" x14ac:dyDescent="0.3">
      <c r="A530" s="47">
        <f t="shared" si="24"/>
        <v>2022</v>
      </c>
      <c r="B530" s="46">
        <f t="shared" si="25"/>
        <v>42</v>
      </c>
      <c r="C530" s="46">
        <f t="shared" si="26"/>
        <v>43</v>
      </c>
      <c r="D530" s="1"/>
      <c r="E530" s="1" t="s">
        <v>1184</v>
      </c>
      <c r="F530" s="19" t="s">
        <v>1185</v>
      </c>
      <c r="G530" s="1" t="s">
        <v>10</v>
      </c>
      <c r="H530" s="1" t="s">
        <v>91</v>
      </c>
      <c r="I530" s="2">
        <v>44849</v>
      </c>
      <c r="J530" s="3">
        <v>0.47291666666666665</v>
      </c>
      <c r="K530" s="1" t="s">
        <v>73</v>
      </c>
      <c r="L530" s="2">
        <v>44855</v>
      </c>
      <c r="M530" s="3">
        <v>0.51111111111111118</v>
      </c>
      <c r="N530" s="19" t="s">
        <v>1186</v>
      </c>
      <c r="O530" s="21"/>
    </row>
    <row r="531" spans="1:15" customFormat="1" ht="100.8" hidden="1" x14ac:dyDescent="0.3">
      <c r="A531" s="47">
        <f t="shared" si="24"/>
        <v>2022</v>
      </c>
      <c r="B531" s="46">
        <f t="shared" si="25"/>
        <v>42</v>
      </c>
      <c r="C531" s="46">
        <f t="shared" si="26"/>
        <v>43</v>
      </c>
      <c r="D531" s="1"/>
      <c r="E531" s="1" t="s">
        <v>1187</v>
      </c>
      <c r="F531" s="19" t="s">
        <v>1178</v>
      </c>
      <c r="G531" s="1" t="s">
        <v>10</v>
      </c>
      <c r="H531" s="1" t="s">
        <v>91</v>
      </c>
      <c r="I531" s="2">
        <v>44849</v>
      </c>
      <c r="J531" s="3">
        <v>0.49374999999999997</v>
      </c>
      <c r="K531" s="1" t="s">
        <v>73</v>
      </c>
      <c r="L531" s="2">
        <v>44855</v>
      </c>
      <c r="M531" s="3">
        <v>0.55486111111111114</v>
      </c>
      <c r="N531" s="19" t="s">
        <v>1188</v>
      </c>
      <c r="O531" s="21"/>
    </row>
    <row r="532" spans="1:15" customFormat="1" ht="72" hidden="1" x14ac:dyDescent="0.3">
      <c r="A532" s="47">
        <f t="shared" si="24"/>
        <v>2022</v>
      </c>
      <c r="B532" s="46">
        <f t="shared" si="25"/>
        <v>42</v>
      </c>
      <c r="C532" s="46">
        <f t="shared" si="26"/>
        <v>44</v>
      </c>
      <c r="D532" s="1"/>
      <c r="E532" s="1" t="s">
        <v>1189</v>
      </c>
      <c r="F532" s="19" t="s">
        <v>1199</v>
      </c>
      <c r="G532" s="1" t="s">
        <v>10</v>
      </c>
      <c r="H532" s="1" t="s">
        <v>1200</v>
      </c>
      <c r="I532" s="2">
        <v>44849</v>
      </c>
      <c r="J532" s="3">
        <v>0.50277777777777777</v>
      </c>
      <c r="K532" s="1" t="s">
        <v>1201</v>
      </c>
      <c r="L532" s="2">
        <v>44858</v>
      </c>
      <c r="M532" s="3">
        <v>0.28611111111111115</v>
      </c>
      <c r="N532" s="19" t="s">
        <v>1204</v>
      </c>
      <c r="O532" s="21"/>
    </row>
    <row r="533" spans="1:15" customFormat="1" ht="72" hidden="1" x14ac:dyDescent="0.3">
      <c r="A533" s="47">
        <f t="shared" si="24"/>
        <v>2022</v>
      </c>
      <c r="B533" s="46">
        <f t="shared" si="25"/>
        <v>42</v>
      </c>
      <c r="C533" s="46">
        <f t="shared" si="26"/>
        <v>44</v>
      </c>
      <c r="D533" s="1"/>
      <c r="E533" s="1" t="s">
        <v>1190</v>
      </c>
      <c r="F533" s="19" t="s">
        <v>1202</v>
      </c>
      <c r="G533" s="1" t="s">
        <v>10</v>
      </c>
      <c r="H533" s="1" t="s">
        <v>1200</v>
      </c>
      <c r="I533" s="2">
        <v>44849</v>
      </c>
      <c r="J533" s="3">
        <v>0.51458333333333328</v>
      </c>
      <c r="K533" s="1" t="s">
        <v>1201</v>
      </c>
      <c r="L533" s="2">
        <v>44858</v>
      </c>
      <c r="M533" s="3">
        <v>0.28611111111111115</v>
      </c>
      <c r="N533" s="19" t="s">
        <v>1205</v>
      </c>
      <c r="O533" s="21"/>
    </row>
    <row r="534" spans="1:15" customFormat="1" ht="57.6" hidden="1" x14ac:dyDescent="0.3">
      <c r="A534" s="47">
        <f t="shared" si="24"/>
        <v>2022</v>
      </c>
      <c r="B534" s="46">
        <f t="shared" si="25"/>
        <v>42</v>
      </c>
      <c r="C534" s="46">
        <f t="shared" si="26"/>
        <v>44</v>
      </c>
      <c r="D534" s="1"/>
      <c r="E534" s="1" t="s">
        <v>1191</v>
      </c>
      <c r="F534" s="19" t="s">
        <v>1202</v>
      </c>
      <c r="G534" s="1" t="s">
        <v>10</v>
      </c>
      <c r="H534" s="1" t="s">
        <v>1200</v>
      </c>
      <c r="I534" s="2">
        <v>44849</v>
      </c>
      <c r="J534" s="3">
        <v>0.52777777777777779</v>
      </c>
      <c r="K534" s="1" t="s">
        <v>1201</v>
      </c>
      <c r="L534" s="2">
        <v>44858</v>
      </c>
      <c r="M534" s="3">
        <v>0.28611111111111115</v>
      </c>
      <c r="N534" s="19" t="s">
        <v>1206</v>
      </c>
      <c r="O534" s="21"/>
    </row>
    <row r="535" spans="1:15" customFormat="1" ht="72" hidden="1" x14ac:dyDescent="0.3">
      <c r="A535" s="47">
        <f t="shared" si="24"/>
        <v>2022</v>
      </c>
      <c r="B535" s="46">
        <f t="shared" si="25"/>
        <v>42</v>
      </c>
      <c r="C535" s="46">
        <f t="shared" si="26"/>
        <v>44</v>
      </c>
      <c r="D535" s="1"/>
      <c r="E535" s="1" t="s">
        <v>1192</v>
      </c>
      <c r="F535" s="19" t="s">
        <v>1202</v>
      </c>
      <c r="G535" s="1" t="s">
        <v>10</v>
      </c>
      <c r="H535" s="1" t="s">
        <v>1200</v>
      </c>
      <c r="I535" s="2">
        <v>44849</v>
      </c>
      <c r="J535" s="3">
        <v>0.53611111111111109</v>
      </c>
      <c r="K535" s="1" t="s">
        <v>1201</v>
      </c>
      <c r="L535" s="2">
        <v>44858</v>
      </c>
      <c r="M535" s="3">
        <v>0.28611111111111115</v>
      </c>
      <c r="N535" s="19" t="s">
        <v>1207</v>
      </c>
      <c r="O535" s="21"/>
    </row>
    <row r="536" spans="1:15" customFormat="1" ht="72" hidden="1" x14ac:dyDescent="0.3">
      <c r="A536" s="47">
        <f t="shared" si="24"/>
        <v>2022</v>
      </c>
      <c r="B536" s="46">
        <f t="shared" si="25"/>
        <v>42</v>
      </c>
      <c r="C536" s="46">
        <f t="shared" si="26"/>
        <v>44</v>
      </c>
      <c r="D536" s="1"/>
      <c r="E536" s="1" t="s">
        <v>1193</v>
      </c>
      <c r="F536" s="19" t="s">
        <v>1199</v>
      </c>
      <c r="G536" s="1" t="s">
        <v>10</v>
      </c>
      <c r="H536" s="1" t="s">
        <v>1200</v>
      </c>
      <c r="I536" s="2">
        <v>44849</v>
      </c>
      <c r="J536" s="3">
        <v>0.5444444444444444</v>
      </c>
      <c r="K536" s="1" t="s">
        <v>1201</v>
      </c>
      <c r="L536" s="2">
        <v>44858</v>
      </c>
      <c r="M536" s="3">
        <v>0.28611111111111115</v>
      </c>
      <c r="N536" s="19" t="s">
        <v>1208</v>
      </c>
      <c r="O536" s="21"/>
    </row>
    <row r="537" spans="1:15" customFormat="1" ht="28.8" hidden="1" x14ac:dyDescent="0.3">
      <c r="A537" s="47">
        <f t="shared" si="24"/>
        <v>2022</v>
      </c>
      <c r="B537" s="46">
        <f t="shared" si="25"/>
        <v>42</v>
      </c>
      <c r="C537" s="46">
        <f t="shared" si="26"/>
        <v>44</v>
      </c>
      <c r="D537" s="1"/>
      <c r="E537" s="1" t="s">
        <v>1194</v>
      </c>
      <c r="F537" s="19" t="s">
        <v>1199</v>
      </c>
      <c r="G537" s="1" t="s">
        <v>10</v>
      </c>
      <c r="H537" s="1" t="s">
        <v>1200</v>
      </c>
      <c r="I537" s="2">
        <v>44849</v>
      </c>
      <c r="J537" s="3">
        <v>0.55694444444444446</v>
      </c>
      <c r="K537" s="1" t="s">
        <v>1201</v>
      </c>
      <c r="L537" s="2">
        <v>44858</v>
      </c>
      <c r="M537" s="3">
        <v>0.28611111111111115</v>
      </c>
      <c r="N537" s="19" t="s">
        <v>1209</v>
      </c>
      <c r="O537" s="21"/>
    </row>
    <row r="538" spans="1:15" customFormat="1" ht="43.2" hidden="1" x14ac:dyDescent="0.3">
      <c r="A538" s="47">
        <f t="shared" si="24"/>
        <v>2022</v>
      </c>
      <c r="B538" s="46">
        <f t="shared" si="25"/>
        <v>42</v>
      </c>
      <c r="C538" s="46">
        <f t="shared" si="26"/>
        <v>44</v>
      </c>
      <c r="D538" s="1"/>
      <c r="E538" s="1" t="s">
        <v>1195</v>
      </c>
      <c r="F538" s="19" t="s">
        <v>1203</v>
      </c>
      <c r="G538" s="1" t="s">
        <v>9</v>
      </c>
      <c r="H538" s="1" t="s">
        <v>1200</v>
      </c>
      <c r="I538" s="2">
        <v>44849</v>
      </c>
      <c r="J538" s="3">
        <v>0.56527777777777777</v>
      </c>
      <c r="K538" s="1" t="s">
        <v>1201</v>
      </c>
      <c r="L538" s="2">
        <v>44858</v>
      </c>
      <c r="M538" s="3">
        <v>0.28611111111111115</v>
      </c>
      <c r="N538" s="19" t="s">
        <v>1210</v>
      </c>
      <c r="O538" s="21"/>
    </row>
    <row r="539" spans="1:15" customFormat="1" ht="28.8" hidden="1" x14ac:dyDescent="0.3">
      <c r="A539" s="47">
        <f t="shared" si="24"/>
        <v>2022</v>
      </c>
      <c r="B539" s="46">
        <f t="shared" si="25"/>
        <v>42</v>
      </c>
      <c r="C539" s="46">
        <f t="shared" si="26"/>
        <v>44</v>
      </c>
      <c r="D539" s="1"/>
      <c r="E539" s="1" t="s">
        <v>1196</v>
      </c>
      <c r="F539" s="19" t="s">
        <v>1202</v>
      </c>
      <c r="G539" s="1" t="s">
        <v>10</v>
      </c>
      <c r="H539" s="1" t="s">
        <v>1200</v>
      </c>
      <c r="I539" s="2">
        <v>44849</v>
      </c>
      <c r="J539" s="3">
        <v>0.51527777777777783</v>
      </c>
      <c r="K539" s="1" t="s">
        <v>1201</v>
      </c>
      <c r="L539" s="2">
        <v>44858</v>
      </c>
      <c r="M539" s="3">
        <v>0.28541666666666665</v>
      </c>
      <c r="N539" s="19" t="s">
        <v>1211</v>
      </c>
      <c r="O539" s="21"/>
    </row>
    <row r="540" spans="1:15" customFormat="1" hidden="1" x14ac:dyDescent="0.3">
      <c r="A540" s="47">
        <f t="shared" si="24"/>
        <v>2022</v>
      </c>
      <c r="B540" s="46">
        <f t="shared" si="25"/>
        <v>43</v>
      </c>
      <c r="C540" s="46">
        <f t="shared" si="26"/>
        <v>44</v>
      </c>
      <c r="D540" s="1"/>
      <c r="E540" s="1" t="s">
        <v>1197</v>
      </c>
      <c r="F540" s="19" t="s">
        <v>1202</v>
      </c>
      <c r="G540" s="1" t="s">
        <v>10</v>
      </c>
      <c r="H540" s="1" t="s">
        <v>1200</v>
      </c>
      <c r="I540" s="2">
        <v>44851</v>
      </c>
      <c r="J540" s="3">
        <v>0.62777777777777777</v>
      </c>
      <c r="K540" s="1" t="s">
        <v>1201</v>
      </c>
      <c r="L540" s="2">
        <v>44858</v>
      </c>
      <c r="M540" s="3">
        <v>0.28402777777777777</v>
      </c>
      <c r="N540" s="19" t="s">
        <v>1212</v>
      </c>
      <c r="O540" s="21"/>
    </row>
    <row r="541" spans="1:15" customFormat="1" ht="57.6" hidden="1" x14ac:dyDescent="0.3">
      <c r="A541" s="47">
        <f t="shared" si="24"/>
        <v>2022</v>
      </c>
      <c r="B541" s="46">
        <f t="shared" si="25"/>
        <v>43</v>
      </c>
      <c r="C541" s="46">
        <f t="shared" si="26"/>
        <v>44</v>
      </c>
      <c r="D541" s="1"/>
      <c r="E541" s="1" t="s">
        <v>1198</v>
      </c>
      <c r="F541" s="19" t="s">
        <v>1199</v>
      </c>
      <c r="G541" s="1" t="s">
        <v>10</v>
      </c>
      <c r="H541" s="1" t="s">
        <v>1200</v>
      </c>
      <c r="I541" s="2">
        <v>44855</v>
      </c>
      <c r="J541" s="3">
        <v>0.5180555555555556</v>
      </c>
      <c r="K541" s="1" t="s">
        <v>1201</v>
      </c>
      <c r="L541" s="2">
        <v>44858</v>
      </c>
      <c r="M541" s="3">
        <v>0.28402777777777777</v>
      </c>
      <c r="N541" s="19" t="s">
        <v>1213</v>
      </c>
      <c r="O541" s="21"/>
    </row>
    <row r="542" spans="1:15" ht="57.6" hidden="1" x14ac:dyDescent="0.3">
      <c r="A542" s="47">
        <f t="shared" si="24"/>
        <v>2022</v>
      </c>
      <c r="B542" s="46">
        <f t="shared" si="25"/>
        <v>42</v>
      </c>
      <c r="C542" s="46">
        <f t="shared" si="26"/>
        <v>44</v>
      </c>
      <c r="E542" s="1" t="s">
        <v>1214</v>
      </c>
      <c r="F542" s="19" t="s">
        <v>1215</v>
      </c>
      <c r="G542" s="1" t="s">
        <v>900</v>
      </c>
      <c r="H542" s="1" t="s">
        <v>1200</v>
      </c>
      <c r="I542" s="2">
        <v>44849</v>
      </c>
      <c r="J542" s="3">
        <v>0.57361111111111118</v>
      </c>
      <c r="K542" s="1" t="s">
        <v>1201</v>
      </c>
      <c r="L542" s="2">
        <v>44858</v>
      </c>
      <c r="M542" s="3">
        <v>0.34513888888888888</v>
      </c>
      <c r="N542" s="19" t="s">
        <v>1216</v>
      </c>
    </row>
    <row r="543" spans="1:15" ht="57.6" hidden="1" x14ac:dyDescent="0.3">
      <c r="A543" s="47">
        <f t="shared" si="24"/>
        <v>2022</v>
      </c>
      <c r="B543" s="46">
        <f t="shared" si="25"/>
        <v>42</v>
      </c>
      <c r="C543" s="46">
        <f t="shared" si="26"/>
        <v>44</v>
      </c>
      <c r="E543" s="1" t="s">
        <v>1217</v>
      </c>
      <c r="F543" s="19" t="s">
        <v>1218</v>
      </c>
      <c r="G543" s="1" t="s">
        <v>900</v>
      </c>
      <c r="H543" s="1" t="s">
        <v>1200</v>
      </c>
      <c r="I543" s="2">
        <v>44849</v>
      </c>
      <c r="J543" s="3">
        <v>0.57708333333333328</v>
      </c>
      <c r="K543" s="1" t="s">
        <v>1201</v>
      </c>
      <c r="L543" s="2">
        <v>44858</v>
      </c>
      <c r="M543" s="3">
        <v>0.38958333333333334</v>
      </c>
      <c r="N543" s="19" t="s">
        <v>1219</v>
      </c>
    </row>
    <row r="544" spans="1:15" ht="86.4" hidden="1" x14ac:dyDescent="0.3">
      <c r="A544" s="47">
        <f t="shared" si="24"/>
        <v>2022</v>
      </c>
      <c r="B544" s="46">
        <f t="shared" si="25"/>
        <v>42</v>
      </c>
      <c r="C544" s="46">
        <f t="shared" si="26"/>
        <v>44</v>
      </c>
      <c r="E544" s="1" t="s">
        <v>1220</v>
      </c>
      <c r="F544" s="19" t="s">
        <v>1221</v>
      </c>
      <c r="G544" s="1" t="s">
        <v>900</v>
      </c>
      <c r="H544" s="1" t="s">
        <v>1200</v>
      </c>
      <c r="I544" s="2">
        <v>44849</v>
      </c>
      <c r="J544" s="3">
        <v>0.58124999999999993</v>
      </c>
      <c r="K544" s="1" t="s">
        <v>1201</v>
      </c>
      <c r="L544" s="2">
        <v>44858</v>
      </c>
      <c r="M544" s="3">
        <v>0.39513888888888887</v>
      </c>
      <c r="N544" s="19" t="s">
        <v>1222</v>
      </c>
    </row>
    <row r="545" spans="1:15" customFormat="1" ht="28.8" hidden="1" x14ac:dyDescent="0.3">
      <c r="A545" s="47">
        <f t="shared" si="24"/>
        <v>2022</v>
      </c>
      <c r="B545" s="46">
        <f t="shared" si="25"/>
        <v>43</v>
      </c>
      <c r="C545" s="46">
        <f t="shared" si="26"/>
        <v>44</v>
      </c>
      <c r="D545" s="1"/>
      <c r="E545" s="1" t="s">
        <v>1223</v>
      </c>
      <c r="F545" s="19" t="s">
        <v>9</v>
      </c>
      <c r="G545" s="1" t="s">
        <v>9</v>
      </c>
      <c r="H545" s="1" t="s">
        <v>1200</v>
      </c>
      <c r="I545" s="2">
        <v>44855</v>
      </c>
      <c r="J545" s="3">
        <v>0.51388888888888895</v>
      </c>
      <c r="K545" s="1" t="s">
        <v>1201</v>
      </c>
      <c r="L545" s="2">
        <v>44858</v>
      </c>
      <c r="M545" s="3">
        <v>0.6777777777777777</v>
      </c>
      <c r="N545" s="19" t="s">
        <v>1230</v>
      </c>
      <c r="O545" s="21"/>
    </row>
    <row r="546" spans="1:15" ht="115.2" hidden="1" x14ac:dyDescent="0.3">
      <c r="A546" s="47">
        <f t="shared" si="24"/>
        <v>2022</v>
      </c>
      <c r="B546" s="46">
        <f t="shared" si="25"/>
        <v>44</v>
      </c>
      <c r="C546" s="46">
        <f t="shared" si="26"/>
        <v>45</v>
      </c>
      <c r="E546" s="56" t="s">
        <v>1227</v>
      </c>
      <c r="F546" s="88" t="s">
        <v>1228</v>
      </c>
      <c r="G546" s="56" t="s">
        <v>900</v>
      </c>
      <c r="H546" s="56" t="s">
        <v>1200</v>
      </c>
      <c r="I546" s="57">
        <v>44861</v>
      </c>
      <c r="J546" s="58">
        <v>0.4916666666666667</v>
      </c>
      <c r="K546" s="56" t="s">
        <v>1201</v>
      </c>
      <c r="L546" s="57">
        <v>44865</v>
      </c>
      <c r="M546" s="58">
        <v>0.22500000000000001</v>
      </c>
      <c r="N546" s="88" t="s">
        <v>1229</v>
      </c>
    </row>
    <row r="547" spans="1:15" ht="86.4" hidden="1" x14ac:dyDescent="0.3">
      <c r="A547" s="47">
        <f t="shared" si="24"/>
        <v>2022</v>
      </c>
      <c r="B547" s="46">
        <f t="shared" si="25"/>
        <v>44</v>
      </c>
      <c r="C547" s="46">
        <f t="shared" si="26"/>
        <v>45</v>
      </c>
      <c r="E547" s="56" t="s">
        <v>1231</v>
      </c>
      <c r="F547" s="88" t="s">
        <v>1232</v>
      </c>
      <c r="G547" s="56" t="s">
        <v>900</v>
      </c>
      <c r="H547" s="56" t="s">
        <v>1200</v>
      </c>
      <c r="I547" s="57">
        <v>44861</v>
      </c>
      <c r="J547" s="58">
        <v>0.49583333333333335</v>
      </c>
      <c r="K547" s="56" t="s">
        <v>1201</v>
      </c>
      <c r="L547" s="57">
        <v>44865</v>
      </c>
      <c r="M547" s="58">
        <v>0.24305555555555555</v>
      </c>
      <c r="N547" s="88" t="s">
        <v>1233</v>
      </c>
    </row>
    <row r="548" spans="1:15" customFormat="1" ht="86.4" hidden="1" x14ac:dyDescent="0.3">
      <c r="A548" s="47">
        <f t="shared" si="24"/>
        <v>2022</v>
      </c>
      <c r="B548" s="46">
        <f t="shared" si="25"/>
        <v>44</v>
      </c>
      <c r="C548" s="46">
        <f t="shared" si="26"/>
        <v>45</v>
      </c>
      <c r="D548" s="1"/>
      <c r="E548" s="1" t="s">
        <v>1234</v>
      </c>
      <c r="F548" s="19" t="s">
        <v>1235</v>
      </c>
      <c r="G548" s="1" t="s">
        <v>9</v>
      </c>
      <c r="H548" s="1" t="s">
        <v>1200</v>
      </c>
      <c r="I548" s="2">
        <v>44861</v>
      </c>
      <c r="J548" s="3">
        <v>0.5</v>
      </c>
      <c r="K548" s="1" t="s">
        <v>1201</v>
      </c>
      <c r="L548" s="2">
        <v>44865</v>
      </c>
      <c r="M548" s="3">
        <v>0.32222222222222224</v>
      </c>
      <c r="N548" s="19" t="s">
        <v>1236</v>
      </c>
      <c r="O548" s="21"/>
    </row>
    <row r="549" spans="1:15" ht="100.8" hidden="1" x14ac:dyDescent="0.3">
      <c r="A549" s="47">
        <f t="shared" si="24"/>
        <v>2022</v>
      </c>
      <c r="B549" s="46">
        <f t="shared" si="25"/>
        <v>44</v>
      </c>
      <c r="C549" s="46">
        <f t="shared" si="26"/>
        <v>45</v>
      </c>
      <c r="E549" s="56" t="s">
        <v>1237</v>
      </c>
      <c r="F549" s="88" t="s">
        <v>1215</v>
      </c>
      <c r="G549" s="56" t="s">
        <v>900</v>
      </c>
      <c r="H549" s="56" t="s">
        <v>1200</v>
      </c>
      <c r="I549" s="57">
        <v>44861</v>
      </c>
      <c r="J549" s="58">
        <v>0.50277777777777777</v>
      </c>
      <c r="K549" s="56" t="s">
        <v>1201</v>
      </c>
      <c r="L549" s="57">
        <v>44865</v>
      </c>
      <c r="M549" s="58">
        <v>0.34930555555555554</v>
      </c>
      <c r="N549" s="88" t="s">
        <v>1238</v>
      </c>
    </row>
    <row r="550" spans="1:15" ht="72" hidden="1" x14ac:dyDescent="0.3">
      <c r="A550" s="47">
        <f t="shared" si="24"/>
        <v>2022</v>
      </c>
      <c r="B550" s="46">
        <f t="shared" si="25"/>
        <v>44</v>
      </c>
      <c r="C550" s="46">
        <f t="shared" si="26"/>
        <v>45</v>
      </c>
      <c r="E550" s="1" t="s">
        <v>1239</v>
      </c>
      <c r="F550" s="19" t="s">
        <v>1240</v>
      </c>
      <c r="G550" s="1" t="s">
        <v>900</v>
      </c>
      <c r="H550" s="1" t="s">
        <v>1200</v>
      </c>
      <c r="I550" s="2">
        <v>44861</v>
      </c>
      <c r="J550" s="3">
        <v>0.50972222222222219</v>
      </c>
      <c r="K550" s="1" t="s">
        <v>1201</v>
      </c>
      <c r="L550" s="2">
        <v>44865</v>
      </c>
      <c r="M550" s="3">
        <v>0.38819444444444445</v>
      </c>
      <c r="N550" s="19" t="s">
        <v>1241</v>
      </c>
    </row>
    <row r="551" spans="1:15" customFormat="1" ht="57.6" hidden="1" x14ac:dyDescent="0.3">
      <c r="A551" s="47">
        <f t="shared" si="24"/>
        <v>2022</v>
      </c>
      <c r="B551" s="46">
        <f t="shared" si="25"/>
        <v>44</v>
      </c>
      <c r="C551" s="46">
        <f t="shared" si="26"/>
        <v>45</v>
      </c>
      <c r="D551" s="1"/>
      <c r="E551" s="1" t="s">
        <v>1242</v>
      </c>
      <c r="F551" s="19" t="s">
        <v>1203</v>
      </c>
      <c r="G551" s="1" t="s">
        <v>9</v>
      </c>
      <c r="H551" s="1" t="s">
        <v>1200</v>
      </c>
      <c r="I551" s="2">
        <v>44861</v>
      </c>
      <c r="J551" s="3">
        <v>0.51250000000000007</v>
      </c>
      <c r="K551" s="1" t="s">
        <v>1201</v>
      </c>
      <c r="L551" s="2">
        <v>44865</v>
      </c>
      <c r="M551" s="3">
        <v>0.4604166666666667</v>
      </c>
      <c r="N551" s="19" t="s">
        <v>1243</v>
      </c>
      <c r="O551" s="21"/>
    </row>
    <row r="552" spans="1:15" customFormat="1" ht="43.2" hidden="1" x14ac:dyDescent="0.3">
      <c r="A552" s="47">
        <f t="shared" si="24"/>
        <v>2022</v>
      </c>
      <c r="B552" s="46">
        <f t="shared" si="25"/>
        <v>44</v>
      </c>
      <c r="C552" s="46">
        <f t="shared" si="26"/>
        <v>45</v>
      </c>
      <c r="D552" s="1"/>
      <c r="E552" s="1" t="s">
        <v>1244</v>
      </c>
      <c r="F552" s="19" t="s">
        <v>1245</v>
      </c>
      <c r="G552" s="1" t="s">
        <v>9</v>
      </c>
      <c r="H552" s="1" t="s">
        <v>91</v>
      </c>
      <c r="I552" s="2">
        <v>44862</v>
      </c>
      <c r="J552" s="3">
        <v>0.68611111111111101</v>
      </c>
      <c r="K552" s="1" t="s">
        <v>73</v>
      </c>
      <c r="L552" s="2">
        <v>44868</v>
      </c>
      <c r="M552" s="3">
        <v>0.35347222222222219</v>
      </c>
      <c r="N552" s="19" t="s">
        <v>1246</v>
      </c>
      <c r="O552" s="21"/>
    </row>
    <row r="553" spans="1:15" ht="72" hidden="1" x14ac:dyDescent="0.3">
      <c r="A553" s="47">
        <f t="shared" si="24"/>
        <v>2022</v>
      </c>
      <c r="B553" s="46">
        <f t="shared" si="25"/>
        <v>44</v>
      </c>
      <c r="C553" s="46">
        <f t="shared" si="26"/>
        <v>45</v>
      </c>
      <c r="E553" s="1" t="s">
        <v>1247</v>
      </c>
      <c r="F553" s="284" t="s">
        <v>1248</v>
      </c>
      <c r="G553" s="1" t="s">
        <v>900</v>
      </c>
      <c r="H553" s="1" t="s">
        <v>1249</v>
      </c>
      <c r="I553" s="2">
        <v>44862</v>
      </c>
      <c r="J553" s="3">
        <v>0.69236111111111109</v>
      </c>
      <c r="K553" s="1" t="s">
        <v>73</v>
      </c>
      <c r="L553" s="2">
        <v>44868</v>
      </c>
      <c r="M553" s="3">
        <v>0.42152777777777778</v>
      </c>
      <c r="N553" s="19" t="s">
        <v>1250</v>
      </c>
    </row>
    <row r="554" spans="1:15" ht="72" hidden="1" x14ac:dyDescent="0.3">
      <c r="A554" s="47">
        <f t="shared" si="24"/>
        <v>2022</v>
      </c>
      <c r="B554" s="46">
        <f t="shared" si="25"/>
        <v>44</v>
      </c>
      <c r="C554" s="46">
        <f t="shared" si="26"/>
        <v>45</v>
      </c>
      <c r="E554" s="1" t="s">
        <v>1251</v>
      </c>
      <c r="F554" s="284" t="s">
        <v>1252</v>
      </c>
      <c r="G554" s="1" t="s">
        <v>900</v>
      </c>
      <c r="H554" s="1" t="s">
        <v>1249</v>
      </c>
      <c r="I554" s="2">
        <v>44862</v>
      </c>
      <c r="J554" s="3">
        <v>0.6958333333333333</v>
      </c>
      <c r="K554" s="1" t="s">
        <v>73</v>
      </c>
      <c r="L554" s="2">
        <v>44868</v>
      </c>
      <c r="M554" s="3">
        <v>0.50763888888888886</v>
      </c>
      <c r="N554" s="19" t="s">
        <v>1253</v>
      </c>
    </row>
    <row r="555" spans="1:15" ht="129.6" hidden="1" x14ac:dyDescent="0.3">
      <c r="A555" s="47">
        <f t="shared" si="24"/>
        <v>2022</v>
      </c>
      <c r="B555" s="46">
        <f t="shared" si="25"/>
        <v>45</v>
      </c>
      <c r="C555" s="46">
        <f t="shared" si="26"/>
        <v>45</v>
      </c>
      <c r="E555" s="1" t="s">
        <v>1254</v>
      </c>
      <c r="F555" s="19" t="s">
        <v>1255</v>
      </c>
      <c r="G555" s="1" t="s">
        <v>900</v>
      </c>
      <c r="H555" s="1" t="s">
        <v>1249</v>
      </c>
      <c r="I555" s="2">
        <v>44865</v>
      </c>
      <c r="J555" s="3">
        <v>0.61597222222222225</v>
      </c>
      <c r="K555" s="1" t="s">
        <v>73</v>
      </c>
      <c r="L555" s="2">
        <v>44869</v>
      </c>
      <c r="M555" s="3">
        <v>0.30555555555555552</v>
      </c>
      <c r="N555" s="19" t="s">
        <v>1256</v>
      </c>
    </row>
    <row r="556" spans="1:15" customFormat="1" ht="43.2" hidden="1" x14ac:dyDescent="0.3">
      <c r="A556" s="47">
        <f t="shared" si="24"/>
        <v>2022</v>
      </c>
      <c r="B556" s="46">
        <f t="shared" si="25"/>
        <v>45</v>
      </c>
      <c r="C556" s="46">
        <f t="shared" si="26"/>
        <v>45</v>
      </c>
      <c r="D556" s="1"/>
      <c r="E556" s="1" t="s">
        <v>1257</v>
      </c>
      <c r="F556" s="19" t="s">
        <v>1069</v>
      </c>
      <c r="G556" s="1" t="s">
        <v>10</v>
      </c>
      <c r="H556" s="1" t="s">
        <v>1249</v>
      </c>
      <c r="I556" s="2">
        <v>44868</v>
      </c>
      <c r="J556" s="3">
        <v>0.56041666666666667</v>
      </c>
      <c r="K556" s="1" t="s">
        <v>73</v>
      </c>
      <c r="L556" s="2">
        <v>44870</v>
      </c>
      <c r="M556" s="3">
        <v>0.28680555555555554</v>
      </c>
      <c r="N556" s="19" t="s">
        <v>1258</v>
      </c>
      <c r="O556" s="21"/>
    </row>
    <row r="557" spans="1:15" customFormat="1" ht="57.6" hidden="1" x14ac:dyDescent="0.3">
      <c r="A557" s="47">
        <f t="shared" si="24"/>
        <v>2022</v>
      </c>
      <c r="B557" s="46">
        <f t="shared" si="25"/>
        <v>45</v>
      </c>
      <c r="C557" s="46">
        <f t="shared" si="26"/>
        <v>45</v>
      </c>
      <c r="D557" s="1"/>
      <c r="E557" s="1" t="s">
        <v>1259</v>
      </c>
      <c r="F557" s="19" t="s">
        <v>1260</v>
      </c>
      <c r="G557" s="1" t="s">
        <v>10</v>
      </c>
      <c r="H557" s="1" t="s">
        <v>1249</v>
      </c>
      <c r="I557" s="2">
        <v>44868</v>
      </c>
      <c r="J557" s="3">
        <v>0.56111111111111112</v>
      </c>
      <c r="K557" s="1" t="s">
        <v>73</v>
      </c>
      <c r="L557" s="2">
        <v>44870</v>
      </c>
      <c r="M557" s="3">
        <v>0.33958333333333335</v>
      </c>
      <c r="N557" s="19" t="s">
        <v>1261</v>
      </c>
      <c r="O557" s="21"/>
    </row>
    <row r="558" spans="1:15" customFormat="1" ht="57.6" hidden="1" x14ac:dyDescent="0.3">
      <c r="A558" s="47">
        <f t="shared" si="24"/>
        <v>2022</v>
      </c>
      <c r="B558" s="46">
        <f t="shared" si="25"/>
        <v>45</v>
      </c>
      <c r="C558" s="46">
        <f t="shared" si="26"/>
        <v>45</v>
      </c>
      <c r="D558" s="1"/>
      <c r="E558" s="1" t="s">
        <v>1262</v>
      </c>
      <c r="F558" s="19" t="s">
        <v>927</v>
      </c>
      <c r="G558" s="1" t="s">
        <v>10</v>
      </c>
      <c r="H558" s="1" t="s">
        <v>1249</v>
      </c>
      <c r="I558" s="2">
        <v>44868</v>
      </c>
      <c r="J558" s="3">
        <v>0.56319444444444444</v>
      </c>
      <c r="K558" s="1" t="s">
        <v>73</v>
      </c>
      <c r="L558" s="2">
        <v>44870</v>
      </c>
      <c r="M558" s="3">
        <v>0.34236111111111112</v>
      </c>
      <c r="N558" s="19" t="s">
        <v>1265</v>
      </c>
      <c r="O558" s="21"/>
    </row>
    <row r="559" spans="1:15" customFormat="1" ht="43.2" hidden="1" x14ac:dyDescent="0.3">
      <c r="A559" s="47">
        <f t="shared" si="24"/>
        <v>2022</v>
      </c>
      <c r="B559" s="46">
        <f t="shared" si="25"/>
        <v>45</v>
      </c>
      <c r="C559" s="46">
        <f t="shared" si="26"/>
        <v>45</v>
      </c>
      <c r="D559" s="1"/>
      <c r="E559" s="1" t="s">
        <v>1264</v>
      </c>
      <c r="F559" s="19" t="s">
        <v>1263</v>
      </c>
      <c r="G559" s="1" t="s">
        <v>10</v>
      </c>
      <c r="H559" s="1" t="s">
        <v>1249</v>
      </c>
      <c r="I559" s="2">
        <v>44868</v>
      </c>
      <c r="J559" s="3">
        <v>0.56388888888888888</v>
      </c>
      <c r="K559" s="1" t="s">
        <v>73</v>
      </c>
      <c r="L559" s="2">
        <v>44870</v>
      </c>
      <c r="M559" s="3">
        <v>0.3444444444444445</v>
      </c>
      <c r="N559" s="19" t="s">
        <v>1266</v>
      </c>
      <c r="O559" s="21"/>
    </row>
    <row r="560" spans="1:15" customFormat="1" ht="43.2" hidden="1" x14ac:dyDescent="0.3">
      <c r="A560" s="47">
        <f t="shared" si="24"/>
        <v>2022</v>
      </c>
      <c r="B560" s="46">
        <f t="shared" si="25"/>
        <v>45</v>
      </c>
      <c r="C560" s="46">
        <f t="shared" si="26"/>
        <v>45</v>
      </c>
      <c r="D560" s="1"/>
      <c r="E560" s="1" t="s">
        <v>1267</v>
      </c>
      <c r="F560" s="19" t="s">
        <v>1069</v>
      </c>
      <c r="G560" s="1" t="s">
        <v>10</v>
      </c>
      <c r="H560" s="1" t="s">
        <v>1249</v>
      </c>
      <c r="I560" s="2">
        <v>44868</v>
      </c>
      <c r="J560" s="3">
        <v>0.56388888888888888</v>
      </c>
      <c r="K560" s="1" t="s">
        <v>73</v>
      </c>
      <c r="L560" s="2">
        <v>44870</v>
      </c>
      <c r="M560" s="3">
        <v>0.34583333333333338</v>
      </c>
      <c r="N560" s="19" t="s">
        <v>1268</v>
      </c>
      <c r="O560" s="21"/>
    </row>
    <row r="561" spans="1:15" customFormat="1" ht="43.2" hidden="1" x14ac:dyDescent="0.3">
      <c r="A561" s="47">
        <f t="shared" si="24"/>
        <v>2022</v>
      </c>
      <c r="B561" s="46">
        <f t="shared" si="25"/>
        <v>45</v>
      </c>
      <c r="C561" s="46">
        <f t="shared" si="26"/>
        <v>45</v>
      </c>
      <c r="D561" s="1"/>
      <c r="E561" s="1" t="s">
        <v>1269</v>
      </c>
      <c r="F561" s="19" t="s">
        <v>927</v>
      </c>
      <c r="G561" s="1" t="s">
        <v>10</v>
      </c>
      <c r="H561" s="1" t="s">
        <v>1249</v>
      </c>
      <c r="I561" s="2">
        <v>44869</v>
      </c>
      <c r="J561" s="3">
        <v>0.35416666666666669</v>
      </c>
      <c r="K561" s="1" t="s">
        <v>73</v>
      </c>
      <c r="L561" s="2">
        <v>44870</v>
      </c>
      <c r="M561" s="3">
        <v>0.34791666666666665</v>
      </c>
      <c r="N561" s="19" t="s">
        <v>1270</v>
      </c>
      <c r="O561" s="21"/>
    </row>
    <row r="562" spans="1:15" customFormat="1" ht="43.2" hidden="1" x14ac:dyDescent="0.3">
      <c r="A562" s="47">
        <f t="shared" si="24"/>
        <v>2022</v>
      </c>
      <c r="B562" s="46">
        <f t="shared" si="25"/>
        <v>45</v>
      </c>
      <c r="C562" s="46">
        <f t="shared" si="26"/>
        <v>45</v>
      </c>
      <c r="D562" s="1"/>
      <c r="E562" s="1" t="s">
        <v>1271</v>
      </c>
      <c r="F562" s="19" t="s">
        <v>877</v>
      </c>
      <c r="G562" s="1" t="s">
        <v>10</v>
      </c>
      <c r="H562" s="1" t="s">
        <v>1249</v>
      </c>
      <c r="I562" s="2">
        <v>44869</v>
      </c>
      <c r="J562" s="3">
        <v>0.35416666666666669</v>
      </c>
      <c r="K562" s="1" t="s">
        <v>73</v>
      </c>
      <c r="L562" s="2">
        <v>44870</v>
      </c>
      <c r="M562" s="3">
        <v>0.35138888888888892</v>
      </c>
      <c r="N562" s="19" t="s">
        <v>1272</v>
      </c>
      <c r="O562" s="21"/>
    </row>
    <row r="563" spans="1:15" customFormat="1" ht="100.8" hidden="1" x14ac:dyDescent="0.3">
      <c r="A563" s="47">
        <f t="shared" si="24"/>
        <v>2022</v>
      </c>
      <c r="B563" s="46">
        <f t="shared" si="25"/>
        <v>46</v>
      </c>
      <c r="C563" s="46">
        <f t="shared" si="26"/>
        <v>47</v>
      </c>
      <c r="D563" s="1"/>
      <c r="E563" s="1" t="s">
        <v>1273</v>
      </c>
      <c r="F563" s="19" t="s">
        <v>877</v>
      </c>
      <c r="G563" s="1" t="s">
        <v>10</v>
      </c>
      <c r="H563" s="1" t="s">
        <v>1249</v>
      </c>
      <c r="I563" s="2">
        <v>44876</v>
      </c>
      <c r="J563" s="3">
        <v>0.58611111111111114</v>
      </c>
      <c r="K563" s="1" t="s">
        <v>73</v>
      </c>
      <c r="L563" s="2">
        <v>44880</v>
      </c>
      <c r="M563" s="3">
        <v>0.30694444444444441</v>
      </c>
      <c r="N563" s="19" t="s">
        <v>1274</v>
      </c>
      <c r="O563" s="21"/>
    </row>
    <row r="564" spans="1:15" customFormat="1" ht="57.6" hidden="1" x14ac:dyDescent="0.3">
      <c r="A564" s="47">
        <f t="shared" si="24"/>
        <v>2022</v>
      </c>
      <c r="B564" s="46">
        <f t="shared" si="25"/>
        <v>46</v>
      </c>
      <c r="C564" s="46">
        <f t="shared" si="26"/>
        <v>47</v>
      </c>
      <c r="D564" s="1"/>
      <c r="E564" s="1" t="s">
        <v>1275</v>
      </c>
      <c r="F564" s="19" t="s">
        <v>1276</v>
      </c>
      <c r="G564" s="1" t="s">
        <v>10</v>
      </c>
      <c r="H564" s="1" t="s">
        <v>1249</v>
      </c>
      <c r="I564" s="2">
        <v>44875</v>
      </c>
      <c r="J564" s="3">
        <v>0.34513888888888888</v>
      </c>
      <c r="K564" s="1" t="s">
        <v>73</v>
      </c>
      <c r="L564" s="2">
        <v>44880</v>
      </c>
      <c r="M564" s="3">
        <v>0.3125</v>
      </c>
      <c r="N564" s="19" t="s">
        <v>1278</v>
      </c>
      <c r="O564" s="21"/>
    </row>
    <row r="565" spans="1:15" customFormat="1" ht="57.6" hidden="1" x14ac:dyDescent="0.3">
      <c r="A565" s="47">
        <f t="shared" si="24"/>
        <v>2022</v>
      </c>
      <c r="B565" s="46">
        <f t="shared" si="25"/>
        <v>46</v>
      </c>
      <c r="C565" s="46">
        <f t="shared" si="26"/>
        <v>47</v>
      </c>
      <c r="D565" s="1"/>
      <c r="E565" s="1" t="s">
        <v>1277</v>
      </c>
      <c r="F565" s="19" t="s">
        <v>934</v>
      </c>
      <c r="G565" s="1" t="s">
        <v>10</v>
      </c>
      <c r="H565" s="1" t="s">
        <v>1249</v>
      </c>
      <c r="I565" s="2">
        <v>44875</v>
      </c>
      <c r="J565" s="3">
        <v>0.34722222222222227</v>
      </c>
      <c r="K565" s="1" t="s">
        <v>73</v>
      </c>
      <c r="L565" s="2">
        <v>44880</v>
      </c>
      <c r="M565" s="3">
        <v>0.31527777777777777</v>
      </c>
      <c r="N565" s="19" t="s">
        <v>1279</v>
      </c>
      <c r="O565" s="21"/>
    </row>
    <row r="566" spans="1:15" customFormat="1" ht="57.6" hidden="1" x14ac:dyDescent="0.3">
      <c r="A566" s="47">
        <f t="shared" si="24"/>
        <v>2022</v>
      </c>
      <c r="B566" s="46">
        <f t="shared" si="25"/>
        <v>46</v>
      </c>
      <c r="C566" s="46">
        <f t="shared" si="26"/>
        <v>47</v>
      </c>
      <c r="D566" s="1"/>
      <c r="E566" s="1" t="s">
        <v>1280</v>
      </c>
      <c r="F566" s="19" t="s">
        <v>934</v>
      </c>
      <c r="G566" s="1" t="s">
        <v>10</v>
      </c>
      <c r="H566" s="1" t="s">
        <v>1249</v>
      </c>
      <c r="I566" s="2">
        <v>44875</v>
      </c>
      <c r="J566" s="3">
        <v>0.34722222222222227</v>
      </c>
      <c r="K566" s="1" t="s">
        <v>73</v>
      </c>
      <c r="L566" s="2">
        <v>44880</v>
      </c>
      <c r="M566" s="3">
        <v>0.31875000000000003</v>
      </c>
      <c r="N566" s="19" t="s">
        <v>1281</v>
      </c>
      <c r="O566" s="21"/>
    </row>
    <row r="567" spans="1:15" customFormat="1" ht="57.6" hidden="1" x14ac:dyDescent="0.3">
      <c r="A567" s="47">
        <f t="shared" si="24"/>
        <v>2022</v>
      </c>
      <c r="B567" s="46">
        <f t="shared" si="25"/>
        <v>46</v>
      </c>
      <c r="C567" s="46">
        <f t="shared" si="26"/>
        <v>47</v>
      </c>
      <c r="D567" s="1"/>
      <c r="E567" s="1" t="s">
        <v>1282</v>
      </c>
      <c r="F567" s="19" t="s">
        <v>934</v>
      </c>
      <c r="G567" s="1" t="s">
        <v>10</v>
      </c>
      <c r="H567" s="1" t="s">
        <v>1249</v>
      </c>
      <c r="I567" s="2">
        <v>44875</v>
      </c>
      <c r="J567" s="3">
        <v>0.34722222222222227</v>
      </c>
      <c r="K567" s="1" t="s">
        <v>73</v>
      </c>
      <c r="L567" s="2">
        <v>44880</v>
      </c>
      <c r="M567" s="3">
        <v>0.3215277777777778</v>
      </c>
      <c r="N567" s="19" t="s">
        <v>1283</v>
      </c>
      <c r="O567" s="21"/>
    </row>
    <row r="568" spans="1:15" customFormat="1" ht="216" hidden="1" x14ac:dyDescent="0.3">
      <c r="A568" s="47" t="e">
        <f t="shared" si="24"/>
        <v>#VALUE!</v>
      </c>
      <c r="B568" s="46">
        <f t="shared" si="25"/>
        <v>46</v>
      </c>
      <c r="C568" s="46" t="e">
        <f t="shared" si="26"/>
        <v>#VALUE!</v>
      </c>
      <c r="D568" s="1"/>
      <c r="E568" s="1" t="s">
        <v>1284</v>
      </c>
      <c r="F568" s="19" t="s">
        <v>934</v>
      </c>
      <c r="G568" s="1" t="s">
        <v>10</v>
      </c>
      <c r="H568" s="1" t="s">
        <v>1249</v>
      </c>
      <c r="I568" s="2">
        <v>44876</v>
      </c>
      <c r="J568" s="3">
        <v>0.58194444444444449</v>
      </c>
      <c r="K568" s="1" t="s">
        <v>73</v>
      </c>
      <c r="L568" s="34" t="s">
        <v>1285</v>
      </c>
      <c r="M568" s="28" t="s">
        <v>1286</v>
      </c>
      <c r="N568" s="19" t="s">
        <v>1287</v>
      </c>
      <c r="O568" s="21"/>
    </row>
    <row r="569" spans="1:15" customFormat="1" ht="86.4" hidden="1" x14ac:dyDescent="0.3">
      <c r="A569" s="47">
        <f t="shared" si="24"/>
        <v>2022</v>
      </c>
      <c r="B569" s="46">
        <f t="shared" si="25"/>
        <v>46</v>
      </c>
      <c r="C569" s="46">
        <f t="shared" si="26"/>
        <v>48</v>
      </c>
      <c r="D569" s="1"/>
      <c r="E569" s="1" t="s">
        <v>1288</v>
      </c>
      <c r="F569" s="19" t="s">
        <v>934</v>
      </c>
      <c r="G569" s="1" t="s">
        <v>10</v>
      </c>
      <c r="H569" s="1" t="s">
        <v>1249</v>
      </c>
      <c r="I569" s="2">
        <v>44876</v>
      </c>
      <c r="J569" s="3">
        <v>0.58472222222222225</v>
      </c>
      <c r="K569" s="1" t="s">
        <v>73</v>
      </c>
      <c r="L569" s="34">
        <v>44887</v>
      </c>
      <c r="M569" s="3">
        <v>0.32916666666666666</v>
      </c>
      <c r="N569" s="19" t="s">
        <v>1289</v>
      </c>
      <c r="O569" s="21"/>
    </row>
    <row r="570" spans="1:15" customFormat="1" ht="100.8" hidden="1" x14ac:dyDescent="0.3">
      <c r="A570" s="47">
        <f t="shared" si="24"/>
        <v>2022</v>
      </c>
      <c r="B570" s="46">
        <f t="shared" si="25"/>
        <v>46</v>
      </c>
      <c r="C570" s="46">
        <f t="shared" si="26"/>
        <v>48</v>
      </c>
      <c r="D570" s="1"/>
      <c r="E570" s="1" t="s">
        <v>1290</v>
      </c>
      <c r="F570" s="19" t="s">
        <v>934</v>
      </c>
      <c r="G570" s="1" t="s">
        <v>10</v>
      </c>
      <c r="H570" s="1" t="s">
        <v>1249</v>
      </c>
      <c r="I570" s="2">
        <v>44876</v>
      </c>
      <c r="J570" s="3">
        <v>0.58819444444444446</v>
      </c>
      <c r="K570" s="1" t="s">
        <v>73</v>
      </c>
      <c r="L570" s="34">
        <v>44887</v>
      </c>
      <c r="M570" s="28" t="s">
        <v>1293</v>
      </c>
      <c r="N570" s="19" t="s">
        <v>1292</v>
      </c>
      <c r="O570" s="21"/>
    </row>
    <row r="571" spans="1:15" customFormat="1" ht="43.2" hidden="1" x14ac:dyDescent="0.3">
      <c r="A571" s="47">
        <f t="shared" si="24"/>
        <v>2022</v>
      </c>
      <c r="B571" s="46">
        <f t="shared" si="25"/>
        <v>46</v>
      </c>
      <c r="C571" s="46">
        <f t="shared" si="26"/>
        <v>48</v>
      </c>
      <c r="D571" s="1"/>
      <c r="E571" s="1" t="s">
        <v>1291</v>
      </c>
      <c r="F571" s="19" t="s">
        <v>1294</v>
      </c>
      <c r="G571" s="1" t="s">
        <v>10</v>
      </c>
      <c r="H571" s="1" t="s">
        <v>1249</v>
      </c>
      <c r="I571" s="2">
        <v>44876</v>
      </c>
      <c r="J571" s="3">
        <v>0.58819444444444446</v>
      </c>
      <c r="K571" s="1" t="s">
        <v>73</v>
      </c>
      <c r="L571" s="34">
        <v>44887</v>
      </c>
      <c r="M571" s="3">
        <v>0.50694444444444442</v>
      </c>
      <c r="N571" s="19" t="s">
        <v>1295</v>
      </c>
      <c r="O571" s="21"/>
    </row>
    <row r="572" spans="1:15" customFormat="1" ht="28.8" hidden="1" x14ac:dyDescent="0.3">
      <c r="A572" s="47">
        <f t="shared" si="24"/>
        <v>2022</v>
      </c>
      <c r="B572" s="46">
        <f t="shared" si="25"/>
        <v>47</v>
      </c>
      <c r="C572" s="46">
        <f t="shared" si="26"/>
        <v>48</v>
      </c>
      <c r="D572" s="1"/>
      <c r="E572" s="1" t="s">
        <v>1296</v>
      </c>
      <c r="F572" s="19" t="s">
        <v>1069</v>
      </c>
      <c r="G572" s="1" t="s">
        <v>10</v>
      </c>
      <c r="H572" s="1" t="s">
        <v>1249</v>
      </c>
      <c r="I572" s="2">
        <v>44880</v>
      </c>
      <c r="J572" s="3">
        <v>0.4055555555555555</v>
      </c>
      <c r="K572" s="1" t="s">
        <v>73</v>
      </c>
      <c r="L572" s="34">
        <v>44887</v>
      </c>
      <c r="M572" s="3">
        <v>0.61458333333333337</v>
      </c>
      <c r="N572" s="19" t="s">
        <v>1297</v>
      </c>
      <c r="O572" s="21"/>
    </row>
    <row r="573" spans="1:15" customFormat="1" ht="43.2" hidden="1" x14ac:dyDescent="0.3">
      <c r="A573" s="47">
        <f t="shared" si="24"/>
        <v>2022</v>
      </c>
      <c r="B573" s="46">
        <f t="shared" si="25"/>
        <v>47</v>
      </c>
      <c r="C573" s="46">
        <f t="shared" si="26"/>
        <v>48</v>
      </c>
      <c r="D573" s="1"/>
      <c r="E573" s="1" t="s">
        <v>1298</v>
      </c>
      <c r="F573" s="19" t="s">
        <v>1299</v>
      </c>
      <c r="G573" s="1" t="s">
        <v>9</v>
      </c>
      <c r="H573" s="1" t="s">
        <v>1249</v>
      </c>
      <c r="I573" s="2">
        <v>44880</v>
      </c>
      <c r="J573" s="3">
        <v>0.50277777777777777</v>
      </c>
      <c r="K573" s="1" t="s">
        <v>73</v>
      </c>
      <c r="L573" s="34">
        <v>44888</v>
      </c>
      <c r="M573" s="3">
        <v>0.63888888888888895</v>
      </c>
      <c r="N573" s="19" t="s">
        <v>1300</v>
      </c>
      <c r="O573" s="21"/>
    </row>
    <row r="574" spans="1:15" customFormat="1" ht="57.6" hidden="1" x14ac:dyDescent="0.3">
      <c r="A574" s="47">
        <f t="shared" si="24"/>
        <v>2022</v>
      </c>
      <c r="B574" s="46">
        <f t="shared" si="25"/>
        <v>47</v>
      </c>
      <c r="C574" s="46">
        <f t="shared" si="26"/>
        <v>48</v>
      </c>
      <c r="D574" s="1"/>
      <c r="E574" s="1" t="s">
        <v>1301</v>
      </c>
      <c r="F574" s="19" t="s">
        <v>1299</v>
      </c>
      <c r="G574" s="1" t="s">
        <v>9</v>
      </c>
      <c r="H574" s="1" t="s">
        <v>1249</v>
      </c>
      <c r="I574" s="2">
        <v>44881</v>
      </c>
      <c r="J574" s="3">
        <v>0.34236111111111112</v>
      </c>
      <c r="K574" s="1" t="s">
        <v>73</v>
      </c>
      <c r="L574" s="34">
        <v>44888</v>
      </c>
      <c r="M574" s="3">
        <v>0.64722222222222225</v>
      </c>
      <c r="N574" s="19" t="s">
        <v>1302</v>
      </c>
      <c r="O574" s="21"/>
    </row>
    <row r="575" spans="1:15" customFormat="1" ht="43.2" hidden="1" x14ac:dyDescent="0.3">
      <c r="A575" s="47">
        <f t="shared" si="24"/>
        <v>2022</v>
      </c>
      <c r="B575" s="46">
        <f t="shared" si="25"/>
        <v>47</v>
      </c>
      <c r="C575" s="46">
        <f t="shared" si="26"/>
        <v>48</v>
      </c>
      <c r="D575" s="1"/>
      <c r="E575" s="1" t="s">
        <v>1303</v>
      </c>
      <c r="F575" s="19" t="s">
        <v>1304</v>
      </c>
      <c r="G575" s="1" t="s">
        <v>9</v>
      </c>
      <c r="H575" s="1" t="s">
        <v>1249</v>
      </c>
      <c r="I575" s="2">
        <v>44881</v>
      </c>
      <c r="J575" s="3">
        <v>0.34513888888888888</v>
      </c>
      <c r="K575" s="1" t="s">
        <v>73</v>
      </c>
      <c r="L575" s="34">
        <v>44888</v>
      </c>
      <c r="M575" s="3">
        <v>0.66111111111111109</v>
      </c>
      <c r="N575" s="19" t="s">
        <v>1306</v>
      </c>
      <c r="O575" s="21"/>
    </row>
    <row r="576" spans="1:15" customFormat="1" ht="28.8" hidden="1" x14ac:dyDescent="0.3">
      <c r="A576" s="47">
        <f t="shared" si="24"/>
        <v>2022</v>
      </c>
      <c r="B576" s="46">
        <f t="shared" si="25"/>
        <v>47</v>
      </c>
      <c r="C576" s="46">
        <f t="shared" si="26"/>
        <v>48</v>
      </c>
      <c r="D576" s="1"/>
      <c r="E576" s="1" t="s">
        <v>1305</v>
      </c>
      <c r="F576" s="19" t="s">
        <v>1299</v>
      </c>
      <c r="G576" s="1" t="s">
        <v>9</v>
      </c>
      <c r="H576" s="1" t="s">
        <v>1249</v>
      </c>
      <c r="I576" s="2">
        <v>44882</v>
      </c>
      <c r="J576" s="3">
        <v>0.63541666666666663</v>
      </c>
      <c r="K576" s="1" t="s">
        <v>73</v>
      </c>
      <c r="L576" s="34">
        <v>44888</v>
      </c>
      <c r="M576" s="3">
        <v>0.66597222222222219</v>
      </c>
      <c r="N576" s="19" t="s">
        <v>1307</v>
      </c>
      <c r="O576" s="21"/>
    </row>
    <row r="577" spans="1:15" ht="28.8" hidden="1" x14ac:dyDescent="0.3">
      <c r="A577" s="47" t="e">
        <f t="shared" si="24"/>
        <v>#VALUE!</v>
      </c>
      <c r="B577" s="46">
        <f t="shared" si="25"/>
        <v>49</v>
      </c>
      <c r="C577" s="46" t="e">
        <f t="shared" si="26"/>
        <v>#VALUE!</v>
      </c>
      <c r="E577" s="1" t="s">
        <v>1308</v>
      </c>
      <c r="F577" s="19" t="s">
        <v>1309</v>
      </c>
      <c r="G577" s="1" t="s">
        <v>900</v>
      </c>
      <c r="H577" s="1" t="s">
        <v>1249</v>
      </c>
      <c r="I577" s="2">
        <v>44894</v>
      </c>
      <c r="J577" s="3">
        <v>0.69791666666666663</v>
      </c>
      <c r="K577" s="1" t="s">
        <v>73</v>
      </c>
      <c r="L577" s="34" t="s">
        <v>1310</v>
      </c>
      <c r="M577" s="3">
        <v>0.24027777777777778</v>
      </c>
      <c r="N577" s="19" t="s">
        <v>1311</v>
      </c>
    </row>
    <row r="578" spans="1:15" customFormat="1" ht="57.6" hidden="1" x14ac:dyDescent="0.3">
      <c r="A578" s="47" t="e">
        <f t="shared" si="24"/>
        <v>#VALUE!</v>
      </c>
      <c r="B578" s="46">
        <f t="shared" si="25"/>
        <v>49</v>
      </c>
      <c r="C578" s="46" t="e">
        <f t="shared" si="26"/>
        <v>#VALUE!</v>
      </c>
      <c r="D578" s="1"/>
      <c r="E578" s="1" t="s">
        <v>1312</v>
      </c>
      <c r="F578" s="19" t="s">
        <v>1313</v>
      </c>
      <c r="G578" s="1" t="s">
        <v>10</v>
      </c>
      <c r="H578" s="1" t="s">
        <v>1249</v>
      </c>
      <c r="I578" s="2">
        <v>44895</v>
      </c>
      <c r="J578" s="3">
        <v>0.34652777777777777</v>
      </c>
      <c r="K578" s="1" t="s">
        <v>73</v>
      </c>
      <c r="L578" s="34" t="s">
        <v>1310</v>
      </c>
      <c r="M578" s="3">
        <v>0.34097222222222223</v>
      </c>
      <c r="N578" s="19" t="s">
        <v>1314</v>
      </c>
      <c r="O578" s="21"/>
    </row>
    <row r="579" spans="1:15" customFormat="1" ht="28.8" hidden="1" x14ac:dyDescent="0.3">
      <c r="A579" s="47" t="e">
        <f t="shared" ref="A579:A642" si="27">YEAR(L579)</f>
        <v>#VALUE!</v>
      </c>
      <c r="B579" s="46">
        <f t="shared" ref="B579:B642" si="28">WEEKNUM(I579)</f>
        <v>50</v>
      </c>
      <c r="C579" s="46" t="e">
        <f t="shared" ref="C579:C642" si="29">WEEKNUM(L579)</f>
        <v>#VALUE!</v>
      </c>
      <c r="D579" s="1"/>
      <c r="E579" s="1" t="s">
        <v>1315</v>
      </c>
      <c r="F579" s="19" t="s">
        <v>1069</v>
      </c>
      <c r="G579" s="1" t="s">
        <v>10</v>
      </c>
      <c r="H579" s="1" t="s">
        <v>1249</v>
      </c>
      <c r="I579" s="2">
        <v>44900</v>
      </c>
      <c r="J579" s="3">
        <v>0.39513888888888887</v>
      </c>
      <c r="K579" s="1" t="s">
        <v>73</v>
      </c>
      <c r="L579" s="34" t="s">
        <v>1316</v>
      </c>
      <c r="M579" s="3">
        <v>0.38125000000000003</v>
      </c>
      <c r="N579" s="19" t="s">
        <v>1317</v>
      </c>
      <c r="O579" s="21"/>
    </row>
    <row r="580" spans="1:15" ht="57.6" hidden="1" x14ac:dyDescent="0.3">
      <c r="A580" s="47" t="e">
        <f t="shared" si="27"/>
        <v>#VALUE!</v>
      </c>
      <c r="B580" s="46">
        <f t="shared" si="28"/>
        <v>50</v>
      </c>
      <c r="C580" s="46" t="e">
        <f t="shared" si="29"/>
        <v>#VALUE!</v>
      </c>
      <c r="E580" s="1" t="s">
        <v>1318</v>
      </c>
      <c r="F580" s="19" t="s">
        <v>1255</v>
      </c>
      <c r="G580" s="1" t="s">
        <v>900</v>
      </c>
      <c r="H580" s="1" t="s">
        <v>1249</v>
      </c>
      <c r="I580" s="2">
        <v>44900</v>
      </c>
      <c r="J580" s="3">
        <v>0.61041666666666672</v>
      </c>
      <c r="K580" s="1" t="s">
        <v>73</v>
      </c>
      <c r="L580" s="34" t="s">
        <v>1316</v>
      </c>
      <c r="M580" s="3">
        <v>0.38125000000000003</v>
      </c>
      <c r="N580" s="19" t="s">
        <v>1319</v>
      </c>
    </row>
    <row r="581" spans="1:15" customFormat="1" ht="43.2" hidden="1" x14ac:dyDescent="0.3">
      <c r="A581" s="47" t="e">
        <f t="shared" si="27"/>
        <v>#VALUE!</v>
      </c>
      <c r="B581" s="46">
        <f t="shared" si="28"/>
        <v>50</v>
      </c>
      <c r="C581" s="46" t="e">
        <f t="shared" si="29"/>
        <v>#VALUE!</v>
      </c>
      <c r="D581" s="1"/>
      <c r="E581" s="1" t="s">
        <v>1320</v>
      </c>
      <c r="F581" s="19" t="s">
        <v>1313</v>
      </c>
      <c r="G581" s="1" t="s">
        <v>10</v>
      </c>
      <c r="H581" s="1" t="s">
        <v>1249</v>
      </c>
      <c r="I581" s="2">
        <v>44901</v>
      </c>
      <c r="J581" s="3">
        <v>0.32777777777777778</v>
      </c>
      <c r="K581" s="1" t="s">
        <v>73</v>
      </c>
      <c r="L581" s="34" t="s">
        <v>1316</v>
      </c>
      <c r="M581" s="3">
        <v>0.38125000000000003</v>
      </c>
      <c r="N581" s="19" t="s">
        <v>1321</v>
      </c>
      <c r="O581" s="21"/>
    </row>
    <row r="582" spans="1:15" customFormat="1" ht="57.6" hidden="1" x14ac:dyDescent="0.3">
      <c r="A582" s="47" t="e">
        <f t="shared" si="27"/>
        <v>#VALUE!</v>
      </c>
      <c r="B582" s="46">
        <f t="shared" si="28"/>
        <v>50</v>
      </c>
      <c r="C582" s="46" t="e">
        <f t="shared" si="29"/>
        <v>#VALUE!</v>
      </c>
      <c r="D582" s="1"/>
      <c r="E582" s="1" t="s">
        <v>1322</v>
      </c>
      <c r="F582" s="19" t="s">
        <v>1299</v>
      </c>
      <c r="G582" s="1" t="s">
        <v>9</v>
      </c>
      <c r="H582" s="1" t="s">
        <v>1249</v>
      </c>
      <c r="I582" s="2">
        <v>44902</v>
      </c>
      <c r="J582" s="3">
        <v>0.66597222222222219</v>
      </c>
      <c r="K582" s="1" t="s">
        <v>73</v>
      </c>
      <c r="L582" s="34" t="s">
        <v>1324</v>
      </c>
      <c r="M582" s="3">
        <v>0.50694444444444442</v>
      </c>
      <c r="N582" s="19" t="s">
        <v>1323</v>
      </c>
      <c r="O582" s="21"/>
    </row>
    <row r="583" spans="1:15" customFormat="1" ht="57.6" hidden="1" x14ac:dyDescent="0.3">
      <c r="A583" s="47" t="e">
        <f t="shared" si="27"/>
        <v>#VALUE!</v>
      </c>
      <c r="B583" s="46">
        <f t="shared" si="28"/>
        <v>50</v>
      </c>
      <c r="C583" s="46" t="e">
        <f t="shared" si="29"/>
        <v>#VALUE!</v>
      </c>
      <c r="D583" s="1"/>
      <c r="E583" s="1" t="s">
        <v>1325</v>
      </c>
      <c r="F583" s="19" t="s">
        <v>927</v>
      </c>
      <c r="G583" s="1" t="s">
        <v>10</v>
      </c>
      <c r="H583" s="1" t="s">
        <v>1249</v>
      </c>
      <c r="I583" s="2">
        <v>44903</v>
      </c>
      <c r="J583" s="3">
        <v>0.37152777777777773</v>
      </c>
      <c r="K583" s="1" t="s">
        <v>73</v>
      </c>
      <c r="L583" s="34" t="s">
        <v>1324</v>
      </c>
      <c r="M583" s="3">
        <v>0.56388888888888888</v>
      </c>
      <c r="N583" s="19" t="s">
        <v>1326</v>
      </c>
      <c r="O583" s="21"/>
    </row>
    <row r="584" spans="1:15" customFormat="1" ht="57.6" hidden="1" x14ac:dyDescent="0.3">
      <c r="A584" s="47" t="e">
        <f t="shared" si="27"/>
        <v>#VALUE!</v>
      </c>
      <c r="B584" s="46">
        <f t="shared" si="28"/>
        <v>50</v>
      </c>
      <c r="C584" s="46" t="e">
        <f t="shared" si="29"/>
        <v>#VALUE!</v>
      </c>
      <c r="D584" s="1"/>
      <c r="E584" s="1" t="s">
        <v>1327</v>
      </c>
      <c r="F584" s="19" t="s">
        <v>927</v>
      </c>
      <c r="G584" s="1" t="s">
        <v>10</v>
      </c>
      <c r="H584" s="1" t="s">
        <v>1249</v>
      </c>
      <c r="I584" s="2">
        <v>44903</v>
      </c>
      <c r="J584" s="3">
        <v>0.37361111111111112</v>
      </c>
      <c r="K584" s="1" t="s">
        <v>73</v>
      </c>
      <c r="L584" s="34" t="s">
        <v>1324</v>
      </c>
      <c r="M584" s="3">
        <v>0.56666666666666665</v>
      </c>
      <c r="N584" s="19" t="s">
        <v>1326</v>
      </c>
      <c r="O584" s="21"/>
    </row>
    <row r="585" spans="1:15" customFormat="1" ht="43.2" hidden="1" x14ac:dyDescent="0.3">
      <c r="A585" s="47" t="e">
        <f t="shared" si="27"/>
        <v>#VALUE!</v>
      </c>
      <c r="B585" s="46">
        <f t="shared" si="28"/>
        <v>50</v>
      </c>
      <c r="C585" s="46" t="e">
        <f t="shared" si="29"/>
        <v>#VALUE!</v>
      </c>
      <c r="D585" s="1"/>
      <c r="E585" s="1" t="s">
        <v>1328</v>
      </c>
      <c r="F585" s="19" t="s">
        <v>877</v>
      </c>
      <c r="G585" s="1" t="s">
        <v>10</v>
      </c>
      <c r="H585" s="1" t="s">
        <v>1249</v>
      </c>
      <c r="I585" s="2">
        <v>44903</v>
      </c>
      <c r="J585" s="3">
        <v>0.375</v>
      </c>
      <c r="K585" s="1" t="s">
        <v>73</v>
      </c>
      <c r="L585" s="34" t="s">
        <v>1324</v>
      </c>
      <c r="M585" s="3">
        <v>0.56874999999999998</v>
      </c>
      <c r="N585" s="19" t="s">
        <v>1329</v>
      </c>
      <c r="O585" s="21"/>
    </row>
    <row r="586" spans="1:15" customFormat="1" ht="86.4" hidden="1" x14ac:dyDescent="0.3">
      <c r="A586" s="47">
        <f t="shared" si="27"/>
        <v>2022</v>
      </c>
      <c r="B586" s="46">
        <f t="shared" si="28"/>
        <v>50</v>
      </c>
      <c r="C586" s="46">
        <f t="shared" si="29"/>
        <v>51</v>
      </c>
      <c r="D586" s="1"/>
      <c r="E586" s="1" t="s">
        <v>1332</v>
      </c>
      <c r="F586" s="19" t="s">
        <v>1299</v>
      </c>
      <c r="G586" s="1" t="s">
        <v>9</v>
      </c>
      <c r="H586" s="1" t="s">
        <v>1249</v>
      </c>
      <c r="I586" s="2">
        <v>44904</v>
      </c>
      <c r="J586" s="3">
        <v>0.47569444444444442</v>
      </c>
      <c r="K586" s="1" t="s">
        <v>88</v>
      </c>
      <c r="L586" s="2">
        <v>44907</v>
      </c>
      <c r="M586" s="3">
        <v>0.66666666666666663</v>
      </c>
      <c r="N586" s="19" t="s">
        <v>1333</v>
      </c>
      <c r="O586" s="21"/>
    </row>
    <row r="587" spans="1:15" customFormat="1" ht="115.2" hidden="1" x14ac:dyDescent="0.3">
      <c r="A587" s="47">
        <f t="shared" si="27"/>
        <v>2022</v>
      </c>
      <c r="B587" s="46">
        <f t="shared" si="28"/>
        <v>50</v>
      </c>
      <c r="C587" s="46">
        <f t="shared" si="29"/>
        <v>51</v>
      </c>
      <c r="D587" s="1"/>
      <c r="E587" s="1" t="s">
        <v>1334</v>
      </c>
      <c r="F587" s="19" t="s">
        <v>136</v>
      </c>
      <c r="G587" s="1" t="s">
        <v>10</v>
      </c>
      <c r="H587" s="1" t="s">
        <v>1249</v>
      </c>
      <c r="I587" s="2">
        <v>44903</v>
      </c>
      <c r="J587" s="3">
        <v>0.57430555555555551</v>
      </c>
      <c r="K587" s="1" t="s">
        <v>88</v>
      </c>
      <c r="L587" s="2">
        <v>44912</v>
      </c>
      <c r="M587" s="3">
        <v>0.77361111111111114</v>
      </c>
      <c r="N587" s="19" t="s">
        <v>1335</v>
      </c>
      <c r="O587" s="21"/>
    </row>
    <row r="588" spans="1:15" customFormat="1" ht="100.8" hidden="1" x14ac:dyDescent="0.3">
      <c r="A588" s="47">
        <f t="shared" si="27"/>
        <v>2022</v>
      </c>
      <c r="B588" s="46">
        <f t="shared" si="28"/>
        <v>51</v>
      </c>
      <c r="C588" s="46">
        <f t="shared" si="29"/>
        <v>51</v>
      </c>
      <c r="D588" s="1"/>
      <c r="E588" s="1" t="s">
        <v>1337</v>
      </c>
      <c r="F588" s="19" t="s">
        <v>1338</v>
      </c>
      <c r="G588" s="1" t="s">
        <v>10</v>
      </c>
      <c r="H588" s="1" t="s">
        <v>1249</v>
      </c>
      <c r="I588" s="2">
        <v>44907</v>
      </c>
      <c r="J588" s="3">
        <v>0.29722222222222222</v>
      </c>
      <c r="K588" s="1" t="s">
        <v>88</v>
      </c>
      <c r="L588" s="2">
        <v>44912</v>
      </c>
      <c r="M588" s="3">
        <v>0.82291666666666663</v>
      </c>
      <c r="N588" s="19" t="s">
        <v>1336</v>
      </c>
      <c r="O588" s="21"/>
    </row>
    <row r="589" spans="1:15" customFormat="1" ht="43.2" hidden="1" x14ac:dyDescent="0.3">
      <c r="A589" s="47">
        <f t="shared" si="27"/>
        <v>2022</v>
      </c>
      <c r="B589" s="46">
        <f t="shared" si="28"/>
        <v>51</v>
      </c>
      <c r="C589" s="46">
        <f t="shared" si="29"/>
        <v>51</v>
      </c>
      <c r="D589" s="1"/>
      <c r="E589" s="1" t="s">
        <v>1341</v>
      </c>
      <c r="F589" s="19" t="s">
        <v>1340</v>
      </c>
      <c r="G589" s="1" t="s">
        <v>10</v>
      </c>
      <c r="H589" s="1" t="s">
        <v>1249</v>
      </c>
      <c r="I589" s="2">
        <v>44907</v>
      </c>
      <c r="J589" s="3">
        <v>0.30138888888888887</v>
      </c>
      <c r="K589" s="1" t="s">
        <v>88</v>
      </c>
      <c r="L589" s="2">
        <v>44912</v>
      </c>
      <c r="M589" s="3">
        <v>0.84027777777777779</v>
      </c>
      <c r="N589" s="19" t="s">
        <v>1339</v>
      </c>
      <c r="O589" s="21"/>
    </row>
    <row r="590" spans="1:15" customFormat="1" ht="72" hidden="1" x14ac:dyDescent="0.3">
      <c r="A590" s="47">
        <f t="shared" si="27"/>
        <v>2022</v>
      </c>
      <c r="B590" s="46">
        <f t="shared" si="28"/>
        <v>51</v>
      </c>
      <c r="C590" s="46">
        <f t="shared" si="29"/>
        <v>51</v>
      </c>
      <c r="D590" s="1"/>
      <c r="E590" s="1" t="s">
        <v>1343</v>
      </c>
      <c r="F590" s="19" t="s">
        <v>1344</v>
      </c>
      <c r="G590" s="1" t="s">
        <v>10</v>
      </c>
      <c r="H590" s="1" t="s">
        <v>1249</v>
      </c>
      <c r="I590" s="2">
        <v>44911</v>
      </c>
      <c r="J590" s="3">
        <v>0.49861111111111112</v>
      </c>
      <c r="K590" s="1" t="s">
        <v>88</v>
      </c>
      <c r="L590" s="2">
        <v>44912</v>
      </c>
      <c r="M590" s="3">
        <v>0.88194444444444453</v>
      </c>
      <c r="N590" s="90" t="s">
        <v>1342</v>
      </c>
      <c r="O590" s="21"/>
    </row>
    <row r="591" spans="1:15" customFormat="1" ht="43.2" hidden="1" x14ac:dyDescent="0.3">
      <c r="A591" s="47">
        <f t="shared" si="27"/>
        <v>2022</v>
      </c>
      <c r="B591" s="46">
        <f t="shared" si="28"/>
        <v>51</v>
      </c>
      <c r="C591" s="46">
        <f t="shared" si="29"/>
        <v>51</v>
      </c>
      <c r="D591" s="1"/>
      <c r="E591" s="1" t="s">
        <v>1346</v>
      </c>
      <c r="F591" s="19" t="s">
        <v>1345</v>
      </c>
      <c r="G591" s="1" t="s">
        <v>10</v>
      </c>
      <c r="H591" s="1" t="s">
        <v>1249</v>
      </c>
      <c r="I591" s="2">
        <v>44911</v>
      </c>
      <c r="J591" s="3">
        <v>0.50902777777777775</v>
      </c>
      <c r="K591" s="1" t="s">
        <v>88</v>
      </c>
      <c r="L591" s="2">
        <v>44912</v>
      </c>
      <c r="M591" s="3">
        <v>0.88194444444444453</v>
      </c>
      <c r="N591" s="19" t="s">
        <v>1347</v>
      </c>
      <c r="O591" s="21"/>
    </row>
    <row r="592" spans="1:15" customFormat="1" ht="57.6" hidden="1" x14ac:dyDescent="0.3">
      <c r="A592" s="47">
        <f t="shared" si="27"/>
        <v>2022</v>
      </c>
      <c r="B592" s="46">
        <f t="shared" si="28"/>
        <v>51</v>
      </c>
      <c r="C592" s="46">
        <f t="shared" si="29"/>
        <v>51</v>
      </c>
      <c r="D592" s="1"/>
      <c r="E592" s="1" t="s">
        <v>1348</v>
      </c>
      <c r="F592" s="19" t="s">
        <v>1349</v>
      </c>
      <c r="G592" s="1" t="s">
        <v>10</v>
      </c>
      <c r="H592" s="1" t="s">
        <v>1249</v>
      </c>
      <c r="I592" s="2">
        <v>44911</v>
      </c>
      <c r="J592" s="3">
        <v>0.51527777777777783</v>
      </c>
      <c r="K592" s="1" t="s">
        <v>88</v>
      </c>
      <c r="L592" s="2">
        <v>44912</v>
      </c>
      <c r="M592" s="3">
        <v>0.88541666666666663</v>
      </c>
      <c r="N592" s="19" t="s">
        <v>1350</v>
      </c>
      <c r="O592" s="21"/>
    </row>
    <row r="593" spans="1:15" customFormat="1" ht="43.2" hidden="1" x14ac:dyDescent="0.3">
      <c r="A593" s="47">
        <f t="shared" si="27"/>
        <v>2022</v>
      </c>
      <c r="B593" s="46">
        <f t="shared" si="28"/>
        <v>51</v>
      </c>
      <c r="C593" s="46">
        <f t="shared" si="29"/>
        <v>51</v>
      </c>
      <c r="D593" s="1"/>
      <c r="E593" s="1" t="s">
        <v>1351</v>
      </c>
      <c r="F593" s="19" t="s">
        <v>1352</v>
      </c>
      <c r="G593" s="1" t="s">
        <v>10</v>
      </c>
      <c r="H593" s="1" t="s">
        <v>1249</v>
      </c>
      <c r="I593" s="2">
        <v>44911</v>
      </c>
      <c r="J593" s="3">
        <v>0.51666666666666672</v>
      </c>
      <c r="K593" s="1" t="s">
        <v>88</v>
      </c>
      <c r="L593" s="2">
        <v>44912</v>
      </c>
      <c r="M593" s="3">
        <v>0.88888888888888884</v>
      </c>
      <c r="N593" s="19" t="s">
        <v>1353</v>
      </c>
      <c r="O593" s="21"/>
    </row>
    <row r="594" spans="1:15" ht="57.6" hidden="1" x14ac:dyDescent="0.3">
      <c r="A594" s="47">
        <f t="shared" si="27"/>
        <v>2022</v>
      </c>
      <c r="B594" s="46">
        <f t="shared" si="28"/>
        <v>51</v>
      </c>
      <c r="C594" s="46">
        <f t="shared" si="29"/>
        <v>52</v>
      </c>
      <c r="E594" s="1" t="s">
        <v>1354</v>
      </c>
      <c r="F594" s="19" t="s">
        <v>1355</v>
      </c>
      <c r="G594" s="1" t="s">
        <v>900</v>
      </c>
      <c r="H594" s="1" t="s">
        <v>1249</v>
      </c>
      <c r="I594" s="2">
        <v>44907</v>
      </c>
      <c r="J594" s="3">
        <v>0.70347222222222217</v>
      </c>
      <c r="K594" s="1" t="s">
        <v>73</v>
      </c>
      <c r="L594" s="2">
        <v>44914</v>
      </c>
      <c r="M594" s="3">
        <v>0.36736111111111108</v>
      </c>
      <c r="N594" s="19" t="s">
        <v>1356</v>
      </c>
    </row>
    <row r="595" spans="1:15" ht="244.8" hidden="1" x14ac:dyDescent="0.3">
      <c r="A595" s="47">
        <f t="shared" si="27"/>
        <v>2022</v>
      </c>
      <c r="B595" s="46">
        <f t="shared" si="28"/>
        <v>51</v>
      </c>
      <c r="C595" s="46">
        <f t="shared" si="29"/>
        <v>52</v>
      </c>
      <c r="E595" s="1" t="s">
        <v>1357</v>
      </c>
      <c r="F595" s="45" t="s">
        <v>1358</v>
      </c>
      <c r="G595" s="1" t="s">
        <v>900</v>
      </c>
      <c r="H595" s="1" t="s">
        <v>1249</v>
      </c>
      <c r="I595" s="2">
        <v>44908</v>
      </c>
      <c r="J595" s="3">
        <v>0.59027777777777779</v>
      </c>
      <c r="K595" s="1" t="s">
        <v>73</v>
      </c>
      <c r="L595" s="2">
        <v>44914</v>
      </c>
      <c r="M595" s="3">
        <v>0.40347222222222223</v>
      </c>
      <c r="N595" s="19" t="s">
        <v>1359</v>
      </c>
    </row>
    <row r="596" spans="1:15" ht="57.6" hidden="1" x14ac:dyDescent="0.3">
      <c r="A596" s="47">
        <f t="shared" si="27"/>
        <v>2022</v>
      </c>
      <c r="B596" s="46">
        <f t="shared" si="28"/>
        <v>51</v>
      </c>
      <c r="C596" s="46">
        <f t="shared" si="29"/>
        <v>52</v>
      </c>
      <c r="E596" s="1" t="s">
        <v>1360</v>
      </c>
      <c r="F596" s="19" t="s">
        <v>1361</v>
      </c>
      <c r="G596" s="1" t="s">
        <v>900</v>
      </c>
      <c r="H596" s="1" t="s">
        <v>1249</v>
      </c>
      <c r="I596" s="2">
        <v>44911</v>
      </c>
      <c r="J596" s="3">
        <v>0.3520833333333333</v>
      </c>
      <c r="K596" s="1" t="s">
        <v>73</v>
      </c>
      <c r="L596" s="2">
        <v>44914</v>
      </c>
      <c r="M596" s="3">
        <v>0.41805555555555557</v>
      </c>
      <c r="N596" s="19" t="s">
        <v>1382</v>
      </c>
    </row>
    <row r="597" spans="1:15" ht="72" hidden="1" x14ac:dyDescent="0.3">
      <c r="A597" s="47">
        <f t="shared" si="27"/>
        <v>2022</v>
      </c>
      <c r="B597" s="46">
        <f t="shared" si="28"/>
        <v>51</v>
      </c>
      <c r="C597" s="46">
        <f t="shared" si="29"/>
        <v>52</v>
      </c>
      <c r="E597" s="1" t="s">
        <v>1362</v>
      </c>
      <c r="F597" s="19" t="s">
        <v>1355</v>
      </c>
      <c r="G597" s="1" t="s">
        <v>900</v>
      </c>
      <c r="H597" s="1" t="s">
        <v>1249</v>
      </c>
      <c r="I597" s="2">
        <v>44911</v>
      </c>
      <c r="J597" s="3">
        <v>0.52013888888888882</v>
      </c>
      <c r="K597" s="1" t="s">
        <v>73</v>
      </c>
      <c r="L597" s="2">
        <v>44914</v>
      </c>
      <c r="M597" s="3">
        <v>0.42430555555555555</v>
      </c>
      <c r="N597" s="19" t="s">
        <v>1383</v>
      </c>
    </row>
    <row r="598" spans="1:15" ht="151.35" hidden="1" customHeight="1" x14ac:dyDescent="0.3">
      <c r="A598" s="47">
        <f t="shared" si="27"/>
        <v>2022</v>
      </c>
      <c r="B598" s="46">
        <f t="shared" si="28"/>
        <v>51</v>
      </c>
      <c r="C598" s="46">
        <f t="shared" si="29"/>
        <v>52</v>
      </c>
      <c r="E598" s="1" t="s">
        <v>1363</v>
      </c>
      <c r="F598" s="19" t="s">
        <v>1355</v>
      </c>
      <c r="G598" s="1" t="s">
        <v>900</v>
      </c>
      <c r="H598" s="1" t="s">
        <v>1249</v>
      </c>
      <c r="I598" s="2">
        <v>44911</v>
      </c>
      <c r="J598" s="3">
        <v>0.52361111111111114</v>
      </c>
      <c r="K598" s="1" t="s">
        <v>73</v>
      </c>
      <c r="L598" s="2">
        <v>44914</v>
      </c>
      <c r="M598" s="28" t="s">
        <v>1381</v>
      </c>
      <c r="N598" s="19" t="s">
        <v>1380</v>
      </c>
    </row>
    <row r="599" spans="1:15" ht="122.1" hidden="1" customHeight="1" x14ac:dyDescent="0.3">
      <c r="A599" s="47">
        <f t="shared" si="27"/>
        <v>2022</v>
      </c>
      <c r="B599" s="46">
        <f t="shared" si="28"/>
        <v>52</v>
      </c>
      <c r="C599" s="46">
        <f t="shared" si="29"/>
        <v>52</v>
      </c>
      <c r="E599" s="1" t="s">
        <v>1364</v>
      </c>
      <c r="F599" s="19" t="s">
        <v>1365</v>
      </c>
      <c r="G599" s="1" t="s">
        <v>900</v>
      </c>
      <c r="H599" s="1" t="s">
        <v>1249</v>
      </c>
      <c r="I599" s="2">
        <v>44916</v>
      </c>
      <c r="J599" s="3">
        <v>0.35138888888888892</v>
      </c>
      <c r="K599" s="1" t="s">
        <v>73</v>
      </c>
      <c r="L599" s="2">
        <v>44917</v>
      </c>
      <c r="M599" s="3">
        <v>0.31388888888888888</v>
      </c>
      <c r="N599" s="19" t="s">
        <v>1366</v>
      </c>
    </row>
    <row r="600" spans="1:15" ht="57.6" hidden="1" x14ac:dyDescent="0.3">
      <c r="A600" s="47">
        <f t="shared" si="27"/>
        <v>2022</v>
      </c>
      <c r="B600" s="46">
        <f t="shared" si="28"/>
        <v>52</v>
      </c>
      <c r="C600" s="46">
        <f t="shared" si="29"/>
        <v>52</v>
      </c>
      <c r="E600" s="1" t="s">
        <v>1367</v>
      </c>
      <c r="F600" s="19" t="s">
        <v>1368</v>
      </c>
      <c r="G600" s="1" t="s">
        <v>900</v>
      </c>
      <c r="H600" s="1" t="s">
        <v>1249</v>
      </c>
      <c r="I600" s="2">
        <v>44916</v>
      </c>
      <c r="J600" s="3">
        <v>0.40972222222222227</v>
      </c>
      <c r="K600" s="1" t="s">
        <v>73</v>
      </c>
      <c r="L600" s="2">
        <v>44917</v>
      </c>
      <c r="M600" s="3">
        <v>0.32013888888888892</v>
      </c>
      <c r="N600" s="19" t="s">
        <v>1379</v>
      </c>
    </row>
    <row r="601" spans="1:15" ht="86.4" hidden="1" x14ac:dyDescent="0.3">
      <c r="A601" s="47">
        <f t="shared" si="27"/>
        <v>2022</v>
      </c>
      <c r="B601" s="46">
        <f t="shared" si="28"/>
        <v>52</v>
      </c>
      <c r="C601" s="46">
        <f t="shared" si="29"/>
        <v>52</v>
      </c>
      <c r="E601" s="38" t="s">
        <v>1369</v>
      </c>
      <c r="F601" s="19" t="s">
        <v>1370</v>
      </c>
      <c r="G601" s="1" t="s">
        <v>900</v>
      </c>
      <c r="H601" s="1" t="s">
        <v>1249</v>
      </c>
      <c r="I601" s="2">
        <v>44916</v>
      </c>
      <c r="J601" s="3">
        <v>0.64097222222222217</v>
      </c>
      <c r="K601" s="1" t="s">
        <v>73</v>
      </c>
      <c r="L601" s="2">
        <v>44917</v>
      </c>
      <c r="M601" s="3">
        <v>0.3520833333333333</v>
      </c>
      <c r="N601" s="19" t="s">
        <v>1371</v>
      </c>
    </row>
    <row r="602" spans="1:15" ht="186.6" hidden="1" customHeight="1" x14ac:dyDescent="0.3">
      <c r="A602" s="47">
        <f t="shared" si="27"/>
        <v>2022</v>
      </c>
      <c r="B602" s="46">
        <f t="shared" si="28"/>
        <v>52</v>
      </c>
      <c r="C602" s="46">
        <f t="shared" si="29"/>
        <v>52</v>
      </c>
      <c r="E602" s="1" t="s">
        <v>1372</v>
      </c>
      <c r="F602" s="19" t="s">
        <v>1373</v>
      </c>
      <c r="G602" s="1" t="s">
        <v>900</v>
      </c>
      <c r="H602" s="1" t="s">
        <v>1249</v>
      </c>
      <c r="I602" s="2">
        <v>44916</v>
      </c>
      <c r="J602" s="3">
        <v>0.64513888888888882</v>
      </c>
      <c r="K602" s="1" t="s">
        <v>73</v>
      </c>
      <c r="L602" s="2">
        <v>44917</v>
      </c>
      <c r="M602" s="3">
        <v>0.3833333333333333</v>
      </c>
      <c r="N602" s="19" t="s">
        <v>1374</v>
      </c>
    </row>
    <row r="603" spans="1:15" ht="57.6" hidden="1" x14ac:dyDescent="0.3">
      <c r="A603" s="47">
        <f t="shared" si="27"/>
        <v>2022</v>
      </c>
      <c r="B603" s="46">
        <f t="shared" si="28"/>
        <v>52</v>
      </c>
      <c r="C603" s="46">
        <f t="shared" si="29"/>
        <v>52</v>
      </c>
      <c r="E603" s="1" t="s">
        <v>1375</v>
      </c>
      <c r="F603" s="19" t="s">
        <v>1373</v>
      </c>
      <c r="G603" s="1" t="s">
        <v>900</v>
      </c>
      <c r="H603" s="1" t="s">
        <v>1249</v>
      </c>
      <c r="I603" s="2">
        <v>44916</v>
      </c>
      <c r="J603" s="3">
        <v>0.65069444444444446</v>
      </c>
      <c r="K603" s="1" t="s">
        <v>73</v>
      </c>
      <c r="L603" s="2">
        <v>44917</v>
      </c>
      <c r="M603" s="3">
        <v>0.4826388888888889</v>
      </c>
      <c r="N603" s="19" t="s">
        <v>1376</v>
      </c>
    </row>
    <row r="604" spans="1:15" ht="72" hidden="1" x14ac:dyDescent="0.3">
      <c r="A604" s="47">
        <f t="shared" si="27"/>
        <v>2022</v>
      </c>
      <c r="B604" s="46">
        <f t="shared" si="28"/>
        <v>52</v>
      </c>
      <c r="C604" s="46">
        <f t="shared" si="29"/>
        <v>52</v>
      </c>
      <c r="E604" s="1" t="s">
        <v>1377</v>
      </c>
      <c r="F604" s="19" t="s">
        <v>1373</v>
      </c>
      <c r="G604" s="1" t="s">
        <v>900</v>
      </c>
      <c r="H604" s="1" t="s">
        <v>1249</v>
      </c>
      <c r="I604" s="2">
        <v>44916</v>
      </c>
      <c r="J604" s="3">
        <v>0.65277777777777779</v>
      </c>
      <c r="K604" s="1" t="s">
        <v>73</v>
      </c>
      <c r="L604" s="2">
        <v>44917</v>
      </c>
      <c r="M604" s="3">
        <v>0.53125</v>
      </c>
      <c r="N604" s="19" t="s">
        <v>1378</v>
      </c>
    </row>
    <row r="605" spans="1:15" ht="100.8" hidden="1" x14ac:dyDescent="0.3">
      <c r="A605" s="47">
        <f t="shared" si="27"/>
        <v>2022</v>
      </c>
      <c r="B605" s="46">
        <f t="shared" si="28"/>
        <v>52</v>
      </c>
      <c r="C605" s="46">
        <f t="shared" si="29"/>
        <v>52</v>
      </c>
      <c r="E605" s="1" t="s">
        <v>1385</v>
      </c>
      <c r="F605" s="19" t="s">
        <v>1384</v>
      </c>
      <c r="G605" s="1" t="s">
        <v>10</v>
      </c>
      <c r="H605" s="1" t="s">
        <v>1249</v>
      </c>
      <c r="I605" s="2">
        <v>44914</v>
      </c>
      <c r="J605" s="3">
        <v>0.34166666666666662</v>
      </c>
      <c r="K605" s="1" t="s">
        <v>88</v>
      </c>
      <c r="L605" s="2">
        <v>44918</v>
      </c>
      <c r="M605" s="3">
        <v>0.78472222222222221</v>
      </c>
      <c r="N605" s="19" t="s">
        <v>1386</v>
      </c>
    </row>
    <row r="606" spans="1:15" ht="129.6" hidden="1" x14ac:dyDescent="0.3">
      <c r="A606" s="47">
        <f t="shared" si="27"/>
        <v>2022</v>
      </c>
      <c r="B606" s="46">
        <f t="shared" si="28"/>
        <v>52</v>
      </c>
      <c r="C606" s="46">
        <f t="shared" si="29"/>
        <v>53</v>
      </c>
      <c r="E606" s="1" t="s">
        <v>1387</v>
      </c>
      <c r="F606" s="19" t="s">
        <v>1388</v>
      </c>
      <c r="G606" s="1" t="s">
        <v>10</v>
      </c>
      <c r="H606" s="1" t="s">
        <v>1249</v>
      </c>
      <c r="I606" s="2">
        <v>44916</v>
      </c>
      <c r="J606" s="3">
        <v>0.35694444444444445</v>
      </c>
      <c r="K606" s="1" t="s">
        <v>88</v>
      </c>
      <c r="L606" s="2">
        <v>44921</v>
      </c>
      <c r="M606" s="3">
        <v>0.88194444444444453</v>
      </c>
      <c r="N606" s="19" t="s">
        <v>1772</v>
      </c>
    </row>
    <row r="607" spans="1:15" ht="72" hidden="1" x14ac:dyDescent="0.3">
      <c r="A607" s="47">
        <f t="shared" si="27"/>
        <v>2022</v>
      </c>
      <c r="B607" s="46">
        <f t="shared" si="28"/>
        <v>53</v>
      </c>
      <c r="C607" s="46">
        <f t="shared" si="29"/>
        <v>53</v>
      </c>
      <c r="E607" s="1" t="s">
        <v>1391</v>
      </c>
      <c r="F607" s="19" t="s">
        <v>1389</v>
      </c>
      <c r="G607" s="1" t="s">
        <v>1393</v>
      </c>
      <c r="H607" s="1" t="s">
        <v>1249</v>
      </c>
      <c r="I607" s="2">
        <v>44921</v>
      </c>
      <c r="J607" s="3">
        <v>0.47361111111111115</v>
      </c>
      <c r="K607" s="1" t="s">
        <v>88</v>
      </c>
      <c r="L607" s="2">
        <v>44924</v>
      </c>
      <c r="M607" s="3">
        <v>0.81736111111111109</v>
      </c>
      <c r="N607" s="19" t="s">
        <v>1390</v>
      </c>
    </row>
    <row r="608" spans="1:15" ht="72" hidden="1" x14ac:dyDescent="0.3">
      <c r="A608" s="47">
        <f t="shared" si="27"/>
        <v>2022</v>
      </c>
      <c r="B608" s="46">
        <f t="shared" si="28"/>
        <v>53</v>
      </c>
      <c r="C608" s="46">
        <f t="shared" si="29"/>
        <v>53</v>
      </c>
      <c r="E608" s="1" t="s">
        <v>1392</v>
      </c>
      <c r="F608" s="19" t="s">
        <v>1394</v>
      </c>
      <c r="G608" s="1" t="s">
        <v>10</v>
      </c>
      <c r="H608" s="1" t="s">
        <v>1249</v>
      </c>
      <c r="I608" s="2">
        <v>44921</v>
      </c>
      <c r="J608" s="3">
        <v>0.55277777777777781</v>
      </c>
      <c r="K608" s="1" t="s">
        <v>88</v>
      </c>
      <c r="L608" s="2">
        <v>44924</v>
      </c>
      <c r="M608" s="3">
        <v>0.82847222222222217</v>
      </c>
      <c r="N608" s="19" t="s">
        <v>1395</v>
      </c>
    </row>
    <row r="609" spans="1:14" ht="140.1" hidden="1" customHeight="1" x14ac:dyDescent="0.3">
      <c r="A609" s="47">
        <f t="shared" si="27"/>
        <v>2022</v>
      </c>
      <c r="B609" s="46">
        <f t="shared" si="28"/>
        <v>53</v>
      </c>
      <c r="C609" s="46">
        <f t="shared" si="29"/>
        <v>53</v>
      </c>
      <c r="E609" s="1" t="s">
        <v>1396</v>
      </c>
      <c r="F609" s="19" t="s">
        <v>1397</v>
      </c>
      <c r="G609" s="1" t="s">
        <v>10</v>
      </c>
      <c r="H609" s="1" t="s">
        <v>1249</v>
      </c>
      <c r="I609" s="2">
        <v>44921</v>
      </c>
      <c r="J609" s="3">
        <v>0.62916666666666665</v>
      </c>
      <c r="K609" s="1" t="s">
        <v>88</v>
      </c>
      <c r="L609" s="2">
        <v>44924</v>
      </c>
      <c r="M609" s="3">
        <v>0.85069444444444453</v>
      </c>
      <c r="N609" s="19" t="s">
        <v>1398</v>
      </c>
    </row>
    <row r="610" spans="1:14" ht="57.6" hidden="1" x14ac:dyDescent="0.3">
      <c r="A610" s="47">
        <f t="shared" si="27"/>
        <v>2022</v>
      </c>
      <c r="B610" s="46">
        <f t="shared" si="28"/>
        <v>53</v>
      </c>
      <c r="C610" s="46">
        <f t="shared" si="29"/>
        <v>53</v>
      </c>
      <c r="E610" s="1" t="s">
        <v>1399</v>
      </c>
      <c r="F610" s="19" t="s">
        <v>1400</v>
      </c>
      <c r="G610" s="1" t="s">
        <v>900</v>
      </c>
      <c r="H610" s="1" t="s">
        <v>1249</v>
      </c>
      <c r="I610" s="2">
        <v>44921</v>
      </c>
      <c r="J610" s="3">
        <v>0.66597222222222219</v>
      </c>
      <c r="K610" s="1" t="s">
        <v>88</v>
      </c>
      <c r="L610" s="2">
        <v>44924</v>
      </c>
      <c r="M610" s="3">
        <v>0.86875000000000002</v>
      </c>
      <c r="N610" s="19" t="s">
        <v>1401</v>
      </c>
    </row>
    <row r="611" spans="1:14" ht="72" hidden="1" x14ac:dyDescent="0.3">
      <c r="A611" s="47">
        <f t="shared" si="27"/>
        <v>2022</v>
      </c>
      <c r="B611" s="46">
        <f t="shared" si="28"/>
        <v>53</v>
      </c>
      <c r="C611" s="46">
        <f t="shared" si="29"/>
        <v>53</v>
      </c>
      <c r="E611" s="1" t="s">
        <v>1402</v>
      </c>
      <c r="F611" s="19" t="s">
        <v>1403</v>
      </c>
      <c r="G611" s="1" t="s">
        <v>900</v>
      </c>
      <c r="H611" s="1" t="s">
        <v>1249</v>
      </c>
      <c r="I611" s="2">
        <v>44921</v>
      </c>
      <c r="J611" s="3">
        <v>0.68819444444444444</v>
      </c>
      <c r="K611" s="1" t="s">
        <v>88</v>
      </c>
      <c r="L611" s="2">
        <v>44924</v>
      </c>
      <c r="M611" s="3">
        <v>0.90625</v>
      </c>
      <c r="N611" s="19" t="s">
        <v>1404</v>
      </c>
    </row>
    <row r="612" spans="1:14" ht="72" hidden="1" x14ac:dyDescent="0.3">
      <c r="A612" s="47">
        <f t="shared" si="27"/>
        <v>2022</v>
      </c>
      <c r="B612" s="46">
        <f t="shared" si="28"/>
        <v>53</v>
      </c>
      <c r="C612" s="46">
        <f t="shared" si="29"/>
        <v>53</v>
      </c>
      <c r="E612" s="1" t="s">
        <v>1405</v>
      </c>
      <c r="F612" s="19" t="s">
        <v>1406</v>
      </c>
      <c r="G612" s="1" t="s">
        <v>10</v>
      </c>
      <c r="H612" s="1" t="s">
        <v>1249</v>
      </c>
      <c r="I612" s="2">
        <v>44922</v>
      </c>
      <c r="J612" s="3">
        <v>0.40972222222222227</v>
      </c>
      <c r="K612" s="1" t="s">
        <v>88</v>
      </c>
      <c r="L612" s="2">
        <v>44924</v>
      </c>
      <c r="M612" s="3">
        <v>0.90972222222222221</v>
      </c>
      <c r="N612" s="19" t="s">
        <v>1407</v>
      </c>
    </row>
    <row r="613" spans="1:14" ht="72" hidden="1" x14ac:dyDescent="0.3">
      <c r="A613" s="47">
        <f t="shared" si="27"/>
        <v>2022</v>
      </c>
      <c r="B613" s="46">
        <f t="shared" si="28"/>
        <v>53</v>
      </c>
      <c r="C613" s="46">
        <f t="shared" si="29"/>
        <v>53</v>
      </c>
      <c r="E613" s="1" t="s">
        <v>1408</v>
      </c>
      <c r="F613" s="19" t="s">
        <v>1403</v>
      </c>
      <c r="G613" s="1" t="s">
        <v>900</v>
      </c>
      <c r="H613" s="1" t="s">
        <v>1249</v>
      </c>
      <c r="I613" s="2">
        <v>44922</v>
      </c>
      <c r="J613" s="3">
        <v>0.41388888888888892</v>
      </c>
      <c r="K613" s="1" t="s">
        <v>88</v>
      </c>
      <c r="L613" s="2">
        <v>44924</v>
      </c>
      <c r="M613" s="3">
        <v>0.91388888888888886</v>
      </c>
      <c r="N613" s="19" t="s">
        <v>1409</v>
      </c>
    </row>
    <row r="614" spans="1:14" ht="86.4" hidden="1" x14ac:dyDescent="0.3">
      <c r="A614" s="47">
        <f t="shared" si="27"/>
        <v>2022</v>
      </c>
      <c r="B614" s="46">
        <f t="shared" si="28"/>
        <v>53</v>
      </c>
      <c r="C614" s="46">
        <f t="shared" si="29"/>
        <v>53</v>
      </c>
      <c r="E614" s="1" t="s">
        <v>1411</v>
      </c>
      <c r="F614" s="19" t="s">
        <v>1410</v>
      </c>
      <c r="G614" s="1" t="s">
        <v>900</v>
      </c>
      <c r="H614" s="1" t="s">
        <v>1249</v>
      </c>
      <c r="I614" s="2">
        <v>44922</v>
      </c>
      <c r="J614" s="3">
        <v>0.41388888888888892</v>
      </c>
      <c r="K614" s="1" t="s">
        <v>88</v>
      </c>
      <c r="L614" s="2">
        <v>44925</v>
      </c>
      <c r="M614" s="3">
        <v>1.3194444444444444E-2</v>
      </c>
      <c r="N614" s="19" t="s">
        <v>1412</v>
      </c>
    </row>
    <row r="615" spans="1:14" ht="86.4" hidden="1" x14ac:dyDescent="0.3">
      <c r="A615" s="47">
        <f t="shared" si="27"/>
        <v>2022</v>
      </c>
      <c r="B615" s="46">
        <f t="shared" si="28"/>
        <v>53</v>
      </c>
      <c r="C615" s="46">
        <f t="shared" si="29"/>
        <v>53</v>
      </c>
      <c r="E615" s="1" t="s">
        <v>1413</v>
      </c>
      <c r="F615" s="19" t="s">
        <v>1403</v>
      </c>
      <c r="G615" s="1" t="s">
        <v>900</v>
      </c>
      <c r="H615" s="1" t="s">
        <v>1249</v>
      </c>
      <c r="I615" s="2">
        <v>44922</v>
      </c>
      <c r="J615" s="3">
        <v>0.41875000000000001</v>
      </c>
      <c r="K615" s="1" t="s">
        <v>88</v>
      </c>
      <c r="L615" s="2">
        <v>44925</v>
      </c>
      <c r="M615" s="3">
        <v>1.6666666666666666E-2</v>
      </c>
      <c r="N615" s="19" t="s">
        <v>1414</v>
      </c>
    </row>
    <row r="616" spans="1:14" ht="115.2" hidden="1" x14ac:dyDescent="0.3">
      <c r="A616" s="47">
        <f t="shared" si="27"/>
        <v>2022</v>
      </c>
      <c r="B616" s="46">
        <f t="shared" si="28"/>
        <v>53</v>
      </c>
      <c r="C616" s="46">
        <f t="shared" si="29"/>
        <v>53</v>
      </c>
      <c r="E616" s="1" t="s">
        <v>1415</v>
      </c>
      <c r="F616" s="19" t="s">
        <v>1417</v>
      </c>
      <c r="G616" s="1" t="s">
        <v>10</v>
      </c>
      <c r="H616" s="1" t="s">
        <v>1249</v>
      </c>
      <c r="I616" s="2">
        <v>44922</v>
      </c>
      <c r="J616" s="3">
        <v>0.57222222222222219</v>
      </c>
      <c r="K616" s="1" t="s">
        <v>88</v>
      </c>
      <c r="L616" s="2">
        <v>44925</v>
      </c>
      <c r="M616" s="3">
        <v>2.9861111111111113E-2</v>
      </c>
      <c r="N616" s="19" t="s">
        <v>1416</v>
      </c>
    </row>
    <row r="617" spans="1:14" ht="409.35" hidden="1" customHeight="1" x14ac:dyDescent="0.3">
      <c r="A617" s="47">
        <f t="shared" si="27"/>
        <v>2023</v>
      </c>
      <c r="B617" s="46">
        <f t="shared" si="28"/>
        <v>53</v>
      </c>
      <c r="C617" s="46">
        <f t="shared" si="29"/>
        <v>1</v>
      </c>
      <c r="E617" s="1" t="s">
        <v>1418</v>
      </c>
      <c r="F617" s="19" t="s">
        <v>1419</v>
      </c>
      <c r="G617" s="1" t="s">
        <v>900</v>
      </c>
      <c r="H617" s="1" t="s">
        <v>1249</v>
      </c>
      <c r="I617" s="2">
        <v>44921</v>
      </c>
      <c r="J617" s="3">
        <v>0.63541666666666663</v>
      </c>
      <c r="K617" s="1" t="s">
        <v>73</v>
      </c>
      <c r="L617" s="2">
        <v>44928</v>
      </c>
      <c r="M617" s="28" t="s">
        <v>1423</v>
      </c>
      <c r="N617" s="19" t="s">
        <v>1422</v>
      </c>
    </row>
    <row r="618" spans="1:14" ht="332.55" hidden="1" customHeight="1" x14ac:dyDescent="0.3">
      <c r="A618" s="47" t="e">
        <f t="shared" si="27"/>
        <v>#VALUE!</v>
      </c>
      <c r="B618" s="46">
        <f t="shared" si="28"/>
        <v>53</v>
      </c>
      <c r="C618" s="46" t="e">
        <f t="shared" si="29"/>
        <v>#VALUE!</v>
      </c>
      <c r="E618" s="1" t="s">
        <v>1420</v>
      </c>
      <c r="F618" s="19" t="s">
        <v>1421</v>
      </c>
      <c r="G618" s="1" t="s">
        <v>900</v>
      </c>
      <c r="H618" s="1" t="s">
        <v>1249</v>
      </c>
      <c r="I618" s="2">
        <v>44922</v>
      </c>
      <c r="J618" s="3">
        <v>0.32361111111111113</v>
      </c>
      <c r="K618" s="1" t="s">
        <v>73</v>
      </c>
      <c r="L618" s="34" t="s">
        <v>1448</v>
      </c>
      <c r="M618" s="28" t="s">
        <v>1449</v>
      </c>
      <c r="N618" s="19" t="s">
        <v>1447</v>
      </c>
    </row>
    <row r="619" spans="1:14" ht="72" hidden="1" x14ac:dyDescent="0.3">
      <c r="A619" s="47">
        <f t="shared" si="27"/>
        <v>2023</v>
      </c>
      <c r="B619" s="46">
        <f t="shared" si="28"/>
        <v>53</v>
      </c>
      <c r="C619" s="46">
        <f t="shared" si="29"/>
        <v>1</v>
      </c>
      <c r="E619" s="1" t="s">
        <v>1424</v>
      </c>
      <c r="F619" s="19" t="s">
        <v>1421</v>
      </c>
      <c r="G619" s="1" t="s">
        <v>900</v>
      </c>
      <c r="H619" s="1" t="s">
        <v>1249</v>
      </c>
      <c r="I619" s="2">
        <v>44922</v>
      </c>
      <c r="J619" s="3">
        <v>0.3347222222222222</v>
      </c>
      <c r="K619" s="1" t="s">
        <v>73</v>
      </c>
      <c r="L619" s="2">
        <v>44928</v>
      </c>
      <c r="M619" s="3">
        <v>0.65416666666666667</v>
      </c>
      <c r="N619" s="19" t="s">
        <v>1425</v>
      </c>
    </row>
    <row r="620" spans="1:14" ht="72" hidden="1" x14ac:dyDescent="0.3">
      <c r="A620" s="47">
        <f t="shared" si="27"/>
        <v>2023</v>
      </c>
      <c r="B620" s="46">
        <f t="shared" si="28"/>
        <v>53</v>
      </c>
      <c r="C620" s="46">
        <f t="shared" si="29"/>
        <v>1</v>
      </c>
      <c r="E620" s="25" t="s">
        <v>1426</v>
      </c>
      <c r="F620" s="84" t="s">
        <v>1427</v>
      </c>
      <c r="G620" s="25" t="s">
        <v>900</v>
      </c>
      <c r="H620" s="25" t="s">
        <v>1249</v>
      </c>
      <c r="I620" s="26">
        <v>44922</v>
      </c>
      <c r="J620" s="27">
        <v>0.3347222222222222</v>
      </c>
      <c r="K620" s="25" t="s">
        <v>73</v>
      </c>
      <c r="L620" s="26">
        <v>44928</v>
      </c>
      <c r="M620" s="27">
        <v>0.67708333333333337</v>
      </c>
      <c r="N620" s="19" t="s">
        <v>1428</v>
      </c>
    </row>
    <row r="621" spans="1:14" ht="115.2" hidden="1" x14ac:dyDescent="0.3">
      <c r="A621" s="47" t="e">
        <f t="shared" si="27"/>
        <v>#VALUE!</v>
      </c>
      <c r="B621" s="46">
        <f t="shared" si="28"/>
        <v>53</v>
      </c>
      <c r="C621" s="46" t="e">
        <f t="shared" si="29"/>
        <v>#VALUE!</v>
      </c>
      <c r="E621" s="4" t="s">
        <v>1429</v>
      </c>
      <c r="F621" s="19" t="s">
        <v>1430</v>
      </c>
      <c r="G621" s="1" t="s">
        <v>900</v>
      </c>
      <c r="H621" s="1" t="s">
        <v>1249</v>
      </c>
      <c r="I621" s="2">
        <v>44922</v>
      </c>
      <c r="J621" s="3">
        <v>0.3347222222222222</v>
      </c>
      <c r="K621" s="1" t="s">
        <v>73</v>
      </c>
      <c r="L621" s="34" t="s">
        <v>1454</v>
      </c>
      <c r="M621" s="28" t="s">
        <v>1455</v>
      </c>
      <c r="N621" s="19" t="s">
        <v>1453</v>
      </c>
    </row>
    <row r="622" spans="1:14" ht="98.55" hidden="1" customHeight="1" x14ac:dyDescent="0.3">
      <c r="A622" s="47" t="e">
        <f t="shared" si="27"/>
        <v>#VALUE!</v>
      </c>
      <c r="B622" s="46">
        <f t="shared" si="28"/>
        <v>53</v>
      </c>
      <c r="C622" s="46" t="e">
        <f t="shared" si="29"/>
        <v>#VALUE!</v>
      </c>
      <c r="E622" s="1" t="s">
        <v>1431</v>
      </c>
      <c r="F622" s="19" t="s">
        <v>1255</v>
      </c>
      <c r="G622" s="1" t="s">
        <v>900</v>
      </c>
      <c r="H622" s="1" t="s">
        <v>1249</v>
      </c>
      <c r="I622" s="2">
        <v>44922</v>
      </c>
      <c r="J622" s="3">
        <v>0.61944444444444446</v>
      </c>
      <c r="K622" s="1" t="s">
        <v>73</v>
      </c>
      <c r="L622" s="34" t="s">
        <v>1451</v>
      </c>
      <c r="M622" s="28" t="s">
        <v>1452</v>
      </c>
      <c r="N622" s="19" t="s">
        <v>1450</v>
      </c>
    </row>
    <row r="623" spans="1:14" ht="259.2" hidden="1" x14ac:dyDescent="0.3">
      <c r="A623" s="47" t="e">
        <f t="shared" si="27"/>
        <v>#VALUE!</v>
      </c>
      <c r="B623" s="46">
        <f t="shared" si="28"/>
        <v>53</v>
      </c>
      <c r="C623" s="46" t="e">
        <f t="shared" si="29"/>
        <v>#VALUE!</v>
      </c>
      <c r="E623" s="1" t="s">
        <v>1432</v>
      </c>
      <c r="F623" s="19" t="s">
        <v>1433</v>
      </c>
      <c r="G623" s="1" t="s">
        <v>900</v>
      </c>
      <c r="H623" s="1" t="s">
        <v>1249</v>
      </c>
      <c r="I623" s="2">
        <v>44922</v>
      </c>
      <c r="J623" s="3">
        <v>0.68680555555555556</v>
      </c>
      <c r="K623" s="1" t="s">
        <v>73</v>
      </c>
      <c r="L623" s="34" t="s">
        <v>1445</v>
      </c>
      <c r="M623" s="28" t="s">
        <v>1446</v>
      </c>
      <c r="N623" s="19" t="s">
        <v>1444</v>
      </c>
    </row>
    <row r="624" spans="1:14" ht="28.8" hidden="1" x14ac:dyDescent="0.3">
      <c r="A624" s="47">
        <f t="shared" si="27"/>
        <v>2023</v>
      </c>
      <c r="B624" s="46">
        <f t="shared" si="28"/>
        <v>53</v>
      </c>
      <c r="C624" s="46">
        <f t="shared" si="29"/>
        <v>1</v>
      </c>
      <c r="E624" s="1" t="s">
        <v>1434</v>
      </c>
      <c r="F624" s="19" t="s">
        <v>1435</v>
      </c>
      <c r="G624" s="1" t="s">
        <v>900</v>
      </c>
      <c r="H624" s="1" t="s">
        <v>1249</v>
      </c>
      <c r="I624" s="2">
        <v>44922</v>
      </c>
      <c r="J624" s="3">
        <v>0.61944444444444446</v>
      </c>
      <c r="K624" s="1" t="s">
        <v>73</v>
      </c>
      <c r="L624" s="2">
        <v>44929</v>
      </c>
      <c r="M624" s="3">
        <v>0.30069444444444443</v>
      </c>
      <c r="N624" s="19" t="s">
        <v>1436</v>
      </c>
    </row>
    <row r="625" spans="1:14" ht="43.2" hidden="1" x14ac:dyDescent="0.3">
      <c r="A625" s="47">
        <f t="shared" si="27"/>
        <v>2023</v>
      </c>
      <c r="B625" s="46">
        <f t="shared" si="28"/>
        <v>53</v>
      </c>
      <c r="C625" s="46">
        <f t="shared" si="29"/>
        <v>1</v>
      </c>
      <c r="E625" s="1" t="s">
        <v>1437</v>
      </c>
      <c r="F625" s="19" t="s">
        <v>1438</v>
      </c>
      <c r="G625" s="1" t="s">
        <v>10</v>
      </c>
      <c r="H625" s="1" t="s">
        <v>1249</v>
      </c>
      <c r="I625" s="2">
        <v>44923</v>
      </c>
      <c r="J625" s="3">
        <v>0.49652777777777773</v>
      </c>
      <c r="K625" s="1" t="s">
        <v>88</v>
      </c>
      <c r="L625" s="2">
        <v>44928</v>
      </c>
      <c r="M625" s="3">
        <v>0.81041666666666667</v>
      </c>
      <c r="N625" s="19" t="s">
        <v>1442</v>
      </c>
    </row>
    <row r="626" spans="1:14" hidden="1" x14ac:dyDescent="0.3">
      <c r="A626" s="47">
        <f t="shared" si="27"/>
        <v>2023</v>
      </c>
      <c r="B626" s="46">
        <f t="shared" si="28"/>
        <v>53</v>
      </c>
      <c r="C626" s="46">
        <f t="shared" si="29"/>
        <v>1</v>
      </c>
      <c r="E626" s="1" t="s">
        <v>1439</v>
      </c>
      <c r="F626" s="19" t="s">
        <v>1440</v>
      </c>
      <c r="G626" s="1" t="s">
        <v>10</v>
      </c>
      <c r="H626" s="1" t="s">
        <v>1249</v>
      </c>
      <c r="I626" s="2">
        <v>44923</v>
      </c>
      <c r="J626" s="3">
        <v>0.4993055555555555</v>
      </c>
      <c r="K626" s="1" t="s">
        <v>88</v>
      </c>
      <c r="L626" s="2">
        <v>44928</v>
      </c>
      <c r="M626" s="3">
        <v>0.8125</v>
      </c>
      <c r="N626" s="19" t="s">
        <v>1441</v>
      </c>
    </row>
    <row r="627" spans="1:14" ht="409.35" hidden="1" customHeight="1" x14ac:dyDescent="0.3">
      <c r="A627" s="47">
        <f t="shared" si="27"/>
        <v>2023</v>
      </c>
      <c r="B627" s="46">
        <f t="shared" si="28"/>
        <v>1</v>
      </c>
      <c r="C627" s="46">
        <f t="shared" si="29"/>
        <v>1</v>
      </c>
      <c r="E627" s="1" t="s">
        <v>1443</v>
      </c>
      <c r="F627" s="19" t="s">
        <v>1255</v>
      </c>
      <c r="G627" s="1" t="s">
        <v>900</v>
      </c>
      <c r="H627" s="1" t="s">
        <v>1249</v>
      </c>
      <c r="I627" s="2">
        <v>44928</v>
      </c>
      <c r="J627" s="3">
        <v>0.45347222222222222</v>
      </c>
      <c r="K627" s="1" t="s">
        <v>73</v>
      </c>
      <c r="L627" s="2">
        <v>44929</v>
      </c>
      <c r="M627" s="3">
        <v>0.46249999999999997</v>
      </c>
      <c r="N627" s="19" t="s">
        <v>1918</v>
      </c>
    </row>
    <row r="628" spans="1:14" ht="100.8" hidden="1" x14ac:dyDescent="0.3">
      <c r="A628" s="47">
        <f t="shared" si="27"/>
        <v>2023</v>
      </c>
      <c r="B628" s="46">
        <f t="shared" si="28"/>
        <v>1</v>
      </c>
      <c r="C628" s="46">
        <f t="shared" si="29"/>
        <v>1</v>
      </c>
      <c r="E628" s="1" t="s">
        <v>1456</v>
      </c>
      <c r="F628" s="19" t="s">
        <v>1457</v>
      </c>
      <c r="G628" s="1" t="s">
        <v>10</v>
      </c>
      <c r="H628" s="1" t="s">
        <v>1249</v>
      </c>
      <c r="I628" s="2">
        <v>44929</v>
      </c>
      <c r="J628" s="3">
        <v>0.4993055555555555</v>
      </c>
      <c r="K628" s="1" t="s">
        <v>88</v>
      </c>
      <c r="L628" s="2">
        <v>44933</v>
      </c>
      <c r="M628" s="3">
        <v>0.21527777777777779</v>
      </c>
      <c r="N628" s="19" t="s">
        <v>1458</v>
      </c>
    </row>
    <row r="629" spans="1:14" ht="115.2" hidden="1" x14ac:dyDescent="0.3">
      <c r="A629" s="47">
        <f t="shared" si="27"/>
        <v>2023</v>
      </c>
      <c r="B629" s="46">
        <f t="shared" si="28"/>
        <v>1</v>
      </c>
      <c r="C629" s="46">
        <f t="shared" si="29"/>
        <v>1</v>
      </c>
      <c r="E629" s="1" t="s">
        <v>1460</v>
      </c>
      <c r="F629" s="19" t="s">
        <v>1461</v>
      </c>
      <c r="G629" s="1" t="s">
        <v>10</v>
      </c>
      <c r="H629" s="1" t="s">
        <v>1249</v>
      </c>
      <c r="I629" s="2">
        <v>44929</v>
      </c>
      <c r="J629" s="3">
        <v>0.50069444444444444</v>
      </c>
      <c r="K629" s="1" t="s">
        <v>88</v>
      </c>
      <c r="L629" s="2">
        <v>44933</v>
      </c>
      <c r="M629" s="3">
        <v>0.22777777777777777</v>
      </c>
      <c r="N629" s="19" t="s">
        <v>1459</v>
      </c>
    </row>
    <row r="630" spans="1:14" ht="100.8" hidden="1" x14ac:dyDescent="0.3">
      <c r="A630" s="47">
        <f t="shared" si="27"/>
        <v>2023</v>
      </c>
      <c r="B630" s="46">
        <f t="shared" si="28"/>
        <v>1</v>
      </c>
      <c r="C630" s="46">
        <f t="shared" si="29"/>
        <v>1</v>
      </c>
      <c r="E630" s="1" t="s">
        <v>1463</v>
      </c>
      <c r="F630" s="19" t="s">
        <v>1462</v>
      </c>
      <c r="G630" s="1" t="s">
        <v>10</v>
      </c>
      <c r="H630" s="1" t="s">
        <v>1249</v>
      </c>
      <c r="I630" s="2">
        <v>44929</v>
      </c>
      <c r="J630" s="3">
        <v>0.50208333333333333</v>
      </c>
      <c r="K630" s="1" t="s">
        <v>88</v>
      </c>
      <c r="L630" s="2">
        <v>44933</v>
      </c>
      <c r="M630" s="3">
        <v>0.23958333333333334</v>
      </c>
      <c r="N630" s="19" t="s">
        <v>1464</v>
      </c>
    </row>
    <row r="631" spans="1:14" ht="86.4" hidden="1" x14ac:dyDescent="0.3">
      <c r="A631" s="47">
        <f t="shared" si="27"/>
        <v>2023</v>
      </c>
      <c r="B631" s="46">
        <f t="shared" si="28"/>
        <v>2</v>
      </c>
      <c r="C631" s="46">
        <f t="shared" si="29"/>
        <v>2</v>
      </c>
      <c r="E631" s="1" t="s">
        <v>1465</v>
      </c>
      <c r="F631" s="19" t="s">
        <v>1255</v>
      </c>
      <c r="G631" s="1" t="s">
        <v>900</v>
      </c>
      <c r="H631" s="1" t="s">
        <v>1249</v>
      </c>
      <c r="I631" s="2">
        <v>44935</v>
      </c>
      <c r="J631" s="3">
        <v>0.69861111111111107</v>
      </c>
      <c r="K631" s="1" t="s">
        <v>73</v>
      </c>
      <c r="L631" s="2">
        <v>44936</v>
      </c>
      <c r="M631" s="3">
        <v>0.57361111111111118</v>
      </c>
      <c r="N631" s="19" t="s">
        <v>1466</v>
      </c>
    </row>
    <row r="632" spans="1:14" ht="28.8" hidden="1" x14ac:dyDescent="0.3">
      <c r="A632" s="47">
        <f t="shared" si="27"/>
        <v>2023</v>
      </c>
      <c r="B632" s="46">
        <f t="shared" si="28"/>
        <v>2</v>
      </c>
      <c r="C632" s="46">
        <f t="shared" si="29"/>
        <v>2</v>
      </c>
      <c r="E632" s="1" t="s">
        <v>1467</v>
      </c>
      <c r="F632" s="19" t="s">
        <v>1255</v>
      </c>
      <c r="G632" s="1" t="s">
        <v>900</v>
      </c>
      <c r="H632" s="1" t="s">
        <v>1249</v>
      </c>
      <c r="I632" s="2">
        <v>44936</v>
      </c>
      <c r="J632" s="3">
        <v>0.44722222222222219</v>
      </c>
      <c r="K632" s="1" t="s">
        <v>73</v>
      </c>
      <c r="L632" s="2">
        <v>44936</v>
      </c>
      <c r="M632" s="3">
        <v>0.62916666666666665</v>
      </c>
      <c r="N632" s="19" t="s">
        <v>1468</v>
      </c>
    </row>
    <row r="633" spans="1:14" ht="28.8" hidden="1" x14ac:dyDescent="0.3">
      <c r="A633" s="47">
        <f t="shared" si="27"/>
        <v>2023</v>
      </c>
      <c r="B633" s="46">
        <f t="shared" si="28"/>
        <v>2</v>
      </c>
      <c r="C633" s="46">
        <f t="shared" si="29"/>
        <v>2</v>
      </c>
      <c r="E633" s="1" t="s">
        <v>1469</v>
      </c>
      <c r="F633" s="19" t="s">
        <v>1255</v>
      </c>
      <c r="G633" s="1" t="s">
        <v>900</v>
      </c>
      <c r="H633" s="1" t="s">
        <v>1249</v>
      </c>
      <c r="I633" s="2">
        <v>44936</v>
      </c>
      <c r="J633" s="3">
        <v>0.5625</v>
      </c>
      <c r="K633" s="1" t="s">
        <v>73</v>
      </c>
      <c r="L633" s="2">
        <v>44936</v>
      </c>
      <c r="M633" s="3">
        <v>0.63958333333333328</v>
      </c>
      <c r="N633" s="19" t="s">
        <v>1470</v>
      </c>
    </row>
    <row r="634" spans="1:14" ht="28.8" hidden="1" x14ac:dyDescent="0.3">
      <c r="A634" s="47">
        <f t="shared" si="27"/>
        <v>2023</v>
      </c>
      <c r="B634" s="46">
        <f t="shared" si="28"/>
        <v>2</v>
      </c>
      <c r="C634" s="46">
        <f t="shared" si="29"/>
        <v>2</v>
      </c>
      <c r="E634" s="1" t="s">
        <v>1471</v>
      </c>
      <c r="F634" s="19" t="s">
        <v>1255</v>
      </c>
      <c r="G634" s="1" t="s">
        <v>900</v>
      </c>
      <c r="H634" s="1" t="s">
        <v>1249</v>
      </c>
      <c r="I634" s="2">
        <v>44936</v>
      </c>
      <c r="J634" s="3">
        <v>0.5625</v>
      </c>
      <c r="K634" s="1" t="s">
        <v>73</v>
      </c>
      <c r="L634" s="2">
        <v>44936</v>
      </c>
      <c r="M634" s="3">
        <v>0.64166666666666672</v>
      </c>
      <c r="N634" s="19" t="s">
        <v>1470</v>
      </c>
    </row>
    <row r="635" spans="1:14" ht="28.8" hidden="1" x14ac:dyDescent="0.3">
      <c r="A635" s="47">
        <f t="shared" si="27"/>
        <v>2023</v>
      </c>
      <c r="B635" s="46">
        <f t="shared" si="28"/>
        <v>2</v>
      </c>
      <c r="C635" s="46">
        <f t="shared" si="29"/>
        <v>2</v>
      </c>
      <c r="E635" s="1" t="s">
        <v>1472</v>
      </c>
      <c r="F635" s="19" t="s">
        <v>1255</v>
      </c>
      <c r="G635" s="1" t="s">
        <v>900</v>
      </c>
      <c r="H635" s="1" t="s">
        <v>1249</v>
      </c>
      <c r="I635" s="2">
        <v>44936</v>
      </c>
      <c r="J635" s="3">
        <v>0.5625</v>
      </c>
      <c r="K635" s="1" t="s">
        <v>73</v>
      </c>
      <c r="L635" s="2">
        <v>44936</v>
      </c>
      <c r="M635" s="3">
        <v>0.6430555555555556</v>
      </c>
      <c r="N635" s="19" t="s">
        <v>1470</v>
      </c>
    </row>
    <row r="636" spans="1:14" ht="28.8" hidden="1" x14ac:dyDescent="0.3">
      <c r="A636" s="47">
        <f t="shared" si="27"/>
        <v>2023</v>
      </c>
      <c r="B636" s="46">
        <f t="shared" si="28"/>
        <v>2</v>
      </c>
      <c r="C636" s="46">
        <f t="shared" si="29"/>
        <v>2</v>
      </c>
      <c r="E636" s="1" t="s">
        <v>1473</v>
      </c>
      <c r="F636" s="19" t="s">
        <v>1474</v>
      </c>
      <c r="G636" s="1" t="s">
        <v>10</v>
      </c>
      <c r="H636" s="1" t="s">
        <v>1249</v>
      </c>
      <c r="I636" s="2">
        <v>44935</v>
      </c>
      <c r="J636" s="3">
        <v>0.6958333333333333</v>
      </c>
      <c r="K636" s="1" t="s">
        <v>88</v>
      </c>
      <c r="L636" s="2">
        <v>44937</v>
      </c>
      <c r="M636" s="3">
        <v>0.4145833333333333</v>
      </c>
      <c r="N636" s="19" t="s">
        <v>1475</v>
      </c>
    </row>
    <row r="637" spans="1:14" ht="57.6" hidden="1" x14ac:dyDescent="0.3">
      <c r="A637" s="47">
        <f t="shared" si="27"/>
        <v>2023</v>
      </c>
      <c r="B637" s="46">
        <f t="shared" si="28"/>
        <v>2</v>
      </c>
      <c r="C637" s="46">
        <f t="shared" si="29"/>
        <v>2</v>
      </c>
      <c r="E637" s="1" t="s">
        <v>1477</v>
      </c>
      <c r="F637" s="19" t="s">
        <v>1476</v>
      </c>
      <c r="G637" s="1" t="s">
        <v>10</v>
      </c>
      <c r="H637" s="1" t="s">
        <v>1249</v>
      </c>
      <c r="I637" s="2">
        <v>44935</v>
      </c>
      <c r="J637" s="3">
        <v>0.44375000000000003</v>
      </c>
      <c r="K637" s="1" t="s">
        <v>88</v>
      </c>
      <c r="L637" s="2">
        <v>44937</v>
      </c>
      <c r="M637" s="3">
        <v>0.41180555555555554</v>
      </c>
      <c r="N637" s="19" t="s">
        <v>1478</v>
      </c>
    </row>
    <row r="638" spans="1:14" ht="129.6" hidden="1" x14ac:dyDescent="0.3">
      <c r="A638" s="47">
        <f t="shared" si="27"/>
        <v>2023</v>
      </c>
      <c r="B638" s="46">
        <f t="shared" si="28"/>
        <v>2</v>
      </c>
      <c r="C638" s="46">
        <f t="shared" si="29"/>
        <v>3</v>
      </c>
      <c r="E638" s="1" t="s">
        <v>1479</v>
      </c>
      <c r="F638" s="19" t="s">
        <v>1480</v>
      </c>
      <c r="G638" s="1" t="s">
        <v>9</v>
      </c>
      <c r="H638" s="1" t="s">
        <v>1249</v>
      </c>
      <c r="I638" s="2">
        <v>44938</v>
      </c>
      <c r="J638" s="3">
        <v>0.7055555555555556</v>
      </c>
      <c r="K638" s="1" t="s">
        <v>88</v>
      </c>
      <c r="L638" s="2">
        <v>44942</v>
      </c>
      <c r="M638" s="3">
        <v>0.4993055555555555</v>
      </c>
      <c r="N638" s="19" t="s">
        <v>1481</v>
      </c>
    </row>
    <row r="639" spans="1:14" ht="115.2" hidden="1" x14ac:dyDescent="0.3">
      <c r="A639" s="47">
        <f t="shared" si="27"/>
        <v>2023</v>
      </c>
      <c r="B639" s="46">
        <f t="shared" si="28"/>
        <v>3</v>
      </c>
      <c r="C639" s="46">
        <f t="shared" si="29"/>
        <v>3</v>
      </c>
      <c r="E639" s="1" t="s">
        <v>1483</v>
      </c>
      <c r="F639" s="19" t="s">
        <v>1484</v>
      </c>
      <c r="G639" s="1" t="s">
        <v>10</v>
      </c>
      <c r="H639" s="1" t="s">
        <v>1249</v>
      </c>
      <c r="I639" s="2">
        <v>44942</v>
      </c>
      <c r="J639" s="3">
        <v>0.39374999999999999</v>
      </c>
      <c r="K639" s="1" t="s">
        <v>88</v>
      </c>
      <c r="L639" s="2">
        <v>44942</v>
      </c>
      <c r="M639" s="3">
        <v>0.52569444444444446</v>
      </c>
      <c r="N639" s="19" t="s">
        <v>1482</v>
      </c>
    </row>
    <row r="640" spans="1:14" ht="72" hidden="1" x14ac:dyDescent="0.3">
      <c r="A640" s="47">
        <f t="shared" si="27"/>
        <v>2023</v>
      </c>
      <c r="B640" s="46">
        <f t="shared" si="28"/>
        <v>3</v>
      </c>
      <c r="C640" s="46">
        <f t="shared" si="29"/>
        <v>3</v>
      </c>
      <c r="E640" s="1" t="s">
        <v>1485</v>
      </c>
      <c r="F640" s="19" t="s">
        <v>1486</v>
      </c>
      <c r="G640" s="1" t="s">
        <v>10</v>
      </c>
      <c r="H640" s="1" t="s">
        <v>1249</v>
      </c>
      <c r="I640" s="2">
        <v>44942</v>
      </c>
      <c r="J640" s="3">
        <v>0.41180555555555554</v>
      </c>
      <c r="K640" s="1" t="s">
        <v>88</v>
      </c>
      <c r="L640" s="2">
        <v>44942</v>
      </c>
      <c r="M640" s="3">
        <v>0.6020833333333333</v>
      </c>
      <c r="N640" s="19" t="s">
        <v>1487</v>
      </c>
    </row>
    <row r="641" spans="1:14" ht="100.8" hidden="1" x14ac:dyDescent="0.3">
      <c r="A641" s="47">
        <f t="shared" si="27"/>
        <v>2023</v>
      </c>
      <c r="B641" s="46">
        <f t="shared" si="28"/>
        <v>3</v>
      </c>
      <c r="C641" s="46">
        <f t="shared" si="29"/>
        <v>3</v>
      </c>
      <c r="E641" s="1" t="s">
        <v>1488</v>
      </c>
      <c r="F641" s="19" t="s">
        <v>1489</v>
      </c>
      <c r="G641" s="1" t="s">
        <v>10</v>
      </c>
      <c r="H641" s="1" t="s">
        <v>1249</v>
      </c>
      <c r="I641" s="2">
        <v>44942</v>
      </c>
      <c r="J641" s="3">
        <v>0.39999999999999997</v>
      </c>
      <c r="K641" s="1" t="s">
        <v>88</v>
      </c>
      <c r="L641" s="2">
        <v>44946</v>
      </c>
      <c r="M641" s="3">
        <v>0.72777777777777775</v>
      </c>
      <c r="N641" s="19" t="s">
        <v>1778</v>
      </c>
    </row>
    <row r="642" spans="1:14" hidden="1" x14ac:dyDescent="0.3">
      <c r="A642" s="47">
        <f t="shared" si="27"/>
        <v>2023</v>
      </c>
      <c r="B642" s="46">
        <f t="shared" si="28"/>
        <v>3</v>
      </c>
      <c r="C642" s="46">
        <f t="shared" si="29"/>
        <v>3</v>
      </c>
      <c r="E642" s="1" t="s">
        <v>1490</v>
      </c>
      <c r="F642" s="19" t="s">
        <v>1492</v>
      </c>
      <c r="G642" s="1" t="s">
        <v>10</v>
      </c>
      <c r="H642" s="1" t="s">
        <v>1249</v>
      </c>
      <c r="I642" s="2">
        <v>44942</v>
      </c>
      <c r="J642" s="3">
        <v>0.50208333333333333</v>
      </c>
      <c r="K642" s="1" t="s">
        <v>88</v>
      </c>
      <c r="L642" s="2">
        <v>44947</v>
      </c>
      <c r="M642" s="3">
        <v>0.3347222222222222</v>
      </c>
      <c r="N642" s="19" t="s">
        <v>1491</v>
      </c>
    </row>
    <row r="643" spans="1:14" hidden="1" x14ac:dyDescent="0.3">
      <c r="A643" s="47">
        <f t="shared" ref="A643:A706" si="30">YEAR(L643)</f>
        <v>2023</v>
      </c>
      <c r="B643" s="46">
        <f t="shared" ref="B643:B706" si="31">WEEKNUM(I643)</f>
        <v>2</v>
      </c>
      <c r="C643" s="46">
        <f t="shared" ref="C643:C706" si="32">WEEKNUM(L643)</f>
        <v>3</v>
      </c>
      <c r="E643" s="1" t="s">
        <v>1496</v>
      </c>
      <c r="F643" s="19" t="s">
        <v>1495</v>
      </c>
      <c r="G643" s="1" t="s">
        <v>900</v>
      </c>
      <c r="H643" s="1" t="s">
        <v>1249</v>
      </c>
      <c r="I643" s="2">
        <v>44938</v>
      </c>
      <c r="J643" s="3">
        <v>0.70347222222222217</v>
      </c>
      <c r="K643" s="1" t="s">
        <v>88</v>
      </c>
      <c r="L643" s="2">
        <v>44947</v>
      </c>
      <c r="M643" s="3">
        <v>0.33819444444444446</v>
      </c>
      <c r="N643" s="19" t="s">
        <v>1494</v>
      </c>
    </row>
    <row r="644" spans="1:14" hidden="1" x14ac:dyDescent="0.3">
      <c r="A644" s="47">
        <f t="shared" si="30"/>
        <v>2023</v>
      </c>
      <c r="B644" s="46">
        <f t="shared" si="31"/>
        <v>3</v>
      </c>
      <c r="C644" s="46">
        <f t="shared" si="32"/>
        <v>3</v>
      </c>
      <c r="E644" s="1" t="s">
        <v>1493</v>
      </c>
      <c r="F644" s="19" t="s">
        <v>1495</v>
      </c>
      <c r="G644" s="1" t="s">
        <v>900</v>
      </c>
      <c r="H644" s="1" t="s">
        <v>1249</v>
      </c>
      <c r="I644" s="2">
        <v>44947</v>
      </c>
      <c r="J644" s="3">
        <v>0.51041666666666663</v>
      </c>
      <c r="K644" s="1" t="s">
        <v>88</v>
      </c>
      <c r="L644" s="2">
        <v>44947</v>
      </c>
      <c r="M644" s="3">
        <v>0.33680555555555558</v>
      </c>
      <c r="N644" s="19" t="s">
        <v>1494</v>
      </c>
    </row>
    <row r="645" spans="1:14" ht="244.8" hidden="1" x14ac:dyDescent="0.3">
      <c r="A645" s="47">
        <f t="shared" si="30"/>
        <v>2023</v>
      </c>
      <c r="B645" s="46">
        <f t="shared" si="31"/>
        <v>3</v>
      </c>
      <c r="C645" s="46">
        <f t="shared" si="32"/>
        <v>3</v>
      </c>
      <c r="E645" s="38" t="s">
        <v>1497</v>
      </c>
      <c r="F645" s="19" t="s">
        <v>1498</v>
      </c>
      <c r="G645" s="1" t="s">
        <v>900</v>
      </c>
      <c r="H645" s="1" t="s">
        <v>1249</v>
      </c>
      <c r="I645" s="2">
        <v>44943</v>
      </c>
      <c r="J645" s="3">
        <v>0.50624999999999998</v>
      </c>
      <c r="K645" s="1" t="s">
        <v>88</v>
      </c>
      <c r="L645" s="2">
        <v>44947</v>
      </c>
      <c r="M645" s="3">
        <v>0.7583333333333333</v>
      </c>
      <c r="N645" s="19" t="s">
        <v>1540</v>
      </c>
    </row>
    <row r="646" spans="1:14" ht="86.4" hidden="1" x14ac:dyDescent="0.3">
      <c r="A646" s="47">
        <f t="shared" si="30"/>
        <v>2023</v>
      </c>
      <c r="B646" s="46">
        <f t="shared" si="31"/>
        <v>3</v>
      </c>
      <c r="C646" s="46">
        <f t="shared" si="32"/>
        <v>3</v>
      </c>
      <c r="E646" s="1" t="s">
        <v>1499</v>
      </c>
      <c r="F646" s="19" t="s">
        <v>1500</v>
      </c>
      <c r="G646" s="1" t="s">
        <v>900</v>
      </c>
      <c r="H646" s="1" t="s">
        <v>1249</v>
      </c>
      <c r="I646" s="2">
        <v>44943</v>
      </c>
      <c r="J646" s="3">
        <v>0.5131944444444444</v>
      </c>
      <c r="K646" s="1" t="s">
        <v>88</v>
      </c>
      <c r="L646" s="2">
        <v>44947</v>
      </c>
      <c r="M646" s="3">
        <v>0.77777777777777779</v>
      </c>
      <c r="N646" s="19" t="s">
        <v>1501</v>
      </c>
    </row>
    <row r="647" spans="1:14" ht="43.2" hidden="1" x14ac:dyDescent="0.3">
      <c r="A647" s="47">
        <f t="shared" si="30"/>
        <v>2023</v>
      </c>
      <c r="B647" s="46">
        <f t="shared" si="31"/>
        <v>4</v>
      </c>
      <c r="C647" s="46">
        <f t="shared" si="32"/>
        <v>4</v>
      </c>
      <c r="E647" s="1" t="s">
        <v>1502</v>
      </c>
      <c r="F647" s="19" t="s">
        <v>1503</v>
      </c>
      <c r="G647" s="1" t="s">
        <v>10</v>
      </c>
      <c r="H647" s="1" t="s">
        <v>1249</v>
      </c>
      <c r="I647" s="2">
        <v>44949</v>
      </c>
      <c r="J647" s="3">
        <v>0.35000000000000003</v>
      </c>
      <c r="K647" s="1" t="s">
        <v>88</v>
      </c>
      <c r="L647" s="2">
        <v>44951</v>
      </c>
      <c r="M647" s="3">
        <v>0.34722222222222227</v>
      </c>
      <c r="N647" s="19" t="s">
        <v>506</v>
      </c>
    </row>
    <row r="648" spans="1:14" ht="110.25" hidden="1" customHeight="1" x14ac:dyDescent="0.3">
      <c r="A648" s="47">
        <f t="shared" si="30"/>
        <v>2023</v>
      </c>
      <c r="B648" s="46">
        <f t="shared" si="31"/>
        <v>3</v>
      </c>
      <c r="C648" s="46">
        <f t="shared" si="32"/>
        <v>4</v>
      </c>
      <c r="E648" s="1" t="s">
        <v>1504</v>
      </c>
      <c r="F648" s="19" t="s">
        <v>1505</v>
      </c>
      <c r="G648" s="1" t="s">
        <v>900</v>
      </c>
      <c r="H648" s="1" t="s">
        <v>1249</v>
      </c>
      <c r="I648" s="2">
        <v>44943</v>
      </c>
      <c r="J648" s="3">
        <v>0.62013888888888891</v>
      </c>
      <c r="K648" s="1" t="s">
        <v>88</v>
      </c>
      <c r="L648" s="2">
        <v>44951</v>
      </c>
      <c r="M648" s="3">
        <v>0.35347222222222219</v>
      </c>
      <c r="N648" s="19" t="s">
        <v>1506</v>
      </c>
    </row>
    <row r="649" spans="1:14" ht="100.8" hidden="1" x14ac:dyDescent="0.3">
      <c r="A649" s="47">
        <f t="shared" si="30"/>
        <v>2023</v>
      </c>
      <c r="B649" s="46">
        <f t="shared" si="31"/>
        <v>3</v>
      </c>
      <c r="C649" s="46">
        <f t="shared" si="32"/>
        <v>4</v>
      </c>
      <c r="E649" s="1" t="s">
        <v>1508</v>
      </c>
      <c r="F649" s="19" t="s">
        <v>1507</v>
      </c>
      <c r="G649" s="1" t="s">
        <v>900</v>
      </c>
      <c r="H649" s="1" t="s">
        <v>1249</v>
      </c>
      <c r="I649" s="2">
        <v>44943</v>
      </c>
      <c r="J649" s="3">
        <v>0.62847222222222221</v>
      </c>
      <c r="K649" s="1" t="s">
        <v>88</v>
      </c>
      <c r="L649" s="2">
        <v>44951</v>
      </c>
      <c r="M649" s="3">
        <v>0.35833333333333334</v>
      </c>
      <c r="N649" s="19" t="s">
        <v>1509</v>
      </c>
    </row>
    <row r="650" spans="1:14" ht="115.2" hidden="1" x14ac:dyDescent="0.3">
      <c r="A650" s="47">
        <f t="shared" si="30"/>
        <v>2023</v>
      </c>
      <c r="B650" s="46">
        <f t="shared" si="31"/>
        <v>3</v>
      </c>
      <c r="C650" s="46">
        <f t="shared" si="32"/>
        <v>4</v>
      </c>
      <c r="E650" s="1" t="s">
        <v>1511</v>
      </c>
      <c r="F650" s="19" t="s">
        <v>1512</v>
      </c>
      <c r="G650" s="1" t="s">
        <v>10</v>
      </c>
      <c r="H650" s="1" t="s">
        <v>1249</v>
      </c>
      <c r="I650" s="2">
        <v>44944</v>
      </c>
      <c r="J650" s="3">
        <v>0.52083333333333337</v>
      </c>
      <c r="K650" s="1" t="s">
        <v>88</v>
      </c>
      <c r="L650" s="2">
        <v>44951</v>
      </c>
      <c r="M650" s="3">
        <v>0.54236111111111118</v>
      </c>
      <c r="N650" s="19" t="s">
        <v>1513</v>
      </c>
    </row>
    <row r="651" spans="1:14" ht="115.2" hidden="1" x14ac:dyDescent="0.3">
      <c r="A651" s="47">
        <f t="shared" si="30"/>
        <v>2023</v>
      </c>
      <c r="B651" s="46">
        <f t="shared" si="31"/>
        <v>3</v>
      </c>
      <c r="C651" s="46">
        <f t="shared" si="32"/>
        <v>4</v>
      </c>
      <c r="E651" s="1" t="s">
        <v>1515</v>
      </c>
      <c r="F651" s="19" t="s">
        <v>1516</v>
      </c>
      <c r="G651" s="1" t="s">
        <v>10</v>
      </c>
      <c r="H651" s="1" t="s">
        <v>1249</v>
      </c>
      <c r="I651" s="2">
        <v>44944</v>
      </c>
      <c r="J651" s="3">
        <v>0.52500000000000002</v>
      </c>
      <c r="K651" s="1" t="s">
        <v>88</v>
      </c>
      <c r="L651" s="2">
        <v>44951</v>
      </c>
      <c r="M651" s="3">
        <v>0.73402777777777783</v>
      </c>
      <c r="N651" s="19" t="s">
        <v>1514</v>
      </c>
    </row>
    <row r="652" spans="1:14" ht="158.4" hidden="1" x14ac:dyDescent="0.3">
      <c r="A652" s="47">
        <f t="shared" si="30"/>
        <v>2023</v>
      </c>
      <c r="B652" s="46">
        <f t="shared" si="31"/>
        <v>3</v>
      </c>
      <c r="C652" s="46">
        <f t="shared" si="32"/>
        <v>4</v>
      </c>
      <c r="E652" s="1" t="s">
        <v>1517</v>
      </c>
      <c r="F652" s="19" t="s">
        <v>1519</v>
      </c>
      <c r="G652" s="1" t="s">
        <v>10</v>
      </c>
      <c r="H652" s="1" t="s">
        <v>1249</v>
      </c>
      <c r="I652" s="2">
        <v>44944</v>
      </c>
      <c r="J652" s="3">
        <v>0.52500000000000002</v>
      </c>
      <c r="K652" s="1" t="s">
        <v>88</v>
      </c>
      <c r="L652" s="2">
        <v>44951</v>
      </c>
      <c r="M652" s="3">
        <v>0.73611111111111116</v>
      </c>
      <c r="N652" s="19" t="s">
        <v>1518</v>
      </c>
    </row>
    <row r="653" spans="1:14" ht="100.8" hidden="1" x14ac:dyDescent="0.3">
      <c r="A653" s="47">
        <f t="shared" si="30"/>
        <v>2023</v>
      </c>
      <c r="B653" s="46">
        <f t="shared" si="31"/>
        <v>3</v>
      </c>
      <c r="C653" s="46">
        <f t="shared" si="32"/>
        <v>4</v>
      </c>
      <c r="E653" s="1" t="s">
        <v>1522</v>
      </c>
      <c r="F653" s="19" t="s">
        <v>1521</v>
      </c>
      <c r="G653" s="1" t="s">
        <v>10</v>
      </c>
      <c r="H653" s="1" t="s">
        <v>1249</v>
      </c>
      <c r="I653" s="2">
        <v>44944</v>
      </c>
      <c r="J653" s="3">
        <v>0.52500000000000002</v>
      </c>
      <c r="K653" s="1" t="s">
        <v>88</v>
      </c>
      <c r="L653" s="2">
        <v>44951</v>
      </c>
      <c r="M653" s="3">
        <v>0.73749999999999993</v>
      </c>
      <c r="N653" s="19" t="s">
        <v>1520</v>
      </c>
    </row>
    <row r="654" spans="1:14" ht="100.8" hidden="1" x14ac:dyDescent="0.3">
      <c r="A654" s="47">
        <f t="shared" si="30"/>
        <v>2023</v>
      </c>
      <c r="B654" s="46">
        <f t="shared" si="31"/>
        <v>3</v>
      </c>
      <c r="C654" s="46">
        <f t="shared" si="32"/>
        <v>4</v>
      </c>
      <c r="E654" s="1" t="s">
        <v>1523</v>
      </c>
      <c r="F654" s="19" t="s">
        <v>1524</v>
      </c>
      <c r="G654" s="1" t="s">
        <v>900</v>
      </c>
      <c r="H654" s="1" t="s">
        <v>1249</v>
      </c>
      <c r="I654" s="2">
        <v>44945</v>
      </c>
      <c r="J654" s="3">
        <v>0.50694444444444442</v>
      </c>
      <c r="K654" s="1" t="s">
        <v>88</v>
      </c>
      <c r="L654" s="2">
        <v>44951</v>
      </c>
      <c r="M654" s="3">
        <v>0.74305555555555547</v>
      </c>
      <c r="N654" s="19" t="s">
        <v>1525</v>
      </c>
    </row>
    <row r="655" spans="1:14" ht="57.6" hidden="1" x14ac:dyDescent="0.3">
      <c r="A655" s="47">
        <f t="shared" si="30"/>
        <v>2023</v>
      </c>
      <c r="B655" s="46">
        <f t="shared" si="31"/>
        <v>3</v>
      </c>
      <c r="C655" s="46">
        <f t="shared" si="32"/>
        <v>4</v>
      </c>
      <c r="E655" s="1" t="s">
        <v>1527</v>
      </c>
      <c r="F655" s="19" t="s">
        <v>1528</v>
      </c>
      <c r="G655" s="1" t="s">
        <v>900</v>
      </c>
      <c r="H655" s="1" t="s">
        <v>1249</v>
      </c>
      <c r="I655" s="2">
        <v>44945</v>
      </c>
      <c r="J655" s="3">
        <v>0.56805555555555554</v>
      </c>
      <c r="K655" s="1" t="s">
        <v>88</v>
      </c>
      <c r="L655" s="2">
        <v>44951</v>
      </c>
      <c r="M655" s="3">
        <v>0.74583333333333324</v>
      </c>
      <c r="N655" s="19" t="s">
        <v>1526</v>
      </c>
    </row>
    <row r="656" spans="1:14" ht="100.8" hidden="1" x14ac:dyDescent="0.3">
      <c r="A656" s="47">
        <f t="shared" si="30"/>
        <v>2023</v>
      </c>
      <c r="B656" s="46">
        <f t="shared" si="31"/>
        <v>3</v>
      </c>
      <c r="C656" s="46">
        <f t="shared" si="32"/>
        <v>4</v>
      </c>
      <c r="E656" s="1" t="s">
        <v>1529</v>
      </c>
      <c r="F656" s="19" t="s">
        <v>1528</v>
      </c>
      <c r="G656" s="1" t="s">
        <v>900</v>
      </c>
      <c r="H656" s="1" t="s">
        <v>1249</v>
      </c>
      <c r="I656" s="2">
        <v>44945</v>
      </c>
      <c r="J656" s="3">
        <v>0.57222222222222219</v>
      </c>
      <c r="K656" s="1" t="s">
        <v>88</v>
      </c>
      <c r="L656" s="2">
        <v>44951</v>
      </c>
      <c r="M656" s="3">
        <v>0.74652777777777779</v>
      </c>
      <c r="N656" s="19" t="s">
        <v>1530</v>
      </c>
    </row>
    <row r="657" spans="1:14" ht="72" hidden="1" x14ac:dyDescent="0.3">
      <c r="A657" s="47">
        <f t="shared" si="30"/>
        <v>2023</v>
      </c>
      <c r="B657" s="46">
        <f t="shared" si="31"/>
        <v>3</v>
      </c>
      <c r="C657" s="46">
        <f t="shared" si="32"/>
        <v>4</v>
      </c>
      <c r="E657" s="1" t="s">
        <v>1531</v>
      </c>
      <c r="F657" s="19" t="s">
        <v>1528</v>
      </c>
      <c r="G657" s="1" t="s">
        <v>900</v>
      </c>
      <c r="H657" s="1" t="s">
        <v>1249</v>
      </c>
      <c r="I657" s="2">
        <v>44945</v>
      </c>
      <c r="J657" s="3">
        <v>0.62777777777777777</v>
      </c>
      <c r="K657" s="1" t="s">
        <v>88</v>
      </c>
      <c r="L657" s="2">
        <v>44951</v>
      </c>
      <c r="M657" s="3">
        <v>0.7631944444444444</v>
      </c>
      <c r="N657" s="19" t="s">
        <v>1532</v>
      </c>
    </row>
    <row r="658" spans="1:14" ht="72" hidden="1" x14ac:dyDescent="0.3">
      <c r="A658" s="47">
        <f t="shared" si="30"/>
        <v>2023</v>
      </c>
      <c r="B658" s="46">
        <f t="shared" si="31"/>
        <v>3</v>
      </c>
      <c r="C658" s="46">
        <f t="shared" si="32"/>
        <v>4</v>
      </c>
      <c r="E658" s="1" t="s">
        <v>1534</v>
      </c>
      <c r="F658" s="19" t="s">
        <v>1528</v>
      </c>
      <c r="G658" s="1" t="s">
        <v>900</v>
      </c>
      <c r="H658" s="1" t="s">
        <v>1249</v>
      </c>
      <c r="I658" s="2">
        <v>44943</v>
      </c>
      <c r="J658" s="3">
        <v>0.61597222222222225</v>
      </c>
      <c r="K658" s="1" t="s">
        <v>88</v>
      </c>
      <c r="L658" s="2">
        <v>44952</v>
      </c>
      <c r="M658" s="3">
        <v>0.62152777777777779</v>
      </c>
      <c r="N658" s="19" t="s">
        <v>1533</v>
      </c>
    </row>
    <row r="659" spans="1:14" ht="100.8" hidden="1" x14ac:dyDescent="0.3">
      <c r="A659" s="47">
        <f t="shared" si="30"/>
        <v>2023</v>
      </c>
      <c r="B659" s="46">
        <f t="shared" si="31"/>
        <v>4</v>
      </c>
      <c r="C659" s="46">
        <f t="shared" si="32"/>
        <v>4</v>
      </c>
      <c r="E659" s="1" t="s">
        <v>1535</v>
      </c>
      <c r="F659" s="19" t="s">
        <v>1536</v>
      </c>
      <c r="G659" s="1" t="s">
        <v>10</v>
      </c>
      <c r="H659" s="1" t="s">
        <v>1249</v>
      </c>
      <c r="I659" s="2">
        <v>44949</v>
      </c>
      <c r="J659" s="3">
        <v>0.36944444444444446</v>
      </c>
      <c r="K659" s="1" t="s">
        <v>88</v>
      </c>
      <c r="L659" s="2">
        <v>44952</v>
      </c>
      <c r="M659" s="3">
        <v>0.63958333333333328</v>
      </c>
      <c r="N659" s="19" t="s">
        <v>1537</v>
      </c>
    </row>
    <row r="660" spans="1:14" ht="72" hidden="1" x14ac:dyDescent="0.3">
      <c r="A660" s="47">
        <f t="shared" si="30"/>
        <v>2023</v>
      </c>
      <c r="B660" s="46">
        <f t="shared" si="31"/>
        <v>4</v>
      </c>
      <c r="C660" s="46">
        <f t="shared" si="32"/>
        <v>4</v>
      </c>
      <c r="E660" s="1" t="s">
        <v>1539</v>
      </c>
      <c r="F660" s="19" t="s">
        <v>1538</v>
      </c>
      <c r="G660" s="1" t="s">
        <v>10</v>
      </c>
      <c r="H660" s="1" t="s">
        <v>1249</v>
      </c>
      <c r="I660" s="2">
        <v>44949</v>
      </c>
      <c r="J660" s="3">
        <v>0.38125000000000003</v>
      </c>
      <c r="K660" s="1" t="s">
        <v>88</v>
      </c>
      <c r="L660" s="2">
        <v>44952</v>
      </c>
      <c r="M660" s="3">
        <v>0.65069444444444446</v>
      </c>
      <c r="N660" s="19" t="s">
        <v>1541</v>
      </c>
    </row>
    <row r="661" spans="1:14" ht="72" hidden="1" x14ac:dyDescent="0.3">
      <c r="A661" s="47">
        <f t="shared" si="30"/>
        <v>2023</v>
      </c>
      <c r="B661" s="46">
        <f t="shared" si="31"/>
        <v>4</v>
      </c>
      <c r="C661" s="46">
        <f t="shared" si="32"/>
        <v>4</v>
      </c>
      <c r="E661" s="1" t="s">
        <v>1542</v>
      </c>
      <c r="F661" s="19" t="s">
        <v>1543</v>
      </c>
      <c r="G661" s="1" t="s">
        <v>10</v>
      </c>
      <c r="H661" s="1" t="s">
        <v>1249</v>
      </c>
      <c r="I661" s="2">
        <v>44949</v>
      </c>
      <c r="J661" s="3">
        <v>0.35694444444444445</v>
      </c>
      <c r="K661" s="1" t="s">
        <v>88</v>
      </c>
      <c r="L661" s="2">
        <v>44953</v>
      </c>
      <c r="M661" s="3">
        <v>0.61875000000000002</v>
      </c>
      <c r="N661" s="19" t="s">
        <v>1544</v>
      </c>
    </row>
    <row r="662" spans="1:14" ht="144" hidden="1" x14ac:dyDescent="0.3">
      <c r="A662" s="47">
        <f t="shared" si="30"/>
        <v>2023</v>
      </c>
      <c r="B662" s="46">
        <f t="shared" si="31"/>
        <v>4</v>
      </c>
      <c r="C662" s="46">
        <f t="shared" si="32"/>
        <v>5</v>
      </c>
      <c r="E662" s="1" t="s">
        <v>1545</v>
      </c>
      <c r="F662" s="19" t="s">
        <v>1546</v>
      </c>
      <c r="G662" s="1" t="s">
        <v>10</v>
      </c>
      <c r="H662" s="1" t="s">
        <v>1249</v>
      </c>
      <c r="I662" s="2">
        <v>44950</v>
      </c>
      <c r="J662" s="3">
        <v>0.68125000000000002</v>
      </c>
      <c r="K662" s="1" t="s">
        <v>88</v>
      </c>
      <c r="L662" s="2">
        <v>44956</v>
      </c>
      <c r="M662" s="3">
        <v>0.59027777777777779</v>
      </c>
      <c r="N662" s="19" t="s">
        <v>1547</v>
      </c>
    </row>
    <row r="663" spans="1:14" ht="72" hidden="1" x14ac:dyDescent="0.3">
      <c r="A663" s="47">
        <f t="shared" si="30"/>
        <v>2023</v>
      </c>
      <c r="B663" s="46">
        <f t="shared" si="31"/>
        <v>4</v>
      </c>
      <c r="C663" s="46">
        <f t="shared" si="32"/>
        <v>5</v>
      </c>
      <c r="E663" s="1" t="s">
        <v>1548</v>
      </c>
      <c r="F663" s="19" t="s">
        <v>1549</v>
      </c>
      <c r="G663" s="1" t="s">
        <v>900</v>
      </c>
      <c r="H663" s="1" t="s">
        <v>1249</v>
      </c>
      <c r="I663" s="2">
        <v>44950</v>
      </c>
      <c r="J663" s="3">
        <v>0.71250000000000002</v>
      </c>
      <c r="K663" s="1" t="s">
        <v>88</v>
      </c>
      <c r="L663" s="2">
        <v>44956</v>
      </c>
      <c r="M663" s="3">
        <v>0.61249999999999993</v>
      </c>
      <c r="N663" s="19" t="s">
        <v>1550</v>
      </c>
    </row>
    <row r="664" spans="1:14" ht="100.8" hidden="1" x14ac:dyDescent="0.3">
      <c r="A664" s="47">
        <f t="shared" si="30"/>
        <v>2023</v>
      </c>
      <c r="B664" s="46">
        <f t="shared" si="31"/>
        <v>4</v>
      </c>
      <c r="C664" s="46">
        <f t="shared" si="32"/>
        <v>5</v>
      </c>
      <c r="E664" s="1" t="s">
        <v>1552</v>
      </c>
      <c r="F664" s="19" t="s">
        <v>1553</v>
      </c>
      <c r="G664" s="1" t="s">
        <v>900</v>
      </c>
      <c r="H664" s="1" t="s">
        <v>1249</v>
      </c>
      <c r="I664" s="2">
        <v>44950</v>
      </c>
      <c r="J664" s="3">
        <v>0.69652777777777775</v>
      </c>
      <c r="K664" s="1" t="s">
        <v>88</v>
      </c>
      <c r="L664" s="2">
        <v>44956</v>
      </c>
      <c r="M664" s="3">
        <v>0.62152777777777779</v>
      </c>
      <c r="N664" s="19" t="s">
        <v>1551</v>
      </c>
    </row>
    <row r="665" spans="1:14" ht="71.25" hidden="1" customHeight="1" x14ac:dyDescent="0.3">
      <c r="A665" s="47">
        <f t="shared" si="30"/>
        <v>2023</v>
      </c>
      <c r="B665" s="46">
        <f t="shared" si="31"/>
        <v>4</v>
      </c>
      <c r="C665" s="46">
        <f t="shared" si="32"/>
        <v>5</v>
      </c>
      <c r="E665" s="1" t="s">
        <v>1554</v>
      </c>
      <c r="F665" s="19" t="s">
        <v>1555</v>
      </c>
      <c r="G665" s="1" t="s">
        <v>900</v>
      </c>
      <c r="H665" s="1" t="s">
        <v>1249</v>
      </c>
      <c r="I665" s="2">
        <v>44951</v>
      </c>
      <c r="J665" s="3">
        <v>0.71388888888888891</v>
      </c>
      <c r="K665" s="1" t="s">
        <v>88</v>
      </c>
      <c r="L665" s="2">
        <v>44956</v>
      </c>
      <c r="M665" s="3">
        <v>0.64027777777777783</v>
      </c>
      <c r="N665" s="19" t="s">
        <v>1556</v>
      </c>
    </row>
    <row r="666" spans="1:14" ht="57.6" hidden="1" x14ac:dyDescent="0.3">
      <c r="A666" s="47">
        <f t="shared" si="30"/>
        <v>2023</v>
      </c>
      <c r="B666" s="46">
        <f t="shared" si="31"/>
        <v>4</v>
      </c>
      <c r="C666" s="46">
        <f t="shared" si="32"/>
        <v>5</v>
      </c>
      <c r="E666" s="1" t="s">
        <v>1557</v>
      </c>
      <c r="F666" s="19" t="s">
        <v>1558</v>
      </c>
      <c r="G666" s="1" t="s">
        <v>900</v>
      </c>
      <c r="H666" s="1" t="s">
        <v>1249</v>
      </c>
      <c r="I666" s="2">
        <v>44951</v>
      </c>
      <c r="J666" s="3">
        <v>0.63055555555555554</v>
      </c>
      <c r="K666" s="1" t="s">
        <v>88</v>
      </c>
      <c r="L666" s="2">
        <v>44956</v>
      </c>
      <c r="M666" s="3">
        <v>0.66805555555555562</v>
      </c>
      <c r="N666" s="19" t="s">
        <v>1559</v>
      </c>
    </row>
    <row r="667" spans="1:14" ht="72" hidden="1" x14ac:dyDescent="0.3">
      <c r="A667" s="47">
        <f t="shared" si="30"/>
        <v>2023</v>
      </c>
      <c r="B667" s="46">
        <f t="shared" si="31"/>
        <v>4</v>
      </c>
      <c r="C667" s="46">
        <f t="shared" si="32"/>
        <v>5</v>
      </c>
      <c r="E667" s="1" t="s">
        <v>1560</v>
      </c>
      <c r="F667" s="19" t="s">
        <v>1561</v>
      </c>
      <c r="G667" s="1" t="s">
        <v>900</v>
      </c>
      <c r="H667" s="1" t="s">
        <v>1249</v>
      </c>
      <c r="I667" s="2">
        <v>44951</v>
      </c>
      <c r="J667" s="3">
        <v>0.70694444444444438</v>
      </c>
      <c r="K667" s="1" t="s">
        <v>88</v>
      </c>
      <c r="L667" s="2">
        <v>44956</v>
      </c>
      <c r="M667" s="3">
        <v>0.67222222222222217</v>
      </c>
      <c r="N667" s="19" t="s">
        <v>1562</v>
      </c>
    </row>
    <row r="668" spans="1:14" ht="86.4" hidden="1" x14ac:dyDescent="0.3">
      <c r="A668" s="47">
        <f t="shared" si="30"/>
        <v>2023</v>
      </c>
      <c r="B668" s="46">
        <f t="shared" si="31"/>
        <v>4</v>
      </c>
      <c r="C668" s="46">
        <f t="shared" si="32"/>
        <v>5</v>
      </c>
      <c r="E668" s="1" t="s">
        <v>1563</v>
      </c>
      <c r="F668" s="19" t="s">
        <v>1564</v>
      </c>
      <c r="G668" s="1" t="s">
        <v>900</v>
      </c>
      <c r="H668" s="1" t="s">
        <v>1249</v>
      </c>
      <c r="I668" s="2">
        <v>44951</v>
      </c>
      <c r="J668" s="3">
        <v>0.21041666666666667</v>
      </c>
      <c r="K668" s="1" t="s">
        <v>88</v>
      </c>
      <c r="L668" s="2">
        <v>44956</v>
      </c>
      <c r="M668" s="3">
        <v>0.68263888888888891</v>
      </c>
      <c r="N668" s="19" t="s">
        <v>1565</v>
      </c>
    </row>
    <row r="669" spans="1:14" ht="72" hidden="1" x14ac:dyDescent="0.3">
      <c r="A669" s="47">
        <f t="shared" si="30"/>
        <v>2023</v>
      </c>
      <c r="B669" s="46">
        <f t="shared" si="31"/>
        <v>4</v>
      </c>
      <c r="C669" s="46">
        <f t="shared" si="32"/>
        <v>5</v>
      </c>
      <c r="E669" s="1" t="s">
        <v>1566</v>
      </c>
      <c r="F669" s="19" t="s">
        <v>1567</v>
      </c>
      <c r="G669" s="1" t="s">
        <v>900</v>
      </c>
      <c r="H669" s="1" t="s">
        <v>1249</v>
      </c>
      <c r="I669" s="2">
        <v>44952</v>
      </c>
      <c r="J669" s="3">
        <v>0.6166666666666667</v>
      </c>
      <c r="K669" s="1" t="s">
        <v>88</v>
      </c>
      <c r="L669" s="2">
        <v>44956</v>
      </c>
      <c r="M669" s="3">
        <v>0.69166666666666676</v>
      </c>
      <c r="N669" s="19" t="s">
        <v>1568</v>
      </c>
    </row>
    <row r="670" spans="1:14" ht="86.4" hidden="1" x14ac:dyDescent="0.3">
      <c r="A670" s="47">
        <f t="shared" si="30"/>
        <v>2023</v>
      </c>
      <c r="B670" s="46">
        <f t="shared" si="31"/>
        <v>4</v>
      </c>
      <c r="C670" s="46">
        <f t="shared" si="32"/>
        <v>5</v>
      </c>
      <c r="E670" s="1" t="s">
        <v>1571</v>
      </c>
      <c r="F670" s="19" t="s">
        <v>1570</v>
      </c>
      <c r="G670" s="1" t="s">
        <v>900</v>
      </c>
      <c r="H670" s="1" t="s">
        <v>1249</v>
      </c>
      <c r="I670" s="2">
        <v>44952</v>
      </c>
      <c r="J670" s="3">
        <v>0.61388888888888882</v>
      </c>
      <c r="K670" s="1" t="s">
        <v>88</v>
      </c>
      <c r="L670" s="2">
        <v>44956</v>
      </c>
      <c r="M670" s="3">
        <v>0.71944444444444444</v>
      </c>
      <c r="N670" s="19" t="s">
        <v>1569</v>
      </c>
    </row>
    <row r="671" spans="1:14" ht="28.8" hidden="1" x14ac:dyDescent="0.3">
      <c r="A671" s="47">
        <f t="shared" si="30"/>
        <v>2023</v>
      </c>
      <c r="B671" s="46">
        <f t="shared" si="31"/>
        <v>5</v>
      </c>
      <c r="C671" s="46">
        <f t="shared" si="32"/>
        <v>5</v>
      </c>
      <c r="E671" s="1" t="s">
        <v>1572</v>
      </c>
      <c r="F671" s="19" t="s">
        <v>1573</v>
      </c>
      <c r="G671" s="1" t="s">
        <v>900</v>
      </c>
      <c r="H671" s="1" t="s">
        <v>1249</v>
      </c>
      <c r="I671" s="2">
        <v>44957</v>
      </c>
      <c r="J671" s="3">
        <v>0.49513888888888885</v>
      </c>
      <c r="K671" s="1" t="s">
        <v>73</v>
      </c>
      <c r="L671" s="2">
        <v>44957</v>
      </c>
      <c r="M671" s="3">
        <v>0.67499999999999993</v>
      </c>
      <c r="N671" s="19" t="s">
        <v>1574</v>
      </c>
    </row>
    <row r="672" spans="1:14" ht="388.8" hidden="1" x14ac:dyDescent="0.3">
      <c r="A672" s="47">
        <f t="shared" si="30"/>
        <v>2023</v>
      </c>
      <c r="B672" s="46">
        <f t="shared" si="31"/>
        <v>4</v>
      </c>
      <c r="C672" s="46">
        <f t="shared" si="32"/>
        <v>10</v>
      </c>
      <c r="E672" s="1" t="s">
        <v>1575</v>
      </c>
      <c r="F672" s="19" t="s">
        <v>1578</v>
      </c>
      <c r="G672" s="1" t="s">
        <v>900</v>
      </c>
      <c r="H672" s="1" t="s">
        <v>1249</v>
      </c>
      <c r="I672" s="2">
        <v>44953</v>
      </c>
      <c r="J672" s="3">
        <v>0.34236111111111112</v>
      </c>
      <c r="K672" s="1" t="s">
        <v>73</v>
      </c>
      <c r="L672" s="34">
        <v>44991</v>
      </c>
      <c r="M672" s="28" t="s">
        <v>1752</v>
      </c>
      <c r="N672" s="19" t="s">
        <v>1751</v>
      </c>
    </row>
    <row r="673" spans="1:14" ht="100.8" hidden="1" x14ac:dyDescent="0.3">
      <c r="A673" s="47">
        <f t="shared" si="30"/>
        <v>2023</v>
      </c>
      <c r="B673" s="46">
        <f t="shared" si="31"/>
        <v>4</v>
      </c>
      <c r="C673" s="46">
        <f t="shared" si="32"/>
        <v>5</v>
      </c>
      <c r="E673" s="1" t="s">
        <v>1576</v>
      </c>
      <c r="F673" s="19" t="s">
        <v>1577</v>
      </c>
      <c r="G673" s="1" t="s">
        <v>900</v>
      </c>
      <c r="H673" s="1" t="s">
        <v>1249</v>
      </c>
      <c r="I673" s="2">
        <v>44952</v>
      </c>
      <c r="J673" s="3">
        <v>0.71805555555555556</v>
      </c>
      <c r="K673" s="1" t="s">
        <v>73</v>
      </c>
      <c r="L673" s="2">
        <v>44960</v>
      </c>
      <c r="M673" s="3">
        <v>0.67152777777777783</v>
      </c>
      <c r="N673" s="19" t="s">
        <v>1582</v>
      </c>
    </row>
    <row r="674" spans="1:14" ht="57.6" hidden="1" x14ac:dyDescent="0.3">
      <c r="A674" s="47">
        <f t="shared" si="30"/>
        <v>2023</v>
      </c>
      <c r="B674" s="46">
        <f t="shared" si="31"/>
        <v>3</v>
      </c>
      <c r="C674" s="46">
        <f t="shared" si="32"/>
        <v>5</v>
      </c>
      <c r="E674" s="1" t="s">
        <v>1579</v>
      </c>
      <c r="F674" s="19" t="s">
        <v>1580</v>
      </c>
      <c r="G674" s="1" t="s">
        <v>900</v>
      </c>
      <c r="H674" s="1" t="s">
        <v>1249</v>
      </c>
      <c r="I674" s="2">
        <v>44944</v>
      </c>
      <c r="J674" s="3">
        <v>0.54305555555555551</v>
      </c>
      <c r="K674" s="1" t="s">
        <v>73</v>
      </c>
      <c r="L674" s="2">
        <v>44960</v>
      </c>
      <c r="M674" s="3">
        <v>0.63611111111111118</v>
      </c>
      <c r="N674" s="19" t="s">
        <v>1581</v>
      </c>
    </row>
    <row r="675" spans="1:14" ht="43.2" hidden="1" x14ac:dyDescent="0.3">
      <c r="A675" s="47">
        <f t="shared" si="30"/>
        <v>2023</v>
      </c>
      <c r="B675" s="46">
        <f t="shared" si="31"/>
        <v>4</v>
      </c>
      <c r="C675" s="46">
        <f t="shared" si="32"/>
        <v>5</v>
      </c>
      <c r="E675" s="1" t="s">
        <v>1583</v>
      </c>
      <c r="F675" s="19" t="s">
        <v>1584</v>
      </c>
      <c r="G675" s="1" t="s">
        <v>900</v>
      </c>
      <c r="H675" s="1" t="s">
        <v>1249</v>
      </c>
      <c r="I675" s="2">
        <v>44953</v>
      </c>
      <c r="J675" s="3">
        <v>0.45833333333333331</v>
      </c>
      <c r="K675" s="1" t="s">
        <v>73</v>
      </c>
      <c r="L675" s="2">
        <v>44960</v>
      </c>
      <c r="M675" s="1" t="s">
        <v>1586</v>
      </c>
      <c r="N675" s="19" t="s">
        <v>1585</v>
      </c>
    </row>
    <row r="676" spans="1:14" ht="144" hidden="1" x14ac:dyDescent="0.3">
      <c r="A676" s="47">
        <f t="shared" si="30"/>
        <v>2023</v>
      </c>
      <c r="B676" s="46">
        <f t="shared" si="31"/>
        <v>4</v>
      </c>
      <c r="C676" s="46">
        <f t="shared" si="32"/>
        <v>5</v>
      </c>
      <c r="E676" s="1" t="s">
        <v>1587</v>
      </c>
      <c r="F676" s="19" t="s">
        <v>1588</v>
      </c>
      <c r="G676" s="1" t="s">
        <v>900</v>
      </c>
      <c r="H676" s="1" t="s">
        <v>1249</v>
      </c>
      <c r="I676" s="2">
        <v>44953</v>
      </c>
      <c r="J676" s="3">
        <v>0.49722222222222223</v>
      </c>
      <c r="K676" s="1" t="s">
        <v>73</v>
      </c>
      <c r="L676" s="2">
        <v>44960</v>
      </c>
      <c r="M676" s="3">
        <v>0.69930555555555562</v>
      </c>
      <c r="N676" s="19" t="s">
        <v>1662</v>
      </c>
    </row>
    <row r="677" spans="1:14" hidden="1" x14ac:dyDescent="0.3">
      <c r="A677" s="47">
        <f t="shared" si="30"/>
        <v>2023</v>
      </c>
      <c r="B677" s="46">
        <f t="shared" si="31"/>
        <v>4</v>
      </c>
      <c r="C677" s="46">
        <f t="shared" si="32"/>
        <v>5</v>
      </c>
      <c r="E677" s="1" t="s">
        <v>1589</v>
      </c>
      <c r="F677" s="19" t="s">
        <v>1590</v>
      </c>
      <c r="G677" s="1" t="s">
        <v>900</v>
      </c>
      <c r="H677" s="1" t="s">
        <v>1249</v>
      </c>
      <c r="I677" s="2">
        <v>44953</v>
      </c>
      <c r="J677" s="3" t="s">
        <v>1591</v>
      </c>
      <c r="K677" s="1" t="s">
        <v>73</v>
      </c>
      <c r="L677" s="2">
        <v>44960</v>
      </c>
      <c r="M677" s="3">
        <v>0.70138888888888884</v>
      </c>
      <c r="N677" s="19" t="s">
        <v>955</v>
      </c>
    </row>
    <row r="678" spans="1:14" hidden="1" x14ac:dyDescent="0.3">
      <c r="A678" s="47">
        <f t="shared" si="30"/>
        <v>2023</v>
      </c>
      <c r="B678" s="46">
        <f t="shared" si="31"/>
        <v>5</v>
      </c>
      <c r="C678" s="46">
        <f t="shared" si="32"/>
        <v>5</v>
      </c>
      <c r="E678" s="1" t="s">
        <v>1592</v>
      </c>
      <c r="F678" s="19" t="s">
        <v>1593</v>
      </c>
      <c r="G678" s="1" t="s">
        <v>900</v>
      </c>
      <c r="H678" s="1" t="s">
        <v>1249</v>
      </c>
      <c r="I678" s="2">
        <v>44956</v>
      </c>
      <c r="J678" s="3">
        <v>0.51458333333333328</v>
      </c>
      <c r="K678" s="1" t="s">
        <v>73</v>
      </c>
      <c r="L678" s="2">
        <v>44960</v>
      </c>
      <c r="M678" s="3">
        <v>0.70347222222222217</v>
      </c>
      <c r="N678" s="19" t="s">
        <v>955</v>
      </c>
    </row>
    <row r="679" spans="1:14" hidden="1" x14ac:dyDescent="0.3">
      <c r="A679" s="47">
        <f t="shared" si="30"/>
        <v>2023</v>
      </c>
      <c r="B679" s="46">
        <f t="shared" si="31"/>
        <v>5</v>
      </c>
      <c r="C679" s="46">
        <f t="shared" si="32"/>
        <v>5</v>
      </c>
      <c r="E679" s="1" t="s">
        <v>1594</v>
      </c>
      <c r="F679" s="19" t="s">
        <v>1595</v>
      </c>
      <c r="G679" s="1" t="s">
        <v>900</v>
      </c>
      <c r="H679" s="1" t="s">
        <v>1249</v>
      </c>
      <c r="I679" s="2">
        <v>44956</v>
      </c>
      <c r="J679" s="3">
        <v>0.51597222222222217</v>
      </c>
      <c r="K679" s="1" t="s">
        <v>73</v>
      </c>
      <c r="L679" s="2">
        <v>44960</v>
      </c>
      <c r="M679" s="3">
        <v>0.70486111111111116</v>
      </c>
      <c r="N679" s="19" t="s">
        <v>955</v>
      </c>
    </row>
    <row r="680" spans="1:14" hidden="1" x14ac:dyDescent="0.3">
      <c r="A680" s="47">
        <f t="shared" si="30"/>
        <v>2023</v>
      </c>
      <c r="B680" s="46">
        <f t="shared" si="31"/>
        <v>5</v>
      </c>
      <c r="C680" s="46">
        <f t="shared" si="32"/>
        <v>5</v>
      </c>
      <c r="E680" s="1" t="s">
        <v>1596</v>
      </c>
      <c r="F680" s="19" t="s">
        <v>1597</v>
      </c>
      <c r="G680" s="1" t="s">
        <v>900</v>
      </c>
      <c r="H680" s="1" t="s">
        <v>1249</v>
      </c>
      <c r="I680" s="2">
        <v>44956</v>
      </c>
      <c r="J680" s="3">
        <v>0.51736111111111105</v>
      </c>
      <c r="K680" s="1" t="s">
        <v>73</v>
      </c>
      <c r="L680" s="2">
        <v>44960</v>
      </c>
      <c r="M680" s="3">
        <v>0.70624999999999993</v>
      </c>
      <c r="N680" s="19" t="s">
        <v>955</v>
      </c>
    </row>
    <row r="681" spans="1:14" hidden="1" x14ac:dyDescent="0.3">
      <c r="A681" s="47">
        <f t="shared" si="30"/>
        <v>2023</v>
      </c>
      <c r="B681" s="46">
        <f t="shared" si="31"/>
        <v>5</v>
      </c>
      <c r="C681" s="46">
        <f t="shared" si="32"/>
        <v>5</v>
      </c>
      <c r="E681" s="1" t="s">
        <v>1598</v>
      </c>
      <c r="F681" s="19" t="s">
        <v>1597</v>
      </c>
      <c r="G681" s="1" t="s">
        <v>900</v>
      </c>
      <c r="H681" s="1" t="s">
        <v>1249</v>
      </c>
      <c r="I681" s="2">
        <v>44956</v>
      </c>
      <c r="J681" s="3">
        <v>0.5180555555555556</v>
      </c>
      <c r="K681" s="1" t="s">
        <v>73</v>
      </c>
      <c r="L681" s="2">
        <v>44960</v>
      </c>
      <c r="M681" s="3">
        <v>0.70763888888888893</v>
      </c>
      <c r="N681" s="19" t="s">
        <v>955</v>
      </c>
    </row>
    <row r="682" spans="1:14" ht="28.8" hidden="1" x14ac:dyDescent="0.3">
      <c r="A682" s="47">
        <f t="shared" si="30"/>
        <v>2023</v>
      </c>
      <c r="B682" s="46">
        <f t="shared" si="31"/>
        <v>5</v>
      </c>
      <c r="C682" s="46">
        <f t="shared" si="32"/>
        <v>6</v>
      </c>
      <c r="E682" s="1" t="s">
        <v>1599</v>
      </c>
      <c r="F682" s="19" t="s">
        <v>1600</v>
      </c>
      <c r="G682" s="1" t="s">
        <v>900</v>
      </c>
      <c r="H682" s="1" t="s">
        <v>1249</v>
      </c>
      <c r="I682" s="2">
        <v>44960</v>
      </c>
      <c r="J682" s="3">
        <v>0.50347222222222221</v>
      </c>
      <c r="K682" s="1" t="s">
        <v>73</v>
      </c>
      <c r="L682" s="2">
        <v>44964</v>
      </c>
      <c r="M682" s="3">
        <v>0.3298611111111111</v>
      </c>
      <c r="N682" s="19" t="s">
        <v>1601</v>
      </c>
    </row>
    <row r="683" spans="1:14" ht="28.8" hidden="1" x14ac:dyDescent="0.3">
      <c r="A683" s="47">
        <f t="shared" si="30"/>
        <v>2023</v>
      </c>
      <c r="B683" s="46">
        <f t="shared" si="31"/>
        <v>5</v>
      </c>
      <c r="C683" s="46">
        <f t="shared" si="32"/>
        <v>6</v>
      </c>
      <c r="E683" s="1" t="s">
        <v>1602</v>
      </c>
      <c r="F683" s="19" t="s">
        <v>1603</v>
      </c>
      <c r="G683" s="1" t="s">
        <v>900</v>
      </c>
      <c r="H683" s="1" t="s">
        <v>1249</v>
      </c>
      <c r="I683" s="2">
        <v>44960</v>
      </c>
      <c r="J683" s="3">
        <v>0.50763888888888886</v>
      </c>
      <c r="K683" s="1" t="s">
        <v>73</v>
      </c>
      <c r="L683" s="2">
        <v>44964</v>
      </c>
      <c r="M683" s="3">
        <v>0.3298611111111111</v>
      </c>
      <c r="N683" s="19" t="s">
        <v>1604</v>
      </c>
    </row>
    <row r="684" spans="1:14" ht="86.4" hidden="1" x14ac:dyDescent="0.3">
      <c r="A684" s="47">
        <f t="shared" si="30"/>
        <v>2023</v>
      </c>
      <c r="B684" s="46">
        <f t="shared" si="31"/>
        <v>5</v>
      </c>
      <c r="C684" s="46">
        <f t="shared" si="32"/>
        <v>6</v>
      </c>
      <c r="E684" s="1" t="s">
        <v>1605</v>
      </c>
      <c r="F684" s="19" t="s">
        <v>1606</v>
      </c>
      <c r="G684" s="1" t="s">
        <v>10</v>
      </c>
      <c r="H684" s="1" t="s">
        <v>1249</v>
      </c>
      <c r="I684" s="2">
        <v>44960</v>
      </c>
      <c r="J684" s="3">
        <v>0.68125000000000002</v>
      </c>
      <c r="K684" s="1" t="s">
        <v>88</v>
      </c>
      <c r="L684" s="2">
        <v>44964</v>
      </c>
      <c r="M684" s="3">
        <v>0.58958333333333335</v>
      </c>
      <c r="N684" s="19" t="s">
        <v>1607</v>
      </c>
    </row>
    <row r="685" spans="1:14" ht="65.25" hidden="1" customHeight="1" x14ac:dyDescent="0.3">
      <c r="A685" s="47">
        <f t="shared" si="30"/>
        <v>2023</v>
      </c>
      <c r="B685" s="46">
        <f t="shared" si="31"/>
        <v>5</v>
      </c>
      <c r="C685" s="46">
        <f t="shared" si="32"/>
        <v>6</v>
      </c>
      <c r="E685" s="1" t="s">
        <v>1608</v>
      </c>
      <c r="F685" s="19" t="s">
        <v>1609</v>
      </c>
      <c r="G685" s="1" t="s">
        <v>10</v>
      </c>
      <c r="H685" s="1" t="s">
        <v>1249</v>
      </c>
      <c r="I685" s="2">
        <v>44960</v>
      </c>
      <c r="J685" s="3">
        <v>0.34652777777777777</v>
      </c>
      <c r="K685" s="1" t="s">
        <v>88</v>
      </c>
      <c r="L685" s="2">
        <v>44964</v>
      </c>
      <c r="M685" s="3">
        <v>0.61805555555555558</v>
      </c>
      <c r="N685" s="19" t="s">
        <v>1610</v>
      </c>
    </row>
    <row r="686" spans="1:14" ht="28.8" hidden="1" x14ac:dyDescent="0.3">
      <c r="A686" s="47">
        <f t="shared" si="30"/>
        <v>2023</v>
      </c>
      <c r="B686" s="46">
        <f t="shared" si="31"/>
        <v>6</v>
      </c>
      <c r="C686" s="46">
        <f t="shared" si="32"/>
        <v>6</v>
      </c>
      <c r="E686" s="1" t="s">
        <v>1611</v>
      </c>
      <c r="F686" s="19" t="s">
        <v>1612</v>
      </c>
      <c r="G686" s="1" t="s">
        <v>900</v>
      </c>
      <c r="H686" s="1" t="s">
        <v>1249</v>
      </c>
      <c r="I686" s="2">
        <v>44964</v>
      </c>
      <c r="J686" s="3">
        <v>0.70694444444444438</v>
      </c>
      <c r="K686" s="1" t="s">
        <v>73</v>
      </c>
      <c r="L686" s="2">
        <v>44965</v>
      </c>
      <c r="M686" s="3">
        <v>0.26458333333333334</v>
      </c>
      <c r="N686" s="19" t="s">
        <v>1613</v>
      </c>
    </row>
    <row r="687" spans="1:14" ht="28.8" hidden="1" x14ac:dyDescent="0.3">
      <c r="A687" s="47">
        <f t="shared" si="30"/>
        <v>2023</v>
      </c>
      <c r="B687" s="46">
        <f t="shared" si="31"/>
        <v>6</v>
      </c>
      <c r="C687" s="46">
        <f t="shared" si="32"/>
        <v>6</v>
      </c>
      <c r="E687" s="1" t="s">
        <v>1614</v>
      </c>
      <c r="F687" s="19" t="s">
        <v>1615</v>
      </c>
      <c r="G687" s="1" t="s">
        <v>900</v>
      </c>
      <c r="H687" s="1" t="s">
        <v>1249</v>
      </c>
      <c r="I687" s="2">
        <v>44964</v>
      </c>
      <c r="J687" s="3">
        <v>0.70486111111111116</v>
      </c>
      <c r="K687" s="1" t="s">
        <v>73</v>
      </c>
      <c r="L687" s="2">
        <v>44965</v>
      </c>
      <c r="M687" s="3">
        <v>0.26666666666666666</v>
      </c>
      <c r="N687" s="19" t="s">
        <v>1616</v>
      </c>
    </row>
    <row r="688" spans="1:14" ht="302.39999999999998" hidden="1" x14ac:dyDescent="0.3">
      <c r="A688" s="47">
        <f t="shared" si="30"/>
        <v>2023</v>
      </c>
      <c r="B688" s="46">
        <f t="shared" si="31"/>
        <v>6</v>
      </c>
      <c r="C688" s="46">
        <f t="shared" si="32"/>
        <v>6</v>
      </c>
      <c r="E688" s="1" t="s">
        <v>1617</v>
      </c>
      <c r="F688" s="19" t="s">
        <v>1618</v>
      </c>
      <c r="G688" s="1" t="s">
        <v>900</v>
      </c>
      <c r="H688" s="1" t="s">
        <v>1249</v>
      </c>
      <c r="I688" s="2">
        <v>44963</v>
      </c>
      <c r="J688" s="3">
        <v>0.68680555555555556</v>
      </c>
      <c r="K688" s="1" t="s">
        <v>73</v>
      </c>
      <c r="L688" s="2">
        <v>44965</v>
      </c>
      <c r="M688" s="3">
        <v>0.69305555555555554</v>
      </c>
      <c r="N688" s="19" t="s">
        <v>1925</v>
      </c>
    </row>
    <row r="689" spans="1:14" ht="43.2" hidden="1" x14ac:dyDescent="0.3">
      <c r="A689" s="47">
        <f t="shared" si="30"/>
        <v>2023</v>
      </c>
      <c r="B689" s="46">
        <f t="shared" si="31"/>
        <v>6</v>
      </c>
      <c r="C689" s="46">
        <f t="shared" si="32"/>
        <v>6</v>
      </c>
      <c r="E689" s="1" t="s">
        <v>1619</v>
      </c>
      <c r="F689" s="19" t="s">
        <v>1620</v>
      </c>
      <c r="G689" s="1" t="s">
        <v>900</v>
      </c>
      <c r="H689" s="1" t="s">
        <v>1249</v>
      </c>
      <c r="I689" s="2">
        <v>44964</v>
      </c>
      <c r="J689" s="3">
        <v>0.61805555555555558</v>
      </c>
      <c r="K689" s="1" t="s">
        <v>73</v>
      </c>
      <c r="L689" s="2">
        <v>44966</v>
      </c>
      <c r="M689" s="3">
        <v>0.4513888888888889</v>
      </c>
      <c r="N689" s="19" t="s">
        <v>1623</v>
      </c>
    </row>
    <row r="690" spans="1:14" ht="43.2" hidden="1" x14ac:dyDescent="0.3">
      <c r="A690" s="47">
        <f t="shared" si="30"/>
        <v>2023</v>
      </c>
      <c r="B690" s="46">
        <f t="shared" si="31"/>
        <v>6</v>
      </c>
      <c r="C690" s="46">
        <f t="shared" si="32"/>
        <v>6</v>
      </c>
      <c r="E690" s="1" t="s">
        <v>1621</v>
      </c>
      <c r="F690" s="19" t="s">
        <v>1622</v>
      </c>
      <c r="G690" s="1" t="s">
        <v>900</v>
      </c>
      <c r="H690" s="1" t="s">
        <v>1249</v>
      </c>
      <c r="I690" s="2">
        <v>44964</v>
      </c>
      <c r="J690" s="3">
        <v>0.3833333333333333</v>
      </c>
      <c r="K690" s="1" t="s">
        <v>73</v>
      </c>
      <c r="L690" s="2">
        <v>44966</v>
      </c>
      <c r="M690" s="3">
        <v>0.46180555555555558</v>
      </c>
      <c r="N690" s="19" t="s">
        <v>1624</v>
      </c>
    </row>
    <row r="691" spans="1:14" ht="43.2" hidden="1" x14ac:dyDescent="0.3">
      <c r="A691" s="47">
        <f t="shared" si="30"/>
        <v>2023</v>
      </c>
      <c r="B691" s="46">
        <f t="shared" si="31"/>
        <v>6</v>
      </c>
      <c r="C691" s="46">
        <f t="shared" si="32"/>
        <v>6</v>
      </c>
      <c r="E691" s="1" t="s">
        <v>1625</v>
      </c>
      <c r="F691" s="19" t="s">
        <v>1626</v>
      </c>
      <c r="G691" s="1" t="s">
        <v>900</v>
      </c>
      <c r="H691" s="1" t="s">
        <v>1249</v>
      </c>
      <c r="I691" s="2">
        <v>44965</v>
      </c>
      <c r="J691" s="3">
        <v>0.38611111111111113</v>
      </c>
      <c r="K691" s="1" t="s">
        <v>73</v>
      </c>
      <c r="L691" s="2">
        <v>44966</v>
      </c>
      <c r="M691" s="3">
        <v>0.46527777777777773</v>
      </c>
      <c r="N691" s="19" t="s">
        <v>1627</v>
      </c>
    </row>
    <row r="692" spans="1:14" ht="57.6" hidden="1" x14ac:dyDescent="0.3">
      <c r="A692" s="47">
        <f t="shared" si="30"/>
        <v>2023</v>
      </c>
      <c r="B692" s="46">
        <f t="shared" si="31"/>
        <v>6</v>
      </c>
      <c r="C692" s="46">
        <f t="shared" si="32"/>
        <v>6</v>
      </c>
      <c r="E692" s="1" t="s">
        <v>1628</v>
      </c>
      <c r="F692" s="19" t="s">
        <v>1629</v>
      </c>
      <c r="G692" s="1" t="s">
        <v>900</v>
      </c>
      <c r="H692" s="1" t="s">
        <v>1249</v>
      </c>
      <c r="I692" s="2">
        <v>44965</v>
      </c>
      <c r="J692" s="3">
        <v>0.69374999999999998</v>
      </c>
      <c r="K692" s="1" t="s">
        <v>73</v>
      </c>
      <c r="L692" s="2">
        <v>44966</v>
      </c>
      <c r="M692" s="3">
        <v>0.49583333333333335</v>
      </c>
      <c r="N692" s="19" t="s">
        <v>1581</v>
      </c>
    </row>
    <row r="693" spans="1:14" hidden="1" x14ac:dyDescent="0.3">
      <c r="A693" s="47">
        <f t="shared" si="30"/>
        <v>2023</v>
      </c>
      <c r="B693" s="46">
        <f t="shared" si="31"/>
        <v>6</v>
      </c>
      <c r="C693" s="46">
        <f t="shared" si="32"/>
        <v>6</v>
      </c>
      <c r="E693" s="1" t="s">
        <v>1630</v>
      </c>
      <c r="F693" s="19" t="s">
        <v>1631</v>
      </c>
      <c r="G693" s="1" t="s">
        <v>900</v>
      </c>
      <c r="H693" s="1" t="s">
        <v>1249</v>
      </c>
      <c r="I693" s="2">
        <v>44965</v>
      </c>
      <c r="J693" s="3">
        <v>0.34027777777777773</v>
      </c>
      <c r="K693" s="1" t="s">
        <v>73</v>
      </c>
      <c r="L693" s="2">
        <v>44966</v>
      </c>
      <c r="N693" s="19" t="s">
        <v>1632</v>
      </c>
    </row>
    <row r="694" spans="1:14" ht="115.2" hidden="1" x14ac:dyDescent="0.3">
      <c r="A694" s="47">
        <f t="shared" si="30"/>
        <v>2023</v>
      </c>
      <c r="B694" s="46">
        <f t="shared" si="31"/>
        <v>9</v>
      </c>
      <c r="C694" s="46">
        <f t="shared" si="32"/>
        <v>5</v>
      </c>
      <c r="E694" s="1" t="s">
        <v>1633</v>
      </c>
      <c r="F694" s="19" t="s">
        <v>1634</v>
      </c>
      <c r="G694" s="1" t="s">
        <v>9</v>
      </c>
      <c r="H694" s="1" t="s">
        <v>1249</v>
      </c>
      <c r="I694" s="2">
        <v>44983</v>
      </c>
      <c r="J694" s="3">
        <v>0.72083333333333333</v>
      </c>
      <c r="K694" s="1" t="s">
        <v>88</v>
      </c>
      <c r="L694" s="2">
        <v>44958</v>
      </c>
      <c r="M694" s="3">
        <v>0.6875</v>
      </c>
      <c r="N694" s="19" t="s">
        <v>2579</v>
      </c>
    </row>
    <row r="695" spans="1:14" ht="100.8" hidden="1" x14ac:dyDescent="0.3">
      <c r="A695" s="47">
        <f t="shared" si="30"/>
        <v>2023</v>
      </c>
      <c r="B695" s="46">
        <f t="shared" si="31"/>
        <v>9</v>
      </c>
      <c r="C695" s="46">
        <f t="shared" si="32"/>
        <v>6</v>
      </c>
      <c r="E695" s="1" t="s">
        <v>1635</v>
      </c>
      <c r="F695" s="19" t="s">
        <v>1636</v>
      </c>
      <c r="G695" s="1" t="s">
        <v>9</v>
      </c>
      <c r="H695" s="1" t="s">
        <v>1249</v>
      </c>
      <c r="I695" s="2">
        <v>44984</v>
      </c>
      <c r="J695" s="3">
        <v>0.71875</v>
      </c>
      <c r="K695" s="1" t="s">
        <v>88</v>
      </c>
      <c r="L695" s="2">
        <v>44963</v>
      </c>
      <c r="M695" s="3">
        <v>0.72361111111111109</v>
      </c>
      <c r="N695" s="19" t="s">
        <v>1637</v>
      </c>
    </row>
    <row r="696" spans="1:14" ht="86.4" hidden="1" x14ac:dyDescent="0.3">
      <c r="A696" s="47">
        <f t="shared" si="30"/>
        <v>2023</v>
      </c>
      <c r="B696" s="46">
        <f t="shared" si="31"/>
        <v>5</v>
      </c>
      <c r="C696" s="46">
        <f t="shared" si="32"/>
        <v>6</v>
      </c>
      <c r="E696" s="1" t="s">
        <v>1608</v>
      </c>
      <c r="F696" s="19" t="s">
        <v>1609</v>
      </c>
      <c r="G696" s="1" t="s">
        <v>1638</v>
      </c>
      <c r="H696" s="1" t="s">
        <v>1249</v>
      </c>
      <c r="I696" s="2">
        <v>44960</v>
      </c>
      <c r="J696" s="3">
        <v>0.34652777777777777</v>
      </c>
      <c r="K696" s="1" t="s">
        <v>88</v>
      </c>
      <c r="L696" s="2">
        <v>44964</v>
      </c>
      <c r="M696" s="3">
        <v>0.61944444444444446</v>
      </c>
      <c r="N696" s="19" t="s">
        <v>1639</v>
      </c>
    </row>
    <row r="697" spans="1:14" ht="115.2" hidden="1" x14ac:dyDescent="0.3">
      <c r="A697" s="47">
        <f t="shared" si="30"/>
        <v>2023</v>
      </c>
      <c r="B697" s="46">
        <f t="shared" si="31"/>
        <v>5</v>
      </c>
      <c r="C697" s="46">
        <f t="shared" si="32"/>
        <v>6</v>
      </c>
      <c r="E697" s="1" t="s">
        <v>1605</v>
      </c>
      <c r="F697" s="19" t="s">
        <v>1546</v>
      </c>
      <c r="G697" s="1" t="s">
        <v>10</v>
      </c>
      <c r="H697" s="1" t="s">
        <v>1249</v>
      </c>
      <c r="I697" s="2">
        <v>44960</v>
      </c>
      <c r="J697" s="3">
        <v>0.35416666666666669</v>
      </c>
      <c r="K697" s="1" t="s">
        <v>88</v>
      </c>
      <c r="L697" s="2">
        <v>44964</v>
      </c>
      <c r="M697" s="3">
        <v>0.59166666666666667</v>
      </c>
      <c r="N697" s="19" t="s">
        <v>1640</v>
      </c>
    </row>
    <row r="698" spans="1:14" hidden="1" x14ac:dyDescent="0.3">
      <c r="A698" s="47">
        <f t="shared" si="30"/>
        <v>2023</v>
      </c>
      <c r="B698" s="46">
        <f t="shared" si="31"/>
        <v>6</v>
      </c>
      <c r="C698" s="46">
        <f t="shared" si="32"/>
        <v>6</v>
      </c>
      <c r="E698" s="1" t="s">
        <v>1641</v>
      </c>
      <c r="F698" s="19" t="s">
        <v>1299</v>
      </c>
      <c r="G698" s="1" t="s">
        <v>9</v>
      </c>
      <c r="H698" s="1" t="s">
        <v>1249</v>
      </c>
      <c r="I698" s="2">
        <v>44967</v>
      </c>
      <c r="J698" s="3">
        <v>0.71944444444444444</v>
      </c>
      <c r="K698" s="1" t="s">
        <v>73</v>
      </c>
      <c r="L698" s="2">
        <v>44968</v>
      </c>
      <c r="M698" s="3">
        <v>0.37916666666666665</v>
      </c>
      <c r="N698" s="19" t="s">
        <v>955</v>
      </c>
    </row>
    <row r="699" spans="1:14" ht="28.8" hidden="1" x14ac:dyDescent="0.3">
      <c r="A699" s="47">
        <f t="shared" si="30"/>
        <v>2023</v>
      </c>
      <c r="B699" s="46">
        <f t="shared" si="31"/>
        <v>6</v>
      </c>
      <c r="C699" s="46">
        <f t="shared" si="32"/>
        <v>6</v>
      </c>
      <c r="E699" s="1" t="s">
        <v>1642</v>
      </c>
      <c r="F699" s="19" t="s">
        <v>1643</v>
      </c>
      <c r="G699" s="1" t="s">
        <v>900</v>
      </c>
      <c r="H699" s="1" t="s">
        <v>1249</v>
      </c>
      <c r="I699" s="2">
        <v>44967</v>
      </c>
      <c r="J699" s="3">
        <v>0.71597222222222223</v>
      </c>
      <c r="K699" s="1" t="s">
        <v>73</v>
      </c>
      <c r="L699" s="2">
        <v>44968</v>
      </c>
      <c r="M699" s="3">
        <v>0.38680555555555557</v>
      </c>
      <c r="N699" s="19" t="s">
        <v>1644</v>
      </c>
    </row>
    <row r="700" spans="1:14" ht="61.35" hidden="1" customHeight="1" x14ac:dyDescent="0.3">
      <c r="A700" s="47">
        <f t="shared" si="30"/>
        <v>2023</v>
      </c>
      <c r="B700" s="46">
        <f t="shared" si="31"/>
        <v>6</v>
      </c>
      <c r="C700" s="46">
        <f t="shared" si="32"/>
        <v>6</v>
      </c>
      <c r="E700" s="1" t="s">
        <v>1645</v>
      </c>
      <c r="F700" s="19" t="s">
        <v>1646</v>
      </c>
      <c r="G700" s="1" t="s">
        <v>900</v>
      </c>
      <c r="H700" s="1" t="s">
        <v>1249</v>
      </c>
      <c r="I700" s="2">
        <v>44967</v>
      </c>
      <c r="J700" s="3">
        <v>0.65833333333333333</v>
      </c>
      <c r="K700" s="1" t="s">
        <v>73</v>
      </c>
      <c r="L700" s="2">
        <v>44968</v>
      </c>
      <c r="M700" s="3">
        <v>0.39513888888888887</v>
      </c>
      <c r="N700" s="19" t="s">
        <v>1647</v>
      </c>
    </row>
    <row r="701" spans="1:14" ht="85.35" hidden="1" customHeight="1" x14ac:dyDescent="0.3">
      <c r="A701" s="47">
        <f t="shared" si="30"/>
        <v>2023</v>
      </c>
      <c r="B701" s="46">
        <f t="shared" si="31"/>
        <v>6</v>
      </c>
      <c r="C701" s="46">
        <f t="shared" si="32"/>
        <v>6</v>
      </c>
      <c r="E701" s="63" t="s">
        <v>1648</v>
      </c>
      <c r="F701" s="285" t="s">
        <v>1631</v>
      </c>
      <c r="G701" s="1" t="s">
        <v>10</v>
      </c>
      <c r="H701" s="1" t="s">
        <v>1249</v>
      </c>
      <c r="I701" s="2">
        <v>44964</v>
      </c>
      <c r="J701" s="3">
        <v>0.59652777777777777</v>
      </c>
      <c r="K701" s="1" t="s">
        <v>73</v>
      </c>
      <c r="L701" s="2">
        <v>44968</v>
      </c>
      <c r="M701" s="3">
        <v>0.43124999999999997</v>
      </c>
      <c r="N701" s="19" t="s">
        <v>1649</v>
      </c>
    </row>
    <row r="702" spans="1:14" ht="103.35" hidden="1" customHeight="1" x14ac:dyDescent="0.3">
      <c r="A702" s="47">
        <f t="shared" si="30"/>
        <v>2023</v>
      </c>
      <c r="B702" s="46">
        <f t="shared" si="31"/>
        <v>6</v>
      </c>
      <c r="C702" s="46">
        <f t="shared" si="32"/>
        <v>6</v>
      </c>
      <c r="E702" s="63" t="s">
        <v>1650</v>
      </c>
      <c r="F702" s="19" t="s">
        <v>1631</v>
      </c>
      <c r="G702" s="1" t="s">
        <v>10</v>
      </c>
      <c r="H702" s="1" t="s">
        <v>1249</v>
      </c>
      <c r="I702" s="2">
        <v>44964</v>
      </c>
      <c r="J702" s="3">
        <v>0.59930555555555554</v>
      </c>
      <c r="K702" s="1" t="s">
        <v>73</v>
      </c>
      <c r="L702" s="2">
        <v>44968</v>
      </c>
      <c r="M702" s="3">
        <v>0.4597222222222222</v>
      </c>
      <c r="N702" s="19" t="s">
        <v>2724</v>
      </c>
    </row>
    <row r="703" spans="1:14" ht="43.2" hidden="1" x14ac:dyDescent="0.3">
      <c r="A703" s="47">
        <f t="shared" si="30"/>
        <v>2023</v>
      </c>
      <c r="B703" s="46">
        <f t="shared" si="31"/>
        <v>6</v>
      </c>
      <c r="C703" s="46">
        <f t="shared" si="32"/>
        <v>6</v>
      </c>
      <c r="E703" s="1" t="s">
        <v>1651</v>
      </c>
      <c r="F703" s="19" t="s">
        <v>1652</v>
      </c>
      <c r="G703" s="1" t="s">
        <v>900</v>
      </c>
      <c r="H703" s="1" t="s">
        <v>1249</v>
      </c>
      <c r="I703" s="2">
        <v>44967</v>
      </c>
      <c r="J703" s="3">
        <v>0.36388888888888887</v>
      </c>
      <c r="K703" s="1" t="s">
        <v>73</v>
      </c>
      <c r="L703" s="2">
        <v>44968</v>
      </c>
      <c r="M703" s="3">
        <v>0.47361111111111115</v>
      </c>
      <c r="N703" s="19" t="s">
        <v>1653</v>
      </c>
    </row>
    <row r="704" spans="1:14" ht="129.6" hidden="1" x14ac:dyDescent="0.3">
      <c r="A704" s="47">
        <f t="shared" si="30"/>
        <v>2023</v>
      </c>
      <c r="B704" s="46">
        <f t="shared" si="31"/>
        <v>6</v>
      </c>
      <c r="C704" s="46">
        <f t="shared" si="32"/>
        <v>7</v>
      </c>
      <c r="E704" s="1" t="s">
        <v>1654</v>
      </c>
      <c r="F704" s="19" t="s">
        <v>1655</v>
      </c>
      <c r="G704" s="1" t="s">
        <v>9</v>
      </c>
      <c r="H704" s="1" t="s">
        <v>1249</v>
      </c>
      <c r="I704" s="2">
        <v>44966</v>
      </c>
      <c r="J704" s="3">
        <v>0.49583333333333335</v>
      </c>
      <c r="K704" s="1" t="s">
        <v>73</v>
      </c>
      <c r="L704" s="34">
        <v>44970</v>
      </c>
      <c r="M704" s="28" t="s">
        <v>1666</v>
      </c>
      <c r="N704" s="19" t="s">
        <v>1665</v>
      </c>
    </row>
    <row r="705" spans="1:14" ht="77.55" hidden="1" customHeight="1" x14ac:dyDescent="0.3">
      <c r="A705" s="47">
        <f t="shared" si="30"/>
        <v>2023</v>
      </c>
      <c r="B705" s="46">
        <f t="shared" si="31"/>
        <v>6</v>
      </c>
      <c r="C705" s="46">
        <f t="shared" si="32"/>
        <v>6</v>
      </c>
      <c r="E705" s="1" t="s">
        <v>1656</v>
      </c>
      <c r="F705" s="19" t="s">
        <v>1657</v>
      </c>
      <c r="G705" s="1" t="s">
        <v>900</v>
      </c>
      <c r="H705" s="1" t="s">
        <v>1249</v>
      </c>
      <c r="I705" s="2">
        <v>44966</v>
      </c>
      <c r="J705" s="3">
        <v>0.4916666666666667</v>
      </c>
      <c r="K705" s="1" t="s">
        <v>73</v>
      </c>
      <c r="L705" s="2">
        <v>44968</v>
      </c>
      <c r="M705" s="3">
        <v>0.49513888888888885</v>
      </c>
      <c r="N705" s="19" t="s">
        <v>1658</v>
      </c>
    </row>
    <row r="706" spans="1:14" ht="57.6" hidden="1" x14ac:dyDescent="0.3">
      <c r="A706" s="47">
        <f t="shared" si="30"/>
        <v>2023</v>
      </c>
      <c r="B706" s="46">
        <f t="shared" si="31"/>
        <v>6</v>
      </c>
      <c r="C706" s="46">
        <f t="shared" si="32"/>
        <v>6</v>
      </c>
      <c r="E706" s="1" t="s">
        <v>1659</v>
      </c>
      <c r="F706" s="19" t="s">
        <v>1660</v>
      </c>
      <c r="G706" s="1" t="s">
        <v>900</v>
      </c>
      <c r="H706" s="1" t="s">
        <v>1249</v>
      </c>
      <c r="I706" s="2">
        <v>44966</v>
      </c>
      <c r="J706" s="3">
        <v>0.48888888888888887</v>
      </c>
      <c r="K706" s="1" t="s">
        <v>73</v>
      </c>
      <c r="L706" s="2">
        <v>44968</v>
      </c>
      <c r="M706" s="3">
        <v>0.52569444444444446</v>
      </c>
      <c r="N706" s="19" t="s">
        <v>1661</v>
      </c>
    </row>
    <row r="707" spans="1:14" ht="43.2" hidden="1" x14ac:dyDescent="0.3">
      <c r="A707" s="47">
        <f t="shared" ref="A707:A770" si="33">YEAR(L707)</f>
        <v>2023</v>
      </c>
      <c r="B707" s="46">
        <f t="shared" ref="B707:B770" si="34">WEEKNUM(I707)</f>
        <v>6</v>
      </c>
      <c r="C707" s="46">
        <f t="shared" ref="C707:C770" si="35">WEEKNUM(L707)</f>
        <v>6</v>
      </c>
      <c r="E707" s="1" t="s">
        <v>1663</v>
      </c>
      <c r="F707" s="19" t="s">
        <v>1618</v>
      </c>
      <c r="G707" s="1" t="s">
        <v>900</v>
      </c>
      <c r="H707" s="1" t="s">
        <v>1249</v>
      </c>
      <c r="I707" s="2">
        <v>44964</v>
      </c>
      <c r="J707" s="3">
        <v>0.61458333333333337</v>
      </c>
      <c r="K707" s="1" t="s">
        <v>73</v>
      </c>
      <c r="L707" s="2">
        <v>44968</v>
      </c>
      <c r="M707" s="3">
        <v>0.58819444444444446</v>
      </c>
      <c r="N707" s="19" t="s">
        <v>1664</v>
      </c>
    </row>
    <row r="708" spans="1:14" ht="57.6" hidden="1" x14ac:dyDescent="0.3">
      <c r="A708" s="47">
        <f t="shared" si="33"/>
        <v>2023</v>
      </c>
      <c r="B708" s="46">
        <f t="shared" si="34"/>
        <v>7</v>
      </c>
      <c r="C708" s="46">
        <f t="shared" si="35"/>
        <v>7</v>
      </c>
      <c r="E708" s="1" t="s">
        <v>1667</v>
      </c>
      <c r="F708" s="19" t="s">
        <v>1668</v>
      </c>
      <c r="G708" s="1" t="s">
        <v>900</v>
      </c>
      <c r="H708" s="1" t="s">
        <v>1249</v>
      </c>
      <c r="I708" s="2">
        <v>44970</v>
      </c>
      <c r="J708" s="3">
        <v>0.68333333333333324</v>
      </c>
      <c r="K708" s="1" t="s">
        <v>73</v>
      </c>
      <c r="L708" s="2">
        <v>44970</v>
      </c>
      <c r="M708" s="3">
        <v>0.69374999999999998</v>
      </c>
      <c r="N708" s="19" t="s">
        <v>1669</v>
      </c>
    </row>
    <row r="709" spans="1:14" ht="43.2" hidden="1" x14ac:dyDescent="0.3">
      <c r="A709" s="47">
        <f t="shared" si="33"/>
        <v>2023</v>
      </c>
      <c r="B709" s="46">
        <f t="shared" si="34"/>
        <v>7</v>
      </c>
      <c r="C709" s="46">
        <f t="shared" si="35"/>
        <v>7</v>
      </c>
      <c r="E709" s="1" t="s">
        <v>1670</v>
      </c>
      <c r="F709" s="19" t="s">
        <v>1671</v>
      </c>
      <c r="G709" s="1" t="s">
        <v>900</v>
      </c>
      <c r="H709" s="1" t="s">
        <v>1249</v>
      </c>
      <c r="I709" s="2">
        <v>44970</v>
      </c>
      <c r="J709" s="3">
        <v>0.72291666666666676</v>
      </c>
      <c r="K709" s="1" t="s">
        <v>73</v>
      </c>
      <c r="L709" s="2">
        <v>44971</v>
      </c>
      <c r="M709" s="3">
        <v>0.31319444444444444</v>
      </c>
      <c r="N709" s="19" t="s">
        <v>1672</v>
      </c>
    </row>
    <row r="710" spans="1:14" ht="57.6" hidden="1" x14ac:dyDescent="0.3">
      <c r="A710" s="47">
        <f t="shared" si="33"/>
        <v>2023</v>
      </c>
      <c r="B710" s="46">
        <f t="shared" si="34"/>
        <v>7</v>
      </c>
      <c r="C710" s="46">
        <f t="shared" si="35"/>
        <v>7</v>
      </c>
      <c r="E710" s="1" t="s">
        <v>1673</v>
      </c>
      <c r="F710" s="19" t="s">
        <v>1674</v>
      </c>
      <c r="G710" s="1" t="s">
        <v>900</v>
      </c>
      <c r="H710" s="1" t="s">
        <v>1249</v>
      </c>
      <c r="I710" s="2">
        <v>44971</v>
      </c>
      <c r="J710" s="3">
        <v>0.35486111111111113</v>
      </c>
      <c r="K710" s="1" t="s">
        <v>73</v>
      </c>
      <c r="L710" s="2">
        <v>44973</v>
      </c>
      <c r="M710" s="3">
        <v>0.30208333333333331</v>
      </c>
      <c r="N710" s="91" t="s">
        <v>1675</v>
      </c>
    </row>
    <row r="711" spans="1:14" ht="43.2" hidden="1" x14ac:dyDescent="0.3">
      <c r="A711" s="47">
        <f t="shared" si="33"/>
        <v>2023</v>
      </c>
      <c r="B711" s="46">
        <f t="shared" si="34"/>
        <v>7</v>
      </c>
      <c r="C711" s="46">
        <f t="shared" si="35"/>
        <v>7</v>
      </c>
      <c r="E711" s="1" t="s">
        <v>1676</v>
      </c>
      <c r="F711" s="19" t="s">
        <v>1677</v>
      </c>
      <c r="G711" s="1" t="s">
        <v>900</v>
      </c>
      <c r="H711" s="1" t="s">
        <v>1249</v>
      </c>
      <c r="I711" s="2">
        <v>44971</v>
      </c>
      <c r="J711" s="3">
        <v>0.35694444444444445</v>
      </c>
      <c r="K711" s="1" t="s">
        <v>73</v>
      </c>
      <c r="L711" s="2">
        <v>44973</v>
      </c>
      <c r="M711" s="3">
        <v>0.30208333333333331</v>
      </c>
      <c r="N711" s="19" t="s">
        <v>1678</v>
      </c>
    </row>
    <row r="712" spans="1:14" ht="129.6" hidden="1" x14ac:dyDescent="0.3">
      <c r="A712" s="47">
        <f t="shared" si="33"/>
        <v>2023</v>
      </c>
      <c r="B712" s="46">
        <f t="shared" si="34"/>
        <v>7</v>
      </c>
      <c r="C712" s="46">
        <f t="shared" si="35"/>
        <v>8</v>
      </c>
      <c r="E712" s="1" t="s">
        <v>1679</v>
      </c>
      <c r="F712" s="19" t="s">
        <v>1680</v>
      </c>
      <c r="G712" s="1" t="s">
        <v>900</v>
      </c>
      <c r="H712" s="1" t="s">
        <v>1249</v>
      </c>
      <c r="I712" s="2">
        <v>44971</v>
      </c>
      <c r="J712" s="3">
        <v>0.63124999999999998</v>
      </c>
      <c r="K712" s="1" t="s">
        <v>73</v>
      </c>
      <c r="L712" s="2">
        <v>44977</v>
      </c>
      <c r="M712" s="3">
        <v>0.23611111111111113</v>
      </c>
      <c r="N712" s="19" t="s">
        <v>1703</v>
      </c>
    </row>
    <row r="713" spans="1:14" ht="57.6" hidden="1" x14ac:dyDescent="0.3">
      <c r="A713" s="47">
        <f t="shared" si="33"/>
        <v>2023</v>
      </c>
      <c r="B713" s="46">
        <f t="shared" si="34"/>
        <v>7</v>
      </c>
      <c r="C713" s="46">
        <f t="shared" si="35"/>
        <v>7</v>
      </c>
      <c r="E713" s="1" t="s">
        <v>1681</v>
      </c>
      <c r="F713" s="19" t="s">
        <v>1682</v>
      </c>
      <c r="G713" s="1" t="s">
        <v>900</v>
      </c>
      <c r="H713" s="1" t="s">
        <v>1249</v>
      </c>
      <c r="I713" s="2">
        <v>44971</v>
      </c>
      <c r="J713" s="3">
        <v>0.63263888888888886</v>
      </c>
      <c r="K713" s="1" t="s">
        <v>73</v>
      </c>
      <c r="L713" s="2">
        <v>44973</v>
      </c>
      <c r="M713" s="3">
        <v>0.30138888888888887</v>
      </c>
      <c r="N713" s="19" t="s">
        <v>1684</v>
      </c>
    </row>
    <row r="714" spans="1:14" ht="43.2" hidden="1" x14ac:dyDescent="0.3">
      <c r="A714" s="47">
        <f t="shared" si="33"/>
        <v>2023</v>
      </c>
      <c r="B714" s="46">
        <f t="shared" si="34"/>
        <v>7</v>
      </c>
      <c r="C714" s="46">
        <f t="shared" si="35"/>
        <v>7</v>
      </c>
      <c r="E714" s="1" t="s">
        <v>1683</v>
      </c>
      <c r="F714" s="19" t="s">
        <v>1580</v>
      </c>
      <c r="G714" s="1" t="s">
        <v>900</v>
      </c>
      <c r="H714" s="1" t="s">
        <v>1249</v>
      </c>
      <c r="I714" s="2">
        <v>44971</v>
      </c>
      <c r="J714" s="3">
        <v>0.6333333333333333</v>
      </c>
      <c r="K714" s="1" t="s">
        <v>73</v>
      </c>
      <c r="L714" s="2">
        <v>44973</v>
      </c>
      <c r="M714" s="3">
        <v>0.30138888888888887</v>
      </c>
      <c r="N714" s="19" t="s">
        <v>1685</v>
      </c>
    </row>
    <row r="715" spans="1:14" ht="57.6" hidden="1" x14ac:dyDescent="0.3">
      <c r="A715" s="47">
        <f t="shared" si="33"/>
        <v>2023</v>
      </c>
      <c r="B715" s="46">
        <f t="shared" si="34"/>
        <v>7</v>
      </c>
      <c r="C715" s="46">
        <f t="shared" si="35"/>
        <v>7</v>
      </c>
      <c r="E715" s="1" t="s">
        <v>1686</v>
      </c>
      <c r="F715" s="19" t="s">
        <v>1687</v>
      </c>
      <c r="G715" s="1" t="s">
        <v>900</v>
      </c>
      <c r="H715" s="1" t="s">
        <v>1249</v>
      </c>
      <c r="I715" s="2">
        <v>44971</v>
      </c>
      <c r="J715" s="3">
        <v>0.63611111111111118</v>
      </c>
      <c r="K715" s="1" t="s">
        <v>73</v>
      </c>
      <c r="L715" s="2">
        <v>44973</v>
      </c>
      <c r="M715" s="3">
        <v>0.30138888888888887</v>
      </c>
      <c r="N715" s="19" t="s">
        <v>1688</v>
      </c>
    </row>
    <row r="716" spans="1:14" ht="43.2" hidden="1" x14ac:dyDescent="0.3">
      <c r="A716" s="47">
        <f t="shared" si="33"/>
        <v>2023</v>
      </c>
      <c r="B716" s="46">
        <f t="shared" si="34"/>
        <v>7</v>
      </c>
      <c r="C716" s="46">
        <f t="shared" si="35"/>
        <v>7</v>
      </c>
      <c r="E716" s="1" t="s">
        <v>1689</v>
      </c>
      <c r="F716" s="19" t="s">
        <v>1690</v>
      </c>
      <c r="G716" s="1" t="s">
        <v>900</v>
      </c>
      <c r="H716" s="1" t="s">
        <v>1249</v>
      </c>
      <c r="I716" s="2">
        <v>44971</v>
      </c>
      <c r="J716" s="3">
        <v>0.71736111111111101</v>
      </c>
      <c r="K716" s="1" t="s">
        <v>73</v>
      </c>
      <c r="L716" s="2">
        <v>44973</v>
      </c>
      <c r="M716" s="3">
        <v>0.30138888888888887</v>
      </c>
      <c r="N716" s="19" t="s">
        <v>1691</v>
      </c>
    </row>
    <row r="717" spans="1:14" ht="100.8" hidden="1" x14ac:dyDescent="0.3">
      <c r="A717" s="47">
        <f t="shared" si="33"/>
        <v>2023</v>
      </c>
      <c r="B717" s="46">
        <f t="shared" si="34"/>
        <v>7</v>
      </c>
      <c r="C717" s="46">
        <f t="shared" si="35"/>
        <v>7</v>
      </c>
      <c r="E717" s="1" t="s">
        <v>1692</v>
      </c>
      <c r="F717" s="19" t="s">
        <v>1690</v>
      </c>
      <c r="G717" s="1" t="s">
        <v>900</v>
      </c>
      <c r="H717" s="1" t="s">
        <v>1249</v>
      </c>
      <c r="I717" s="2">
        <v>44971</v>
      </c>
      <c r="J717" s="3" t="s">
        <v>1694</v>
      </c>
      <c r="K717" s="1" t="s">
        <v>73</v>
      </c>
      <c r="L717" s="2">
        <v>44973</v>
      </c>
      <c r="M717" s="3">
        <v>0.30138888888888887</v>
      </c>
      <c r="N717" s="19" t="s">
        <v>1693</v>
      </c>
    </row>
    <row r="718" spans="1:14" ht="43.2" hidden="1" x14ac:dyDescent="0.3">
      <c r="A718" s="47">
        <f t="shared" si="33"/>
        <v>2023</v>
      </c>
      <c r="B718" s="46">
        <f t="shared" si="34"/>
        <v>7</v>
      </c>
      <c r="C718" s="46">
        <f t="shared" si="35"/>
        <v>7</v>
      </c>
      <c r="E718" s="1" t="s">
        <v>1695</v>
      </c>
      <c r="F718" s="19" t="s">
        <v>1696</v>
      </c>
      <c r="G718" s="1" t="s">
        <v>900</v>
      </c>
      <c r="H718" s="1" t="s">
        <v>1249</v>
      </c>
      <c r="I718" s="2">
        <v>44972</v>
      </c>
      <c r="J718" s="3">
        <v>0.59722222222222221</v>
      </c>
      <c r="K718" s="1" t="s">
        <v>73</v>
      </c>
      <c r="L718" s="2">
        <v>44973</v>
      </c>
      <c r="M718" s="3">
        <v>0.30069444444444443</v>
      </c>
      <c r="N718" s="19" t="s">
        <v>1697</v>
      </c>
    </row>
    <row r="719" spans="1:14" ht="57.6" hidden="1" x14ac:dyDescent="0.3">
      <c r="A719" s="47">
        <f t="shared" si="33"/>
        <v>2023</v>
      </c>
      <c r="B719" s="46">
        <f t="shared" si="34"/>
        <v>7</v>
      </c>
      <c r="C719" s="46">
        <f t="shared" si="35"/>
        <v>7</v>
      </c>
      <c r="E719" s="1" t="s">
        <v>1698</v>
      </c>
      <c r="F719" s="19" t="s">
        <v>1699</v>
      </c>
      <c r="G719" s="1" t="s">
        <v>900</v>
      </c>
      <c r="H719" s="1" t="s">
        <v>1249</v>
      </c>
      <c r="I719" s="2">
        <v>44972</v>
      </c>
      <c r="J719" s="3">
        <v>0.62291666666666667</v>
      </c>
      <c r="K719" s="1" t="s">
        <v>73</v>
      </c>
      <c r="L719" s="2">
        <v>44973</v>
      </c>
      <c r="M719" s="3">
        <v>0.30069444444444443</v>
      </c>
      <c r="N719" s="19" t="s">
        <v>1700</v>
      </c>
    </row>
    <row r="720" spans="1:14" ht="43.2" hidden="1" x14ac:dyDescent="0.3">
      <c r="A720" s="47">
        <f t="shared" si="33"/>
        <v>2023</v>
      </c>
      <c r="B720" s="46">
        <f t="shared" si="34"/>
        <v>7</v>
      </c>
      <c r="C720" s="46">
        <f t="shared" si="35"/>
        <v>8</v>
      </c>
      <c r="E720" s="1" t="s">
        <v>1701</v>
      </c>
      <c r="F720" s="19" t="s">
        <v>1580</v>
      </c>
      <c r="G720" s="1" t="s">
        <v>900</v>
      </c>
      <c r="H720" s="1" t="s">
        <v>1249</v>
      </c>
      <c r="I720" s="2">
        <v>44971</v>
      </c>
      <c r="J720" s="3">
        <v>0.35972222222222222</v>
      </c>
      <c r="K720" s="1" t="s">
        <v>73</v>
      </c>
      <c r="L720" s="2">
        <v>44977</v>
      </c>
      <c r="M720" s="3">
        <v>0.23611111111111113</v>
      </c>
      <c r="N720" s="19" t="s">
        <v>1702</v>
      </c>
    </row>
    <row r="721" spans="1:14" ht="72" hidden="1" x14ac:dyDescent="0.3">
      <c r="A721" s="47">
        <f t="shared" si="33"/>
        <v>2023</v>
      </c>
      <c r="B721" s="46">
        <f t="shared" si="34"/>
        <v>7</v>
      </c>
      <c r="C721" s="46">
        <f t="shared" si="35"/>
        <v>22</v>
      </c>
      <c r="E721" s="1" t="s">
        <v>1704</v>
      </c>
      <c r="F721" s="19" t="s">
        <v>1690</v>
      </c>
      <c r="G721" s="1" t="s">
        <v>900</v>
      </c>
      <c r="H721" s="1" t="s">
        <v>1249</v>
      </c>
      <c r="I721" s="2">
        <v>44973</v>
      </c>
      <c r="J721" s="3">
        <v>0.64166666666666672</v>
      </c>
      <c r="K721" s="1" t="s">
        <v>73</v>
      </c>
      <c r="L721" s="34">
        <v>45075</v>
      </c>
      <c r="M721" s="28" t="s">
        <v>2132</v>
      </c>
      <c r="N721" s="19" t="s">
        <v>2131</v>
      </c>
    </row>
    <row r="722" spans="1:14" ht="57.6" hidden="1" x14ac:dyDescent="0.3">
      <c r="A722" s="47">
        <f t="shared" si="33"/>
        <v>2023</v>
      </c>
      <c r="B722" s="46">
        <f t="shared" si="34"/>
        <v>7</v>
      </c>
      <c r="C722" s="46">
        <f t="shared" si="35"/>
        <v>8</v>
      </c>
      <c r="E722" s="1" t="s">
        <v>1705</v>
      </c>
      <c r="F722" s="19" t="s">
        <v>1706</v>
      </c>
      <c r="G722" s="1" t="s">
        <v>900</v>
      </c>
      <c r="H722" s="1" t="s">
        <v>1249</v>
      </c>
      <c r="I722" s="2">
        <v>44973</v>
      </c>
      <c r="J722" s="3">
        <v>0.70486111111111116</v>
      </c>
      <c r="K722" s="1" t="s">
        <v>73</v>
      </c>
      <c r="L722" s="2">
        <v>44977</v>
      </c>
      <c r="M722" s="3">
        <v>0.23541666666666669</v>
      </c>
      <c r="N722" s="19" t="s">
        <v>1707</v>
      </c>
    </row>
    <row r="723" spans="1:14" ht="86.4" hidden="1" x14ac:dyDescent="0.3">
      <c r="A723" s="47">
        <f t="shared" si="33"/>
        <v>2023</v>
      </c>
      <c r="B723" s="46">
        <f t="shared" si="34"/>
        <v>7</v>
      </c>
      <c r="C723" s="46">
        <f t="shared" si="35"/>
        <v>8</v>
      </c>
      <c r="E723" s="1" t="s">
        <v>1708</v>
      </c>
      <c r="F723" s="19" t="s">
        <v>1709</v>
      </c>
      <c r="G723" s="1" t="s">
        <v>10</v>
      </c>
      <c r="H723" s="1" t="s">
        <v>1249</v>
      </c>
      <c r="I723" s="2">
        <v>44974</v>
      </c>
      <c r="J723" s="3">
        <v>0.35694444444444445</v>
      </c>
      <c r="K723" s="1" t="s">
        <v>73</v>
      </c>
      <c r="L723" s="2">
        <v>44977</v>
      </c>
      <c r="M723" s="3">
        <v>0.23472222222222219</v>
      </c>
      <c r="N723" s="19" t="s">
        <v>1710</v>
      </c>
    </row>
    <row r="724" spans="1:14" ht="43.2" hidden="1" x14ac:dyDescent="0.3">
      <c r="A724" s="47">
        <f t="shared" si="33"/>
        <v>2023</v>
      </c>
      <c r="B724" s="46">
        <f t="shared" si="34"/>
        <v>8</v>
      </c>
      <c r="C724" s="46">
        <f t="shared" si="35"/>
        <v>8</v>
      </c>
      <c r="E724" s="1" t="s">
        <v>1711</v>
      </c>
      <c r="F724" s="19" t="s">
        <v>1712</v>
      </c>
      <c r="G724" s="1" t="s">
        <v>10</v>
      </c>
      <c r="H724" s="1" t="s">
        <v>1249</v>
      </c>
      <c r="I724" s="2">
        <v>44979</v>
      </c>
      <c r="J724" s="3">
        <v>0.37777777777777777</v>
      </c>
      <c r="K724" s="1" t="s">
        <v>73</v>
      </c>
      <c r="L724" s="2">
        <v>44980</v>
      </c>
      <c r="M724" s="28" t="s">
        <v>1719</v>
      </c>
      <c r="N724" s="19" t="s">
        <v>1713</v>
      </c>
    </row>
    <row r="725" spans="1:14" ht="28.8" hidden="1" x14ac:dyDescent="0.3">
      <c r="A725" s="47">
        <f t="shared" si="33"/>
        <v>2023</v>
      </c>
      <c r="B725" s="46">
        <f t="shared" si="34"/>
        <v>8</v>
      </c>
      <c r="C725" s="46">
        <f t="shared" si="35"/>
        <v>8</v>
      </c>
      <c r="E725" s="1" t="s">
        <v>1714</v>
      </c>
      <c r="F725" s="19" t="s">
        <v>1712</v>
      </c>
      <c r="G725" s="1" t="s">
        <v>10</v>
      </c>
      <c r="H725" s="1" t="s">
        <v>1249</v>
      </c>
      <c r="I725" s="2">
        <v>44979</v>
      </c>
      <c r="J725" s="3">
        <v>0.38055555555555554</v>
      </c>
      <c r="K725" s="1" t="s">
        <v>73</v>
      </c>
      <c r="L725" s="2">
        <v>44980</v>
      </c>
      <c r="M725" s="3">
        <v>0.25763888888888892</v>
      </c>
      <c r="N725" s="19" t="s">
        <v>1715</v>
      </c>
    </row>
    <row r="726" spans="1:14" ht="43.2" hidden="1" x14ac:dyDescent="0.3">
      <c r="A726" s="47">
        <f t="shared" si="33"/>
        <v>2023</v>
      </c>
      <c r="B726" s="46">
        <f t="shared" si="34"/>
        <v>8</v>
      </c>
      <c r="C726" s="46">
        <f t="shared" si="35"/>
        <v>8</v>
      </c>
      <c r="E726" s="1" t="s">
        <v>1716</v>
      </c>
      <c r="F726" s="19" t="s">
        <v>1717</v>
      </c>
      <c r="G726" s="1" t="s">
        <v>10</v>
      </c>
      <c r="H726" s="1" t="s">
        <v>1249</v>
      </c>
      <c r="I726" s="2">
        <v>44979</v>
      </c>
      <c r="J726" s="3">
        <v>0.38263888888888892</v>
      </c>
      <c r="K726" s="1" t="s">
        <v>73</v>
      </c>
      <c r="L726" s="2">
        <v>44980</v>
      </c>
      <c r="M726" s="3">
        <v>0.29652777777777778</v>
      </c>
      <c r="N726" s="19" t="s">
        <v>1718</v>
      </c>
    </row>
    <row r="727" spans="1:14" ht="43.2" hidden="1" x14ac:dyDescent="0.3">
      <c r="A727" s="47">
        <f t="shared" si="33"/>
        <v>2023</v>
      </c>
      <c r="B727" s="46">
        <f t="shared" si="34"/>
        <v>8</v>
      </c>
      <c r="C727" s="46">
        <f t="shared" si="35"/>
        <v>8</v>
      </c>
      <c r="E727" s="1" t="s">
        <v>1720</v>
      </c>
      <c r="F727" s="19" t="s">
        <v>1712</v>
      </c>
      <c r="G727" s="1" t="s">
        <v>10</v>
      </c>
      <c r="H727" s="1" t="s">
        <v>1249</v>
      </c>
      <c r="I727" s="2">
        <v>44979</v>
      </c>
      <c r="J727" s="3">
        <v>0.3840277777777778</v>
      </c>
      <c r="K727" s="1" t="s">
        <v>73</v>
      </c>
      <c r="L727" s="2">
        <v>44980</v>
      </c>
      <c r="M727" s="3">
        <v>0.2986111111111111</v>
      </c>
      <c r="N727" s="19" t="s">
        <v>1721</v>
      </c>
    </row>
    <row r="728" spans="1:14" ht="43.2" hidden="1" x14ac:dyDescent="0.3">
      <c r="A728" s="47">
        <f t="shared" si="33"/>
        <v>2023</v>
      </c>
      <c r="B728" s="46">
        <f t="shared" si="34"/>
        <v>8</v>
      </c>
      <c r="C728" s="46">
        <f t="shared" si="35"/>
        <v>8</v>
      </c>
      <c r="E728" s="1" t="s">
        <v>1722</v>
      </c>
      <c r="F728" s="19" t="s">
        <v>1723</v>
      </c>
      <c r="G728" s="1" t="s">
        <v>10</v>
      </c>
      <c r="H728" s="1" t="s">
        <v>1249</v>
      </c>
      <c r="I728" s="2">
        <v>44979</v>
      </c>
      <c r="J728" s="3">
        <v>0.38541666666666669</v>
      </c>
      <c r="K728" s="1" t="s">
        <v>73</v>
      </c>
      <c r="L728" s="2">
        <v>44980</v>
      </c>
      <c r="M728" s="3">
        <v>0.30208333333333331</v>
      </c>
      <c r="N728" s="19" t="s">
        <v>1724</v>
      </c>
    </row>
    <row r="729" spans="1:14" ht="43.2" hidden="1" x14ac:dyDescent="0.3">
      <c r="A729" s="47">
        <f t="shared" si="33"/>
        <v>2023</v>
      </c>
      <c r="B729" s="46">
        <f t="shared" si="34"/>
        <v>8</v>
      </c>
      <c r="C729" s="46">
        <f t="shared" si="35"/>
        <v>9</v>
      </c>
      <c r="E729" s="1" t="s">
        <v>1725</v>
      </c>
      <c r="F729" s="19" t="s">
        <v>1726</v>
      </c>
      <c r="G729" s="1" t="s">
        <v>900</v>
      </c>
      <c r="H729" s="1" t="s">
        <v>1249</v>
      </c>
      <c r="I729" s="2">
        <v>44981</v>
      </c>
      <c r="J729" s="3">
        <v>0.68194444444444446</v>
      </c>
      <c r="K729" s="1" t="s">
        <v>73</v>
      </c>
      <c r="L729" s="2">
        <v>44985</v>
      </c>
      <c r="M729" s="3">
        <v>0.3666666666666667</v>
      </c>
      <c r="N729" s="19" t="s">
        <v>1727</v>
      </c>
    </row>
    <row r="730" spans="1:14" ht="43.2" hidden="1" x14ac:dyDescent="0.3">
      <c r="A730" s="47">
        <f t="shared" si="33"/>
        <v>2023</v>
      </c>
      <c r="B730" s="46">
        <f t="shared" si="34"/>
        <v>8</v>
      </c>
      <c r="C730" s="46">
        <f t="shared" si="35"/>
        <v>9</v>
      </c>
      <c r="E730" s="1" t="s">
        <v>1728</v>
      </c>
      <c r="F730" s="19" t="s">
        <v>1729</v>
      </c>
      <c r="G730" s="1" t="s">
        <v>900</v>
      </c>
      <c r="H730" s="1" t="s">
        <v>1249</v>
      </c>
      <c r="I730" s="2">
        <v>44981</v>
      </c>
      <c r="J730" s="3">
        <v>0.68194444444444446</v>
      </c>
      <c r="K730" s="1" t="s">
        <v>73</v>
      </c>
      <c r="L730" s="2">
        <v>44985</v>
      </c>
      <c r="M730" s="3">
        <v>0.36944444444444446</v>
      </c>
      <c r="N730" s="19" t="s">
        <v>1730</v>
      </c>
    </row>
    <row r="731" spans="1:14" ht="61.35" hidden="1" customHeight="1" x14ac:dyDescent="0.3">
      <c r="A731" s="47">
        <f t="shared" si="33"/>
        <v>2023</v>
      </c>
      <c r="B731" s="46">
        <f t="shared" si="34"/>
        <v>9</v>
      </c>
      <c r="C731" s="46">
        <f t="shared" si="35"/>
        <v>9</v>
      </c>
      <c r="E731" s="1" t="s">
        <v>1731</v>
      </c>
      <c r="F731" s="19" t="s">
        <v>1629</v>
      </c>
      <c r="G731" s="1" t="s">
        <v>900</v>
      </c>
      <c r="H731" s="1" t="s">
        <v>1249</v>
      </c>
      <c r="I731" s="2">
        <v>44984</v>
      </c>
      <c r="J731" s="3">
        <v>0.61388888888888882</v>
      </c>
      <c r="K731" s="1" t="s">
        <v>73</v>
      </c>
      <c r="L731" s="2">
        <v>44985</v>
      </c>
      <c r="M731" s="3">
        <v>0.59097222222222223</v>
      </c>
      <c r="N731" s="19" t="s">
        <v>1732</v>
      </c>
    </row>
    <row r="732" spans="1:14" ht="57.6" hidden="1" x14ac:dyDescent="0.3">
      <c r="A732" s="47">
        <f t="shared" si="33"/>
        <v>2023</v>
      </c>
      <c r="B732" s="46">
        <f t="shared" si="34"/>
        <v>9</v>
      </c>
      <c r="C732" s="46">
        <f t="shared" si="35"/>
        <v>9</v>
      </c>
      <c r="E732" s="1" t="s">
        <v>1733</v>
      </c>
      <c r="F732" s="19" t="s">
        <v>1603</v>
      </c>
      <c r="G732" s="1" t="s">
        <v>900</v>
      </c>
      <c r="H732" s="1" t="s">
        <v>1249</v>
      </c>
      <c r="I732" s="2">
        <v>44985</v>
      </c>
      <c r="J732" s="3">
        <v>0.55902777777777779</v>
      </c>
      <c r="K732" s="1" t="s">
        <v>73</v>
      </c>
      <c r="L732" s="2">
        <v>44986</v>
      </c>
      <c r="N732" s="19" t="s">
        <v>1734</v>
      </c>
    </row>
    <row r="733" spans="1:14" ht="57.6" hidden="1" x14ac:dyDescent="0.3">
      <c r="A733" s="47">
        <f t="shared" si="33"/>
        <v>2023</v>
      </c>
      <c r="B733" s="46">
        <f t="shared" si="34"/>
        <v>9</v>
      </c>
      <c r="C733" s="46">
        <f t="shared" si="35"/>
        <v>9</v>
      </c>
      <c r="E733" s="1" t="s">
        <v>1735</v>
      </c>
      <c r="F733" s="19" t="s">
        <v>1603</v>
      </c>
      <c r="G733" s="1" t="s">
        <v>900</v>
      </c>
      <c r="H733" s="1" t="s">
        <v>1249</v>
      </c>
      <c r="I733" s="2">
        <v>44985</v>
      </c>
      <c r="J733" s="3">
        <v>0.56111111111111112</v>
      </c>
      <c r="K733" s="1" t="s">
        <v>73</v>
      </c>
      <c r="L733" s="2">
        <v>44986</v>
      </c>
      <c r="M733" s="3">
        <v>0.28541666666666665</v>
      </c>
      <c r="N733" s="19" t="s">
        <v>1736</v>
      </c>
    </row>
    <row r="734" spans="1:14" ht="72" hidden="1" x14ac:dyDescent="0.3">
      <c r="A734" s="47">
        <f t="shared" si="33"/>
        <v>2023</v>
      </c>
      <c r="B734" s="46">
        <f t="shared" si="34"/>
        <v>9</v>
      </c>
      <c r="C734" s="46">
        <f t="shared" si="35"/>
        <v>9</v>
      </c>
      <c r="E734" s="1" t="s">
        <v>1737</v>
      </c>
      <c r="F734" s="19" t="s">
        <v>1738</v>
      </c>
      <c r="G734" s="1" t="s">
        <v>900</v>
      </c>
      <c r="H734" s="1" t="s">
        <v>1249</v>
      </c>
      <c r="I734" s="2">
        <v>44985</v>
      </c>
      <c r="J734" s="3">
        <v>0.56388888888888888</v>
      </c>
      <c r="K734" s="1" t="s">
        <v>73</v>
      </c>
      <c r="L734" s="2">
        <v>44986</v>
      </c>
      <c r="M734" s="3">
        <v>0.28541666666666665</v>
      </c>
      <c r="N734" s="19" t="s">
        <v>1754</v>
      </c>
    </row>
    <row r="735" spans="1:14" ht="43.2" hidden="1" x14ac:dyDescent="0.3">
      <c r="A735" s="47">
        <f t="shared" si="33"/>
        <v>2023</v>
      </c>
      <c r="B735" s="46">
        <f t="shared" si="34"/>
        <v>9</v>
      </c>
      <c r="C735" s="46">
        <f t="shared" si="35"/>
        <v>9</v>
      </c>
      <c r="E735" s="1" t="s">
        <v>1739</v>
      </c>
      <c r="F735" s="19" t="s">
        <v>1603</v>
      </c>
      <c r="G735" s="1" t="s">
        <v>900</v>
      </c>
      <c r="H735" s="1" t="s">
        <v>1249</v>
      </c>
      <c r="I735" s="2">
        <v>44985</v>
      </c>
      <c r="J735" s="3">
        <v>0.68194444444444446</v>
      </c>
      <c r="K735" s="1" t="s">
        <v>73</v>
      </c>
      <c r="L735" s="2">
        <v>44986</v>
      </c>
      <c r="M735" s="3">
        <v>0.28472222222222221</v>
      </c>
      <c r="N735" s="19" t="s">
        <v>1740</v>
      </c>
    </row>
    <row r="736" spans="1:14" ht="43.2" hidden="1" x14ac:dyDescent="0.3">
      <c r="A736" s="47">
        <f t="shared" si="33"/>
        <v>2023</v>
      </c>
      <c r="B736" s="46">
        <f t="shared" si="34"/>
        <v>9</v>
      </c>
      <c r="C736" s="46">
        <f t="shared" si="35"/>
        <v>9</v>
      </c>
      <c r="E736" s="1" t="s">
        <v>1741</v>
      </c>
      <c r="F736" s="19" t="s">
        <v>1742</v>
      </c>
      <c r="G736" s="1" t="s">
        <v>900</v>
      </c>
      <c r="H736" s="1" t="s">
        <v>1249</v>
      </c>
      <c r="I736" s="2">
        <v>44985</v>
      </c>
      <c r="J736" s="3">
        <v>0.68402777777777779</v>
      </c>
      <c r="K736" s="1" t="s">
        <v>73</v>
      </c>
      <c r="L736" s="2">
        <v>44986</v>
      </c>
      <c r="M736" s="3">
        <v>0.28472222222222221</v>
      </c>
      <c r="N736" s="19" t="s">
        <v>1743</v>
      </c>
    </row>
    <row r="737" spans="1:14" ht="57.6" hidden="1" x14ac:dyDescent="0.3">
      <c r="A737" s="47">
        <f t="shared" si="33"/>
        <v>2023</v>
      </c>
      <c r="B737" s="46">
        <f t="shared" si="34"/>
        <v>9</v>
      </c>
      <c r="C737" s="46">
        <f t="shared" si="35"/>
        <v>9</v>
      </c>
      <c r="E737" s="1" t="s">
        <v>1744</v>
      </c>
      <c r="F737" s="19" t="s">
        <v>1215</v>
      </c>
      <c r="G737" s="1" t="s">
        <v>900</v>
      </c>
      <c r="H737" s="1" t="s">
        <v>3</v>
      </c>
      <c r="I737" s="2">
        <v>44985</v>
      </c>
      <c r="J737" s="3">
        <v>0.72083333333333333</v>
      </c>
      <c r="K737" s="1" t="s">
        <v>73</v>
      </c>
      <c r="L737" s="2">
        <v>44986</v>
      </c>
      <c r="M737" s="3">
        <v>0.28472222222222221</v>
      </c>
      <c r="N737" s="19" t="s">
        <v>1745</v>
      </c>
    </row>
    <row r="738" spans="1:14" ht="43.2" hidden="1" x14ac:dyDescent="0.3">
      <c r="A738" s="47">
        <f t="shared" si="33"/>
        <v>2023</v>
      </c>
      <c r="B738" s="46">
        <f t="shared" si="34"/>
        <v>9</v>
      </c>
      <c r="C738" s="46">
        <f t="shared" si="35"/>
        <v>9</v>
      </c>
      <c r="E738" s="1" t="s">
        <v>1746</v>
      </c>
      <c r="F738" s="19" t="s">
        <v>1747</v>
      </c>
      <c r="G738" s="1" t="s">
        <v>900</v>
      </c>
      <c r="H738" s="1" t="s">
        <v>3</v>
      </c>
      <c r="I738" s="2">
        <v>44987</v>
      </c>
      <c r="J738" s="3">
        <v>0.42708333333333331</v>
      </c>
      <c r="K738" s="1" t="s">
        <v>73</v>
      </c>
      <c r="L738" s="2">
        <v>44988</v>
      </c>
      <c r="M738" s="3">
        <v>0.30624999999999997</v>
      </c>
      <c r="N738" s="19" t="s">
        <v>1748</v>
      </c>
    </row>
    <row r="739" spans="1:14" ht="115.2" hidden="1" x14ac:dyDescent="0.3">
      <c r="A739" s="47">
        <f t="shared" si="33"/>
        <v>2023</v>
      </c>
      <c r="B739" s="46">
        <f t="shared" si="34"/>
        <v>9</v>
      </c>
      <c r="C739" s="46">
        <f t="shared" si="35"/>
        <v>10</v>
      </c>
      <c r="E739" s="1" t="s">
        <v>1749</v>
      </c>
      <c r="F739" s="19" t="s">
        <v>1750</v>
      </c>
      <c r="G739" s="1" t="s">
        <v>900</v>
      </c>
      <c r="H739" s="1" t="s">
        <v>3</v>
      </c>
      <c r="I739" s="2">
        <v>44988</v>
      </c>
      <c r="J739" s="3">
        <v>0.51111111111111118</v>
      </c>
      <c r="K739" s="1" t="s">
        <v>73</v>
      </c>
      <c r="L739" s="2">
        <v>44992</v>
      </c>
      <c r="M739" s="3">
        <v>0.42430555555555555</v>
      </c>
      <c r="N739" s="19" t="s">
        <v>1753</v>
      </c>
    </row>
    <row r="740" spans="1:14" ht="43.2" hidden="1" x14ac:dyDescent="0.3">
      <c r="A740" s="47">
        <f t="shared" si="33"/>
        <v>2023</v>
      </c>
      <c r="B740" s="46">
        <f t="shared" si="34"/>
        <v>10</v>
      </c>
      <c r="C740" s="46">
        <f t="shared" si="35"/>
        <v>10</v>
      </c>
      <c r="E740" s="1" t="s">
        <v>1755</v>
      </c>
      <c r="F740" s="19" t="s">
        <v>1756</v>
      </c>
      <c r="G740" s="1" t="s">
        <v>900</v>
      </c>
      <c r="H740" s="1" t="s">
        <v>3</v>
      </c>
      <c r="I740" s="2">
        <v>44991</v>
      </c>
      <c r="J740" s="3">
        <v>0.59305555555555556</v>
      </c>
      <c r="K740" s="1" t="s">
        <v>73</v>
      </c>
      <c r="L740" s="2">
        <v>44992</v>
      </c>
      <c r="M740" s="3">
        <v>0.4236111111111111</v>
      </c>
      <c r="N740" s="19" t="s">
        <v>1757</v>
      </c>
    </row>
    <row r="741" spans="1:14" hidden="1" x14ac:dyDescent="0.3">
      <c r="A741" s="47">
        <f t="shared" si="33"/>
        <v>2023</v>
      </c>
      <c r="B741" s="46">
        <f t="shared" si="34"/>
        <v>9</v>
      </c>
      <c r="C741" s="46">
        <f t="shared" si="35"/>
        <v>10</v>
      </c>
      <c r="E741" s="1" t="s">
        <v>1758</v>
      </c>
      <c r="F741" s="19" t="s">
        <v>1618</v>
      </c>
      <c r="G741" s="1" t="s">
        <v>900</v>
      </c>
      <c r="H741" s="1" t="s">
        <v>1249</v>
      </c>
      <c r="I741" s="2">
        <v>44986</v>
      </c>
      <c r="J741" s="3">
        <v>0.7090277777777777</v>
      </c>
      <c r="K741" s="1" t="s">
        <v>73</v>
      </c>
      <c r="L741" s="2">
        <v>44992</v>
      </c>
      <c r="M741" s="3">
        <v>0.43611111111111112</v>
      </c>
      <c r="N741" s="45" t="s">
        <v>1759</v>
      </c>
    </row>
    <row r="742" spans="1:14" hidden="1" x14ac:dyDescent="0.3">
      <c r="A742" s="47">
        <f t="shared" si="33"/>
        <v>2023</v>
      </c>
      <c r="B742" s="46">
        <f t="shared" si="34"/>
        <v>9</v>
      </c>
      <c r="C742" s="46">
        <f t="shared" si="35"/>
        <v>10</v>
      </c>
      <c r="E742" s="63" t="s">
        <v>1760</v>
      </c>
      <c r="F742" s="19" t="s">
        <v>1761</v>
      </c>
      <c r="G742" s="1" t="s">
        <v>10</v>
      </c>
      <c r="H742" s="1" t="s">
        <v>3</v>
      </c>
      <c r="I742" s="2">
        <v>44987</v>
      </c>
      <c r="J742" s="3">
        <v>0.43402777777777773</v>
      </c>
      <c r="K742" s="1" t="s">
        <v>73</v>
      </c>
      <c r="L742" s="2">
        <v>44995</v>
      </c>
      <c r="M742" s="3">
        <v>0.41111111111111115</v>
      </c>
      <c r="N742" s="19" t="s">
        <v>1762</v>
      </c>
    </row>
    <row r="743" spans="1:14" ht="28.8" hidden="1" x14ac:dyDescent="0.3">
      <c r="A743" s="47">
        <f t="shared" si="33"/>
        <v>2023</v>
      </c>
      <c r="B743" s="46">
        <f t="shared" si="34"/>
        <v>9</v>
      </c>
      <c r="C743" s="46">
        <f t="shared" si="35"/>
        <v>10</v>
      </c>
      <c r="E743" s="1" t="s">
        <v>1763</v>
      </c>
      <c r="F743" s="19" t="s">
        <v>1761</v>
      </c>
      <c r="G743" s="1" t="s">
        <v>10</v>
      </c>
      <c r="H743" s="1" t="s">
        <v>3</v>
      </c>
      <c r="I743" s="2">
        <v>44988</v>
      </c>
      <c r="J743" s="3">
        <v>0.51944444444444449</v>
      </c>
      <c r="K743" s="1" t="s">
        <v>73</v>
      </c>
      <c r="L743" s="2">
        <v>44995</v>
      </c>
      <c r="M743" s="3">
        <v>0.42152777777777778</v>
      </c>
      <c r="N743" s="19" t="s">
        <v>1764</v>
      </c>
    </row>
    <row r="744" spans="1:14" ht="28.8" hidden="1" x14ac:dyDescent="0.3">
      <c r="A744" s="47">
        <f t="shared" si="33"/>
        <v>2023</v>
      </c>
      <c r="B744" s="46">
        <f t="shared" si="34"/>
        <v>10</v>
      </c>
      <c r="C744" s="46">
        <f t="shared" si="35"/>
        <v>10</v>
      </c>
      <c r="E744" s="1" t="s">
        <v>1765</v>
      </c>
      <c r="F744" s="19" t="s">
        <v>1766</v>
      </c>
      <c r="G744" s="1" t="s">
        <v>900</v>
      </c>
      <c r="H744" s="1" t="s">
        <v>3</v>
      </c>
      <c r="I744" s="2">
        <v>44993</v>
      </c>
      <c r="J744" s="3">
        <v>0.70486111111111116</v>
      </c>
      <c r="K744" s="1" t="s">
        <v>73</v>
      </c>
      <c r="L744" s="2">
        <v>44995</v>
      </c>
      <c r="M744" s="3">
        <v>0.45</v>
      </c>
      <c r="N744" s="19" t="s">
        <v>1767</v>
      </c>
    </row>
    <row r="745" spans="1:14" ht="28.8" hidden="1" x14ac:dyDescent="0.3">
      <c r="A745" s="47">
        <f t="shared" si="33"/>
        <v>2023</v>
      </c>
      <c r="B745" s="46">
        <f t="shared" si="34"/>
        <v>10</v>
      </c>
      <c r="C745" s="46">
        <f t="shared" si="35"/>
        <v>10</v>
      </c>
      <c r="E745" s="1" t="s">
        <v>1768</v>
      </c>
      <c r="F745" s="19" t="s">
        <v>1769</v>
      </c>
      <c r="G745" s="1" t="s">
        <v>900</v>
      </c>
      <c r="H745" s="1" t="s">
        <v>3</v>
      </c>
      <c r="I745" s="2">
        <v>44993</v>
      </c>
      <c r="J745" s="3">
        <v>0.7090277777777777</v>
      </c>
      <c r="K745" s="1" t="s">
        <v>73</v>
      </c>
      <c r="L745" s="2">
        <v>44995</v>
      </c>
      <c r="M745" s="3">
        <v>0.46666666666666662</v>
      </c>
      <c r="N745" s="19" t="s">
        <v>1767</v>
      </c>
    </row>
    <row r="746" spans="1:14" ht="43.2" hidden="1" x14ac:dyDescent="0.3">
      <c r="A746" s="47">
        <f t="shared" si="33"/>
        <v>2023</v>
      </c>
      <c r="B746" s="46">
        <f t="shared" si="34"/>
        <v>10</v>
      </c>
      <c r="C746" s="46">
        <f t="shared" si="35"/>
        <v>10</v>
      </c>
      <c r="E746" s="1" t="s">
        <v>1770</v>
      </c>
      <c r="F746" s="19" t="s">
        <v>1756</v>
      </c>
      <c r="G746" s="1" t="s">
        <v>900</v>
      </c>
      <c r="H746" s="1" t="s">
        <v>3</v>
      </c>
      <c r="I746" s="2">
        <v>44995</v>
      </c>
      <c r="J746" s="3">
        <v>0.36874999999999997</v>
      </c>
      <c r="K746" s="1" t="s">
        <v>73</v>
      </c>
      <c r="L746" s="2">
        <v>44995</v>
      </c>
      <c r="M746" s="3">
        <v>0.58333333333333337</v>
      </c>
      <c r="N746" s="19" t="s">
        <v>1771</v>
      </c>
    </row>
    <row r="747" spans="1:14" ht="129.6" hidden="1" x14ac:dyDescent="0.3">
      <c r="A747" s="47">
        <f t="shared" si="33"/>
        <v>2023</v>
      </c>
      <c r="B747" s="46">
        <f t="shared" si="34"/>
        <v>9</v>
      </c>
      <c r="C747" s="46">
        <f t="shared" si="35"/>
        <v>11</v>
      </c>
      <c r="E747" s="1" t="s">
        <v>1773</v>
      </c>
      <c r="F747" s="19" t="s">
        <v>1774</v>
      </c>
      <c r="G747" s="1" t="s">
        <v>10</v>
      </c>
      <c r="H747" s="1" t="s">
        <v>3</v>
      </c>
      <c r="I747" s="2">
        <v>44987</v>
      </c>
      <c r="J747" s="3">
        <v>0.39513888888888887</v>
      </c>
      <c r="K747" s="1" t="s">
        <v>88</v>
      </c>
      <c r="L747" s="2">
        <v>45003</v>
      </c>
      <c r="M747" s="3">
        <v>0.36458333333333331</v>
      </c>
      <c r="N747" s="19" t="s">
        <v>1775</v>
      </c>
    </row>
    <row r="748" spans="1:14" ht="86.4" hidden="1" x14ac:dyDescent="0.3">
      <c r="A748" s="47">
        <f t="shared" si="33"/>
        <v>2023</v>
      </c>
      <c r="B748" s="46">
        <f t="shared" si="34"/>
        <v>9</v>
      </c>
      <c r="C748" s="46">
        <f t="shared" si="35"/>
        <v>11</v>
      </c>
      <c r="E748" s="1" t="s">
        <v>1777</v>
      </c>
      <c r="F748" s="19" t="s">
        <v>1776</v>
      </c>
      <c r="G748" s="1" t="s">
        <v>10</v>
      </c>
      <c r="H748" s="1" t="s">
        <v>3</v>
      </c>
      <c r="I748" s="2">
        <v>44987</v>
      </c>
      <c r="J748" s="3">
        <v>0.41041666666666665</v>
      </c>
      <c r="K748" s="1" t="s">
        <v>88</v>
      </c>
      <c r="L748" s="2">
        <v>45003</v>
      </c>
      <c r="M748" s="3">
        <v>0.39027777777777778</v>
      </c>
      <c r="N748" s="19" t="s">
        <v>1779</v>
      </c>
    </row>
    <row r="749" spans="1:14" ht="72" hidden="1" x14ac:dyDescent="0.3">
      <c r="A749" s="47">
        <f t="shared" si="33"/>
        <v>2023</v>
      </c>
      <c r="B749" s="46">
        <f t="shared" si="34"/>
        <v>9</v>
      </c>
      <c r="C749" s="46">
        <f t="shared" si="35"/>
        <v>11</v>
      </c>
      <c r="E749" s="1" t="s">
        <v>1780</v>
      </c>
      <c r="F749" s="19" t="s">
        <v>1781</v>
      </c>
      <c r="G749" s="1" t="s">
        <v>10</v>
      </c>
      <c r="H749" s="1" t="s">
        <v>3</v>
      </c>
      <c r="I749" s="2">
        <v>44987</v>
      </c>
      <c r="J749" s="3">
        <v>0.4152777777777778</v>
      </c>
      <c r="K749" s="1" t="s">
        <v>88</v>
      </c>
      <c r="L749" s="2">
        <v>45001</v>
      </c>
      <c r="M749" s="3">
        <v>0.375</v>
      </c>
      <c r="N749" s="19" t="s">
        <v>1487</v>
      </c>
    </row>
    <row r="750" spans="1:14" ht="100.8" hidden="1" x14ac:dyDescent="0.3">
      <c r="A750" s="47">
        <f t="shared" si="33"/>
        <v>2023</v>
      </c>
      <c r="B750" s="46">
        <f t="shared" si="34"/>
        <v>10</v>
      </c>
      <c r="C750" s="46">
        <f t="shared" si="35"/>
        <v>11</v>
      </c>
      <c r="E750" s="1" t="s">
        <v>1782</v>
      </c>
      <c r="F750" s="19" t="s">
        <v>1783</v>
      </c>
      <c r="G750" s="1" t="s">
        <v>9</v>
      </c>
      <c r="H750" s="1" t="s">
        <v>3</v>
      </c>
      <c r="I750" s="2">
        <v>44993</v>
      </c>
      <c r="J750" s="3">
        <v>0.37152777777777773</v>
      </c>
      <c r="K750" s="1" t="s">
        <v>88</v>
      </c>
      <c r="L750" s="2">
        <v>45003</v>
      </c>
      <c r="M750" s="3">
        <v>0.55833333333333335</v>
      </c>
      <c r="N750" s="19" t="s">
        <v>1784</v>
      </c>
    </row>
    <row r="751" spans="1:14" ht="57.6" hidden="1" x14ac:dyDescent="0.3">
      <c r="A751" s="47">
        <f t="shared" si="33"/>
        <v>2023</v>
      </c>
      <c r="B751" s="46">
        <f t="shared" si="34"/>
        <v>10</v>
      </c>
      <c r="C751" s="46">
        <f t="shared" si="35"/>
        <v>11</v>
      </c>
      <c r="E751" s="1" t="s">
        <v>1785</v>
      </c>
      <c r="F751" s="19" t="s">
        <v>1786</v>
      </c>
      <c r="G751" s="1" t="s">
        <v>10</v>
      </c>
      <c r="H751" s="1" t="s">
        <v>3</v>
      </c>
      <c r="I751" s="2">
        <v>44994</v>
      </c>
      <c r="J751" s="3">
        <v>0.37986111111111115</v>
      </c>
      <c r="K751" s="1" t="s">
        <v>88</v>
      </c>
      <c r="L751" s="2">
        <v>45003</v>
      </c>
      <c r="M751" s="3">
        <v>0.58402777777777781</v>
      </c>
      <c r="N751" s="19" t="s">
        <v>1787</v>
      </c>
    </row>
    <row r="752" spans="1:14" ht="100.8" hidden="1" x14ac:dyDescent="0.3">
      <c r="A752" s="47">
        <f t="shared" si="33"/>
        <v>2023</v>
      </c>
      <c r="B752" s="46">
        <f t="shared" si="34"/>
        <v>10</v>
      </c>
      <c r="C752" s="46">
        <f t="shared" si="35"/>
        <v>11</v>
      </c>
      <c r="E752" s="1" t="s">
        <v>1788</v>
      </c>
      <c r="F752" s="19" t="s">
        <v>1789</v>
      </c>
      <c r="G752" s="1" t="s">
        <v>9</v>
      </c>
      <c r="H752" s="1" t="s">
        <v>3</v>
      </c>
      <c r="I752" s="2">
        <v>44995</v>
      </c>
      <c r="J752" s="3">
        <v>0.3743055555555555</v>
      </c>
      <c r="K752" s="1" t="s">
        <v>88</v>
      </c>
      <c r="L752" s="2">
        <v>45003</v>
      </c>
      <c r="M752" s="3">
        <v>0.59375</v>
      </c>
      <c r="N752" s="19" t="s">
        <v>1790</v>
      </c>
    </row>
    <row r="753" spans="1:14" ht="144" hidden="1" x14ac:dyDescent="0.3">
      <c r="A753" s="47">
        <f t="shared" si="33"/>
        <v>2023</v>
      </c>
      <c r="B753" s="46">
        <f t="shared" si="34"/>
        <v>11</v>
      </c>
      <c r="C753" s="46">
        <f t="shared" si="35"/>
        <v>11</v>
      </c>
      <c r="E753" s="1" t="s">
        <v>1792</v>
      </c>
      <c r="F753" s="19" t="s">
        <v>1791</v>
      </c>
      <c r="G753" s="1" t="s">
        <v>9</v>
      </c>
      <c r="H753" s="1" t="s">
        <v>3</v>
      </c>
      <c r="I753" s="2">
        <v>44998</v>
      </c>
      <c r="J753" s="3">
        <v>0.37083333333333335</v>
      </c>
      <c r="K753" s="1" t="s">
        <v>88</v>
      </c>
      <c r="L753" s="2">
        <v>45003</v>
      </c>
      <c r="M753" s="3">
        <v>0.60763888888888895</v>
      </c>
      <c r="N753" s="19" t="s">
        <v>1793</v>
      </c>
    </row>
    <row r="754" spans="1:14" ht="153" hidden="1" customHeight="1" x14ac:dyDescent="0.3">
      <c r="A754" s="47">
        <f t="shared" si="33"/>
        <v>2023</v>
      </c>
      <c r="B754" s="46">
        <f t="shared" si="34"/>
        <v>10</v>
      </c>
      <c r="C754" s="46">
        <f t="shared" si="35"/>
        <v>12</v>
      </c>
      <c r="E754" s="38" t="s">
        <v>1795</v>
      </c>
      <c r="F754" s="19" t="s">
        <v>1796</v>
      </c>
      <c r="G754" s="1" t="s">
        <v>9</v>
      </c>
      <c r="H754" s="1" t="s">
        <v>3</v>
      </c>
      <c r="I754" s="2">
        <v>44993</v>
      </c>
      <c r="J754" s="3">
        <v>0.71458333333333324</v>
      </c>
      <c r="K754" s="1" t="s">
        <v>88</v>
      </c>
      <c r="L754" s="2">
        <v>45006</v>
      </c>
      <c r="M754" s="3">
        <v>0.44375000000000003</v>
      </c>
      <c r="N754" s="19" t="s">
        <v>1794</v>
      </c>
    </row>
    <row r="755" spans="1:14" ht="43.2" hidden="1" x14ac:dyDescent="0.3">
      <c r="A755" s="47">
        <f t="shared" si="33"/>
        <v>2023</v>
      </c>
      <c r="B755" s="46">
        <f t="shared" si="34"/>
        <v>10</v>
      </c>
      <c r="C755" s="46">
        <f t="shared" si="35"/>
        <v>12</v>
      </c>
      <c r="E755" s="1" t="s">
        <v>1797</v>
      </c>
      <c r="F755" s="19" t="s">
        <v>1798</v>
      </c>
      <c r="G755" s="1" t="s">
        <v>900</v>
      </c>
      <c r="H755" s="1" t="s">
        <v>3</v>
      </c>
      <c r="I755" s="2">
        <v>44995</v>
      </c>
      <c r="J755" s="3">
        <v>0.36319444444444443</v>
      </c>
      <c r="K755" s="1" t="s">
        <v>73</v>
      </c>
      <c r="L755" s="2">
        <v>45008</v>
      </c>
      <c r="M755" s="3">
        <v>0.33958333333333335</v>
      </c>
      <c r="N755" s="19" t="s">
        <v>1799</v>
      </c>
    </row>
    <row r="756" spans="1:14" ht="57.6" hidden="1" x14ac:dyDescent="0.3">
      <c r="A756" s="47">
        <f t="shared" si="33"/>
        <v>2023</v>
      </c>
      <c r="B756" s="46">
        <f t="shared" si="34"/>
        <v>11</v>
      </c>
      <c r="C756" s="46">
        <f t="shared" si="35"/>
        <v>12</v>
      </c>
      <c r="E756" s="1" t="s">
        <v>1800</v>
      </c>
      <c r="F756" s="19" t="s">
        <v>1750</v>
      </c>
      <c r="G756" s="1" t="s">
        <v>900</v>
      </c>
      <c r="H756" s="1" t="s">
        <v>3</v>
      </c>
      <c r="I756" s="2">
        <v>44999</v>
      </c>
      <c r="J756" s="3">
        <v>0.4909722222222222</v>
      </c>
      <c r="K756" s="1" t="s">
        <v>73</v>
      </c>
      <c r="L756" s="2">
        <v>45008</v>
      </c>
      <c r="M756" s="3">
        <v>0.34652777777777777</v>
      </c>
      <c r="N756" s="19" t="s">
        <v>1801</v>
      </c>
    </row>
    <row r="757" spans="1:14" ht="43.2" hidden="1" x14ac:dyDescent="0.3">
      <c r="A757" s="47">
        <f t="shared" si="33"/>
        <v>2023</v>
      </c>
      <c r="B757" s="46">
        <f t="shared" si="34"/>
        <v>11</v>
      </c>
      <c r="C757" s="46">
        <f t="shared" si="35"/>
        <v>12</v>
      </c>
      <c r="E757" s="1" t="s">
        <v>1802</v>
      </c>
      <c r="F757" s="19" t="s">
        <v>1756</v>
      </c>
      <c r="G757" s="1" t="s">
        <v>900</v>
      </c>
      <c r="H757" s="1" t="s">
        <v>3</v>
      </c>
      <c r="I757" s="2">
        <v>44999</v>
      </c>
      <c r="J757" s="3">
        <v>0.49861111111111112</v>
      </c>
      <c r="K757" s="1" t="s">
        <v>73</v>
      </c>
      <c r="L757" s="2">
        <v>45008</v>
      </c>
      <c r="M757" s="3">
        <v>0.34930555555555554</v>
      </c>
      <c r="N757" s="19" t="s">
        <v>1803</v>
      </c>
    </row>
    <row r="758" spans="1:14" ht="43.2" hidden="1" x14ac:dyDescent="0.3">
      <c r="A758" s="47">
        <f t="shared" si="33"/>
        <v>2023</v>
      </c>
      <c r="B758" s="46">
        <f t="shared" si="34"/>
        <v>11</v>
      </c>
      <c r="C758" s="46">
        <f t="shared" si="35"/>
        <v>12</v>
      </c>
      <c r="E758" s="1" t="s">
        <v>1804</v>
      </c>
      <c r="F758" s="19" t="s">
        <v>1766</v>
      </c>
      <c r="G758" s="1" t="s">
        <v>900</v>
      </c>
      <c r="H758" s="1" t="s">
        <v>3</v>
      </c>
      <c r="I758" s="2">
        <v>44999</v>
      </c>
      <c r="J758" s="3">
        <v>0.50694444444444442</v>
      </c>
      <c r="K758" s="1" t="s">
        <v>73</v>
      </c>
      <c r="L758" s="2">
        <v>45008</v>
      </c>
      <c r="M758" s="3">
        <v>0.35069444444444442</v>
      </c>
      <c r="N758" s="19" t="s">
        <v>1805</v>
      </c>
    </row>
    <row r="759" spans="1:14" ht="43.2" hidden="1" x14ac:dyDescent="0.3">
      <c r="A759" s="47">
        <f t="shared" si="33"/>
        <v>2023</v>
      </c>
      <c r="B759" s="46">
        <f t="shared" si="34"/>
        <v>11</v>
      </c>
      <c r="C759" s="46">
        <f t="shared" si="35"/>
        <v>12</v>
      </c>
      <c r="E759" s="1" t="s">
        <v>1806</v>
      </c>
      <c r="F759" s="19" t="s">
        <v>1807</v>
      </c>
      <c r="G759" s="1" t="s">
        <v>900</v>
      </c>
      <c r="H759" s="1" t="s">
        <v>3</v>
      </c>
      <c r="I759" s="2">
        <v>44999</v>
      </c>
      <c r="J759" s="3">
        <v>0.50902777777777775</v>
      </c>
      <c r="K759" s="1" t="s">
        <v>73</v>
      </c>
      <c r="L759" s="2">
        <v>45008</v>
      </c>
      <c r="M759" s="3">
        <v>0.3527777777777778</v>
      </c>
      <c r="N759" s="19" t="s">
        <v>1808</v>
      </c>
    </row>
    <row r="760" spans="1:14" ht="43.2" hidden="1" x14ac:dyDescent="0.3">
      <c r="A760" s="47">
        <f t="shared" si="33"/>
        <v>2023</v>
      </c>
      <c r="B760" s="46">
        <f t="shared" si="34"/>
        <v>11</v>
      </c>
      <c r="C760" s="46">
        <f t="shared" si="35"/>
        <v>12</v>
      </c>
      <c r="E760" s="1" t="s">
        <v>1809</v>
      </c>
      <c r="F760" s="19" t="s">
        <v>1810</v>
      </c>
      <c r="G760" s="1" t="s">
        <v>900</v>
      </c>
      <c r="H760" s="1" t="s">
        <v>3</v>
      </c>
      <c r="I760" s="2">
        <v>45000</v>
      </c>
      <c r="J760" s="3">
        <v>0.37986111111111115</v>
      </c>
      <c r="K760" s="1" t="s">
        <v>73</v>
      </c>
      <c r="L760" s="2">
        <v>45008</v>
      </c>
      <c r="M760" s="3">
        <v>0.35902777777777778</v>
      </c>
      <c r="N760" s="19" t="s">
        <v>1811</v>
      </c>
    </row>
    <row r="761" spans="1:14" ht="86.4" hidden="1" x14ac:dyDescent="0.3">
      <c r="A761" s="47">
        <f t="shared" si="33"/>
        <v>2023</v>
      </c>
      <c r="B761" s="46">
        <f t="shared" si="34"/>
        <v>12</v>
      </c>
      <c r="C761" s="46">
        <f t="shared" si="35"/>
        <v>12</v>
      </c>
      <c r="E761" s="1" t="s">
        <v>1812</v>
      </c>
      <c r="F761" s="19" t="s">
        <v>1813</v>
      </c>
      <c r="G761" s="1" t="s">
        <v>900</v>
      </c>
      <c r="H761" s="1" t="s">
        <v>3</v>
      </c>
      <c r="I761" s="2">
        <v>45006</v>
      </c>
      <c r="J761" s="3">
        <v>0.64930555555555558</v>
      </c>
      <c r="K761" s="1" t="s">
        <v>73</v>
      </c>
      <c r="L761" s="2">
        <v>45008</v>
      </c>
      <c r="M761" s="3">
        <v>0.38263888888888892</v>
      </c>
      <c r="N761" s="19" t="s">
        <v>1814</v>
      </c>
    </row>
    <row r="762" spans="1:14" ht="43.2" hidden="1" x14ac:dyDescent="0.3">
      <c r="A762" s="47">
        <f t="shared" si="33"/>
        <v>2023</v>
      </c>
      <c r="B762" s="46">
        <f t="shared" si="34"/>
        <v>12</v>
      </c>
      <c r="C762" s="46">
        <f t="shared" si="35"/>
        <v>12</v>
      </c>
      <c r="E762" s="1" t="s">
        <v>1815</v>
      </c>
      <c r="F762" s="19" t="s">
        <v>1816</v>
      </c>
      <c r="G762" s="1" t="s">
        <v>900</v>
      </c>
      <c r="H762" s="1" t="s">
        <v>3</v>
      </c>
      <c r="I762" s="2">
        <v>45007</v>
      </c>
      <c r="J762" s="3">
        <v>0.39999999999999997</v>
      </c>
      <c r="K762" s="1" t="s">
        <v>73</v>
      </c>
      <c r="L762" s="2">
        <v>45008</v>
      </c>
      <c r="M762" s="3">
        <v>0.40486111111111112</v>
      </c>
      <c r="N762" s="19" t="s">
        <v>1817</v>
      </c>
    </row>
    <row r="763" spans="1:14" ht="72" hidden="1" x14ac:dyDescent="0.3">
      <c r="A763" s="47">
        <f t="shared" si="33"/>
        <v>2023</v>
      </c>
      <c r="B763" s="46">
        <f t="shared" si="34"/>
        <v>11</v>
      </c>
      <c r="C763" s="46">
        <f t="shared" si="35"/>
        <v>12</v>
      </c>
      <c r="E763" s="1" t="s">
        <v>1818</v>
      </c>
      <c r="F763" s="19" t="s">
        <v>1819</v>
      </c>
      <c r="G763" s="1" t="s">
        <v>9</v>
      </c>
      <c r="H763" s="1" t="s">
        <v>3</v>
      </c>
      <c r="I763" s="2">
        <v>44999</v>
      </c>
      <c r="J763" s="3">
        <v>0.58611111111111114</v>
      </c>
      <c r="K763" s="1" t="s">
        <v>88</v>
      </c>
      <c r="L763" s="2">
        <v>45008</v>
      </c>
      <c r="M763" s="3">
        <v>0.47013888888888888</v>
      </c>
      <c r="N763" s="19" t="s">
        <v>1878</v>
      </c>
    </row>
    <row r="764" spans="1:14" ht="28.8" hidden="1" x14ac:dyDescent="0.3">
      <c r="A764" s="47">
        <f t="shared" si="33"/>
        <v>2023</v>
      </c>
      <c r="B764" s="46">
        <f t="shared" si="34"/>
        <v>11</v>
      </c>
      <c r="C764" s="46">
        <f t="shared" si="35"/>
        <v>12</v>
      </c>
      <c r="E764" s="1" t="s">
        <v>1820</v>
      </c>
      <c r="F764" s="19" t="s">
        <v>1821</v>
      </c>
      <c r="G764" s="1" t="s">
        <v>9</v>
      </c>
      <c r="H764" s="1" t="s">
        <v>3</v>
      </c>
      <c r="I764" s="2">
        <v>44999</v>
      </c>
      <c r="J764" s="1" t="s">
        <v>1822</v>
      </c>
      <c r="K764" s="1" t="s">
        <v>88</v>
      </c>
      <c r="L764" s="2">
        <v>45008</v>
      </c>
      <c r="M764" s="3">
        <v>0.58819444444444446</v>
      </c>
      <c r="N764" s="19" t="s">
        <v>1823</v>
      </c>
    </row>
    <row r="765" spans="1:14" ht="43.2" hidden="1" x14ac:dyDescent="0.3">
      <c r="A765" s="47">
        <f t="shared" si="33"/>
        <v>2023</v>
      </c>
      <c r="B765" s="46">
        <f t="shared" si="34"/>
        <v>11</v>
      </c>
      <c r="C765" s="46">
        <f t="shared" si="35"/>
        <v>12</v>
      </c>
      <c r="E765" s="1" t="s">
        <v>1824</v>
      </c>
      <c r="F765" s="19" t="s">
        <v>1825</v>
      </c>
      <c r="G765" s="1" t="s">
        <v>9</v>
      </c>
      <c r="H765" s="1" t="s">
        <v>3</v>
      </c>
      <c r="I765" s="2">
        <v>44999</v>
      </c>
      <c r="J765" s="1" t="s">
        <v>1826</v>
      </c>
      <c r="K765" s="1" t="s">
        <v>88</v>
      </c>
      <c r="L765" s="2">
        <v>45008</v>
      </c>
      <c r="M765" s="3">
        <v>0.7715277777777777</v>
      </c>
      <c r="N765" s="19" t="s">
        <v>1827</v>
      </c>
    </row>
    <row r="766" spans="1:14" ht="43.2" hidden="1" x14ac:dyDescent="0.3">
      <c r="A766" s="47">
        <f t="shared" si="33"/>
        <v>2023</v>
      </c>
      <c r="B766" s="46">
        <f t="shared" si="34"/>
        <v>11</v>
      </c>
      <c r="C766" s="46">
        <f t="shared" si="35"/>
        <v>12</v>
      </c>
      <c r="E766" s="1" t="s">
        <v>1828</v>
      </c>
      <c r="F766" s="19" t="s">
        <v>1830</v>
      </c>
      <c r="G766" s="1" t="s">
        <v>9</v>
      </c>
      <c r="H766" s="1" t="s">
        <v>3</v>
      </c>
      <c r="I766" s="2">
        <v>44999</v>
      </c>
      <c r="J766" s="1" t="s">
        <v>1829</v>
      </c>
      <c r="K766" s="1" t="s">
        <v>88</v>
      </c>
      <c r="L766" s="2">
        <v>45009</v>
      </c>
      <c r="M766" s="3">
        <v>0.74791666666666667</v>
      </c>
      <c r="N766" s="19" t="s">
        <v>1831</v>
      </c>
    </row>
    <row r="767" spans="1:14" ht="43.2" hidden="1" x14ac:dyDescent="0.3">
      <c r="A767" s="47">
        <f t="shared" si="33"/>
        <v>2023</v>
      </c>
      <c r="B767" s="46">
        <f t="shared" si="34"/>
        <v>11</v>
      </c>
      <c r="C767" s="46">
        <f t="shared" si="35"/>
        <v>12</v>
      </c>
      <c r="E767" s="1" t="s">
        <v>1832</v>
      </c>
      <c r="F767" s="19" t="s">
        <v>1830</v>
      </c>
      <c r="G767" s="1" t="s">
        <v>9</v>
      </c>
      <c r="H767" s="1" t="s">
        <v>3</v>
      </c>
      <c r="I767" s="2">
        <v>44999</v>
      </c>
      <c r="J767" s="3">
        <v>0.60069444444444442</v>
      </c>
      <c r="K767" s="1" t="s">
        <v>88</v>
      </c>
      <c r="L767" s="2">
        <v>45010</v>
      </c>
      <c r="M767" s="3">
        <v>0.50138888888888888</v>
      </c>
      <c r="N767" s="19" t="s">
        <v>1833</v>
      </c>
    </row>
    <row r="768" spans="1:14" ht="57.6" hidden="1" x14ac:dyDescent="0.3">
      <c r="A768" s="47">
        <f t="shared" si="33"/>
        <v>2023</v>
      </c>
      <c r="B768" s="46">
        <f t="shared" si="34"/>
        <v>11</v>
      </c>
      <c r="C768" s="46">
        <f t="shared" si="35"/>
        <v>13</v>
      </c>
      <c r="E768" s="1" t="s">
        <v>1835</v>
      </c>
      <c r="F768" s="19" t="s">
        <v>1825</v>
      </c>
      <c r="G768" s="1" t="s">
        <v>9</v>
      </c>
      <c r="H768" s="1" t="s">
        <v>3</v>
      </c>
      <c r="I768" s="2">
        <v>45001</v>
      </c>
      <c r="J768" s="3">
        <v>0.59097222222222223</v>
      </c>
      <c r="K768" s="1" t="s">
        <v>88</v>
      </c>
      <c r="L768" s="2">
        <v>45014</v>
      </c>
      <c r="M768" s="3">
        <v>0.3576388888888889</v>
      </c>
      <c r="N768" s="19" t="s">
        <v>1834</v>
      </c>
    </row>
    <row r="769" spans="1:14" ht="28.8" hidden="1" x14ac:dyDescent="0.3">
      <c r="A769" s="47">
        <f t="shared" si="33"/>
        <v>2023</v>
      </c>
      <c r="B769" s="46">
        <f t="shared" si="34"/>
        <v>11</v>
      </c>
      <c r="C769" s="46">
        <f t="shared" si="35"/>
        <v>13</v>
      </c>
      <c r="E769" s="1" t="s">
        <v>1836</v>
      </c>
      <c r="F769" s="19" t="s">
        <v>1837</v>
      </c>
      <c r="G769" s="1" t="s">
        <v>9</v>
      </c>
      <c r="H769" s="1" t="s">
        <v>3</v>
      </c>
      <c r="I769" s="2">
        <v>45001</v>
      </c>
      <c r="J769" s="3">
        <v>0.51041666666666663</v>
      </c>
      <c r="K769" s="1" t="s">
        <v>88</v>
      </c>
      <c r="L769" s="2">
        <v>45014</v>
      </c>
      <c r="M769" s="3">
        <v>0.3576388888888889</v>
      </c>
      <c r="N769" s="19" t="s">
        <v>1838</v>
      </c>
    </row>
    <row r="770" spans="1:14" ht="86.4" hidden="1" x14ac:dyDescent="0.3">
      <c r="A770" s="47">
        <f t="shared" si="33"/>
        <v>2023</v>
      </c>
      <c r="B770" s="46">
        <f t="shared" si="34"/>
        <v>11</v>
      </c>
      <c r="C770" s="46">
        <f t="shared" si="35"/>
        <v>12</v>
      </c>
      <c r="E770" s="1" t="s">
        <v>1840</v>
      </c>
      <c r="F770" s="19" t="s">
        <v>1839</v>
      </c>
      <c r="G770" s="1" t="s">
        <v>9</v>
      </c>
      <c r="H770" s="1" t="s">
        <v>3</v>
      </c>
      <c r="I770" s="2">
        <v>45001</v>
      </c>
      <c r="J770" s="3">
        <v>0.51597222222222217</v>
      </c>
      <c r="K770" s="1" t="s">
        <v>88</v>
      </c>
      <c r="L770" s="2">
        <v>45010</v>
      </c>
      <c r="M770" s="3">
        <v>0.57847222222222217</v>
      </c>
      <c r="N770" s="19" t="s">
        <v>1874</v>
      </c>
    </row>
    <row r="771" spans="1:14" ht="72" hidden="1" x14ac:dyDescent="0.3">
      <c r="A771" s="47">
        <f t="shared" ref="A771:A834" si="36">YEAR(L771)</f>
        <v>2023</v>
      </c>
      <c r="B771" s="46">
        <f t="shared" ref="B771:B834" si="37">WEEKNUM(I771)</f>
        <v>11</v>
      </c>
      <c r="C771" s="46">
        <f t="shared" ref="C771:C834" si="38">WEEKNUM(L771)</f>
        <v>12</v>
      </c>
      <c r="E771" s="1" t="s">
        <v>1841</v>
      </c>
      <c r="F771" s="19" t="s">
        <v>1830</v>
      </c>
      <c r="G771" s="1" t="s">
        <v>9</v>
      </c>
      <c r="H771" s="1" t="s">
        <v>3</v>
      </c>
      <c r="I771" s="2">
        <v>45002</v>
      </c>
      <c r="J771" s="3">
        <v>0.38263888888888892</v>
      </c>
      <c r="K771" s="1" t="s">
        <v>88</v>
      </c>
      <c r="L771" s="2">
        <v>45010</v>
      </c>
      <c r="M771" s="3">
        <v>0.58750000000000002</v>
      </c>
      <c r="N771" s="19" t="s">
        <v>1843</v>
      </c>
    </row>
    <row r="772" spans="1:14" ht="86.4" hidden="1" x14ac:dyDescent="0.3">
      <c r="A772" s="47">
        <f t="shared" si="36"/>
        <v>2023</v>
      </c>
      <c r="B772" s="46">
        <f t="shared" si="37"/>
        <v>11</v>
      </c>
      <c r="C772" s="46">
        <f t="shared" si="38"/>
        <v>12</v>
      </c>
      <c r="E772" s="1" t="s">
        <v>1844</v>
      </c>
      <c r="F772" s="19" t="s">
        <v>1845</v>
      </c>
      <c r="G772" s="1" t="s">
        <v>9</v>
      </c>
      <c r="H772" s="1" t="s">
        <v>3</v>
      </c>
      <c r="I772" s="2">
        <v>45002</v>
      </c>
      <c r="J772" s="3">
        <v>0.38958333333333334</v>
      </c>
      <c r="K772" s="1" t="s">
        <v>88</v>
      </c>
      <c r="L772" s="2">
        <v>45010</v>
      </c>
      <c r="M772" s="3">
        <v>0.59930555555555554</v>
      </c>
      <c r="N772" s="19" t="s">
        <v>1842</v>
      </c>
    </row>
    <row r="773" spans="1:14" ht="43.2" hidden="1" x14ac:dyDescent="0.3">
      <c r="A773" s="47">
        <f t="shared" si="36"/>
        <v>2023</v>
      </c>
      <c r="B773" s="46">
        <f t="shared" si="37"/>
        <v>12</v>
      </c>
      <c r="C773" s="46">
        <f t="shared" si="38"/>
        <v>12</v>
      </c>
      <c r="E773" s="38" t="s">
        <v>1847</v>
      </c>
      <c r="F773" s="19" t="s">
        <v>1848</v>
      </c>
      <c r="G773" s="1" t="s">
        <v>9</v>
      </c>
      <c r="H773" s="1" t="s">
        <v>3</v>
      </c>
      <c r="I773" s="2">
        <v>45005</v>
      </c>
      <c r="J773" s="3">
        <v>0.73263888888888884</v>
      </c>
      <c r="K773" s="1" t="s">
        <v>88</v>
      </c>
      <c r="L773" s="2">
        <v>45010</v>
      </c>
      <c r="M773" s="3">
        <v>0.60763888888888895</v>
      </c>
      <c r="N773" s="19" t="s">
        <v>1846</v>
      </c>
    </row>
    <row r="774" spans="1:14" ht="57.6" hidden="1" x14ac:dyDescent="0.3">
      <c r="A774" s="47">
        <f t="shared" si="36"/>
        <v>2023</v>
      </c>
      <c r="B774" s="46">
        <f t="shared" si="37"/>
        <v>11</v>
      </c>
      <c r="C774" s="46">
        <f t="shared" si="38"/>
        <v>12</v>
      </c>
      <c r="E774" s="1" t="s">
        <v>1849</v>
      </c>
      <c r="F774" s="19" t="s">
        <v>1850</v>
      </c>
      <c r="G774" s="1" t="s">
        <v>10</v>
      </c>
      <c r="H774" s="1" t="s">
        <v>3</v>
      </c>
      <c r="I774" s="2">
        <v>45000</v>
      </c>
      <c r="J774" s="3">
        <v>0.43263888888888885</v>
      </c>
      <c r="K774" s="1" t="s">
        <v>88</v>
      </c>
      <c r="L774" s="2">
        <v>45010</v>
      </c>
      <c r="M774" s="3">
        <v>0.67569444444444438</v>
      </c>
      <c r="N774" s="19" t="s">
        <v>1851</v>
      </c>
    </row>
    <row r="775" spans="1:14" ht="43.2" hidden="1" x14ac:dyDescent="0.3">
      <c r="A775" s="47">
        <f t="shared" si="36"/>
        <v>2023</v>
      </c>
      <c r="B775" s="46">
        <f t="shared" si="37"/>
        <v>11</v>
      </c>
      <c r="C775" s="46">
        <f t="shared" si="38"/>
        <v>12</v>
      </c>
      <c r="E775" s="1" t="s">
        <v>1854</v>
      </c>
      <c r="F775" s="19" t="s">
        <v>1853</v>
      </c>
      <c r="G775" s="1" t="s">
        <v>10</v>
      </c>
      <c r="H775" s="1" t="s">
        <v>3</v>
      </c>
      <c r="I775" s="2">
        <v>45000</v>
      </c>
      <c r="J775" s="3">
        <v>0.4375</v>
      </c>
      <c r="K775" s="1" t="s">
        <v>88</v>
      </c>
      <c r="L775" s="2">
        <v>45010</v>
      </c>
      <c r="M775" s="3">
        <v>0.68333333333333324</v>
      </c>
      <c r="N775" s="19" t="s">
        <v>1852</v>
      </c>
    </row>
    <row r="776" spans="1:14" ht="43.2" hidden="1" x14ac:dyDescent="0.3">
      <c r="A776" s="47">
        <f t="shared" si="36"/>
        <v>2023</v>
      </c>
      <c r="B776" s="46">
        <f t="shared" si="37"/>
        <v>11</v>
      </c>
      <c r="C776" s="46">
        <f t="shared" si="38"/>
        <v>12</v>
      </c>
      <c r="E776" s="1" t="s">
        <v>1855</v>
      </c>
      <c r="F776" s="19" t="s">
        <v>1856</v>
      </c>
      <c r="G776" s="1" t="s">
        <v>10</v>
      </c>
      <c r="H776" s="1" t="s">
        <v>3</v>
      </c>
      <c r="I776" s="2">
        <v>45001</v>
      </c>
      <c r="J776" s="3">
        <v>0.7006944444444444</v>
      </c>
      <c r="K776" s="1" t="s">
        <v>88</v>
      </c>
      <c r="L776" s="2">
        <v>45010</v>
      </c>
      <c r="M776" s="3">
        <v>0.73749999999999993</v>
      </c>
      <c r="N776" s="19" t="s">
        <v>1857</v>
      </c>
    </row>
    <row r="777" spans="1:14" ht="57.6" hidden="1" x14ac:dyDescent="0.3">
      <c r="A777" s="47">
        <f t="shared" si="36"/>
        <v>2023</v>
      </c>
      <c r="B777" s="46">
        <f t="shared" si="37"/>
        <v>12</v>
      </c>
      <c r="C777" s="46">
        <f t="shared" si="38"/>
        <v>12</v>
      </c>
      <c r="E777" s="1" t="s">
        <v>1858</v>
      </c>
      <c r="F777" s="19" t="s">
        <v>1859</v>
      </c>
      <c r="G777" s="1" t="s">
        <v>10</v>
      </c>
      <c r="H777" s="1" t="s">
        <v>3</v>
      </c>
      <c r="I777" s="2">
        <v>45006</v>
      </c>
      <c r="J777" s="3">
        <v>0.62638888888888888</v>
      </c>
      <c r="K777" s="1" t="s">
        <v>88</v>
      </c>
      <c r="L777" s="2">
        <v>45010</v>
      </c>
      <c r="M777" s="3">
        <v>0.74097222222222225</v>
      </c>
      <c r="N777" s="19" t="s">
        <v>1860</v>
      </c>
    </row>
    <row r="778" spans="1:14" ht="28.8" hidden="1" x14ac:dyDescent="0.3">
      <c r="A778" s="47">
        <f t="shared" si="36"/>
        <v>2023</v>
      </c>
      <c r="B778" s="46">
        <f t="shared" si="37"/>
        <v>12</v>
      </c>
      <c r="C778" s="46">
        <f t="shared" si="38"/>
        <v>13</v>
      </c>
      <c r="E778" s="1" t="s">
        <v>1861</v>
      </c>
      <c r="F778" s="19" t="s">
        <v>1862</v>
      </c>
      <c r="G778" s="1" t="s">
        <v>9</v>
      </c>
      <c r="H778" s="1" t="s">
        <v>3</v>
      </c>
      <c r="I778" s="2">
        <v>45008</v>
      </c>
      <c r="J778" s="3">
        <v>0.43333333333333335</v>
      </c>
      <c r="K778" s="1" t="s">
        <v>73</v>
      </c>
      <c r="L778" s="2">
        <v>45012</v>
      </c>
      <c r="M778" s="3">
        <v>0.31041666666666667</v>
      </c>
      <c r="N778" s="19" t="s">
        <v>1863</v>
      </c>
    </row>
    <row r="779" spans="1:14" ht="57.6" hidden="1" x14ac:dyDescent="0.3">
      <c r="A779" s="47">
        <f t="shared" si="36"/>
        <v>2023</v>
      </c>
      <c r="B779" s="46">
        <f t="shared" si="37"/>
        <v>12</v>
      </c>
      <c r="C779" s="46">
        <f t="shared" si="38"/>
        <v>13</v>
      </c>
      <c r="E779" s="1" t="s">
        <v>1864</v>
      </c>
      <c r="F779" s="19" t="s">
        <v>1865</v>
      </c>
      <c r="G779" s="1" t="s">
        <v>10</v>
      </c>
      <c r="H779" s="1" t="s">
        <v>3</v>
      </c>
      <c r="I779" s="2">
        <v>45008</v>
      </c>
      <c r="J779" s="3">
        <v>0.4284722222222222</v>
      </c>
      <c r="K779" s="1" t="s">
        <v>88</v>
      </c>
      <c r="L779" s="2">
        <v>45014</v>
      </c>
      <c r="M779" s="3">
        <v>0.56527777777777777</v>
      </c>
      <c r="N779" s="19" t="s">
        <v>1866</v>
      </c>
    </row>
    <row r="780" spans="1:14" ht="72" hidden="1" x14ac:dyDescent="0.3">
      <c r="A780" s="47">
        <f t="shared" si="36"/>
        <v>2023</v>
      </c>
      <c r="B780" s="46">
        <f t="shared" si="37"/>
        <v>12</v>
      </c>
      <c r="C780" s="46">
        <f t="shared" si="38"/>
        <v>13</v>
      </c>
      <c r="E780" s="1" t="s">
        <v>1868</v>
      </c>
      <c r="F780" s="19" t="s">
        <v>1867</v>
      </c>
      <c r="G780" s="1" t="s">
        <v>10</v>
      </c>
      <c r="H780" s="1" t="s">
        <v>3</v>
      </c>
      <c r="I780" s="2">
        <v>45008</v>
      </c>
      <c r="J780" s="3">
        <v>0.42986111111111108</v>
      </c>
      <c r="K780" s="1" t="s">
        <v>88</v>
      </c>
      <c r="L780" s="2">
        <v>45014</v>
      </c>
      <c r="M780" s="3">
        <v>0.58750000000000002</v>
      </c>
      <c r="N780" s="19" t="s">
        <v>1869</v>
      </c>
    </row>
    <row r="781" spans="1:14" ht="57.6" hidden="1" x14ac:dyDescent="0.3">
      <c r="A781" s="47">
        <f t="shared" si="36"/>
        <v>2023</v>
      </c>
      <c r="B781" s="46">
        <f t="shared" si="37"/>
        <v>13</v>
      </c>
      <c r="C781" s="46">
        <f t="shared" si="38"/>
        <v>13</v>
      </c>
      <c r="E781" s="1" t="s">
        <v>1870</v>
      </c>
      <c r="F781" s="19" t="s">
        <v>1871</v>
      </c>
      <c r="G781" s="1" t="s">
        <v>10</v>
      </c>
      <c r="H781" s="1" t="s">
        <v>3</v>
      </c>
      <c r="I781" s="2">
        <v>45013</v>
      </c>
      <c r="J781" s="3">
        <v>0.42986111111111108</v>
      </c>
      <c r="K781" s="1" t="s">
        <v>88</v>
      </c>
      <c r="L781" s="2">
        <v>45014</v>
      </c>
      <c r="M781" s="3">
        <v>0.59166666666666667</v>
      </c>
      <c r="N781" s="19" t="s">
        <v>1872</v>
      </c>
    </row>
    <row r="782" spans="1:14" ht="86.4" hidden="1" x14ac:dyDescent="0.3">
      <c r="A782" s="47">
        <f t="shared" si="36"/>
        <v>2023</v>
      </c>
      <c r="B782" s="46">
        <f t="shared" si="37"/>
        <v>12</v>
      </c>
      <c r="C782" s="46">
        <f t="shared" si="38"/>
        <v>13</v>
      </c>
      <c r="E782" s="1" t="s">
        <v>1875</v>
      </c>
      <c r="F782" s="19" t="s">
        <v>1876</v>
      </c>
      <c r="G782" s="1" t="s">
        <v>9</v>
      </c>
      <c r="H782" s="1" t="s">
        <v>57</v>
      </c>
      <c r="I782" s="2">
        <v>45008</v>
      </c>
      <c r="J782" s="3">
        <v>0.50972222222222219</v>
      </c>
      <c r="K782" s="1" t="s">
        <v>88</v>
      </c>
      <c r="L782" s="2">
        <v>45015</v>
      </c>
      <c r="M782" s="3">
        <v>0.40833333333333338</v>
      </c>
      <c r="N782" s="19" t="s">
        <v>1881</v>
      </c>
    </row>
    <row r="783" spans="1:14" ht="72" hidden="1" x14ac:dyDescent="0.3">
      <c r="A783" s="47">
        <f t="shared" si="36"/>
        <v>2023</v>
      </c>
      <c r="B783" s="46">
        <f t="shared" si="37"/>
        <v>12</v>
      </c>
      <c r="C783" s="46">
        <f t="shared" si="38"/>
        <v>13</v>
      </c>
      <c r="E783" s="1" t="s">
        <v>1877</v>
      </c>
      <c r="F783" s="83" t="s">
        <v>1879</v>
      </c>
      <c r="G783" s="1" t="s">
        <v>10</v>
      </c>
      <c r="H783" s="1" t="s">
        <v>57</v>
      </c>
      <c r="I783" s="2">
        <v>45008</v>
      </c>
      <c r="J783" s="3">
        <v>0.49513888888888885</v>
      </c>
      <c r="K783" s="1" t="s">
        <v>88</v>
      </c>
      <c r="L783" s="2">
        <v>45016</v>
      </c>
      <c r="M783" s="3">
        <v>0.63194444444444442</v>
      </c>
      <c r="N783" s="19" t="s">
        <v>1880</v>
      </c>
    </row>
    <row r="784" spans="1:14" ht="86.4" hidden="1" x14ac:dyDescent="0.3">
      <c r="A784" s="47">
        <f t="shared" si="36"/>
        <v>2023</v>
      </c>
      <c r="B784" s="46">
        <f t="shared" si="37"/>
        <v>14</v>
      </c>
      <c r="C784" s="46">
        <f t="shared" si="38"/>
        <v>15</v>
      </c>
      <c r="E784" s="1" t="s">
        <v>1882</v>
      </c>
      <c r="F784" s="19" t="s">
        <v>1810</v>
      </c>
      <c r="G784" s="1" t="s">
        <v>900</v>
      </c>
      <c r="H784" s="1" t="s">
        <v>57</v>
      </c>
      <c r="I784" s="2">
        <v>45020</v>
      </c>
      <c r="J784" s="3">
        <v>0.50277777777777777</v>
      </c>
      <c r="K784" s="1" t="s">
        <v>73</v>
      </c>
      <c r="L784" s="34">
        <v>45028</v>
      </c>
      <c r="M784" s="28" t="s">
        <v>1908</v>
      </c>
      <c r="N784" s="19" t="s">
        <v>1907</v>
      </c>
    </row>
    <row r="785" spans="1:14" ht="43.2" hidden="1" x14ac:dyDescent="0.3">
      <c r="A785" s="47">
        <f t="shared" si="36"/>
        <v>2023</v>
      </c>
      <c r="B785" s="46">
        <f t="shared" si="37"/>
        <v>13</v>
      </c>
      <c r="C785" s="46">
        <f t="shared" si="38"/>
        <v>15</v>
      </c>
      <c r="E785" s="1" t="s">
        <v>1883</v>
      </c>
      <c r="F785" s="19" t="s">
        <v>1884</v>
      </c>
      <c r="G785" s="1" t="s">
        <v>10</v>
      </c>
      <c r="H785" s="1" t="s">
        <v>57</v>
      </c>
      <c r="I785" s="2">
        <v>45015</v>
      </c>
      <c r="J785" s="3">
        <v>0.38750000000000001</v>
      </c>
      <c r="K785" s="1" t="s">
        <v>88</v>
      </c>
      <c r="L785" s="2">
        <v>45027</v>
      </c>
      <c r="M785" s="3">
        <v>0.63124999999999998</v>
      </c>
      <c r="N785" s="19" t="s">
        <v>1885</v>
      </c>
    </row>
    <row r="786" spans="1:14" ht="28.8" hidden="1" x14ac:dyDescent="0.3">
      <c r="A786" s="47">
        <f t="shared" si="36"/>
        <v>2023</v>
      </c>
      <c r="B786" s="46">
        <f t="shared" si="37"/>
        <v>13</v>
      </c>
      <c r="C786" s="46">
        <f t="shared" si="38"/>
        <v>15</v>
      </c>
      <c r="E786" s="1" t="s">
        <v>1886</v>
      </c>
      <c r="F786" s="19" t="s">
        <v>1887</v>
      </c>
      <c r="G786" s="1" t="s">
        <v>9</v>
      </c>
      <c r="H786" s="1" t="s">
        <v>57</v>
      </c>
      <c r="I786" s="2">
        <v>45015</v>
      </c>
      <c r="J786" s="3">
        <v>0.46736111111111112</v>
      </c>
      <c r="K786" s="1" t="s">
        <v>88</v>
      </c>
      <c r="L786" s="2">
        <v>45027</v>
      </c>
      <c r="M786" s="3">
        <v>0.63541666666666663</v>
      </c>
      <c r="N786" s="19" t="s">
        <v>1888</v>
      </c>
    </row>
    <row r="787" spans="1:14" ht="28.8" hidden="1" x14ac:dyDescent="0.3">
      <c r="A787" s="47">
        <f t="shared" si="36"/>
        <v>2023</v>
      </c>
      <c r="B787" s="46">
        <f t="shared" si="37"/>
        <v>13</v>
      </c>
      <c r="C787" s="46">
        <f t="shared" si="38"/>
        <v>15</v>
      </c>
      <c r="E787" s="1" t="s">
        <v>1889</v>
      </c>
      <c r="F787" s="19" t="s">
        <v>1891</v>
      </c>
      <c r="G787" s="1" t="s">
        <v>9</v>
      </c>
      <c r="H787" s="1" t="s">
        <v>57</v>
      </c>
      <c r="I787" s="2">
        <v>45015</v>
      </c>
      <c r="J787" s="3">
        <v>0.47152777777777777</v>
      </c>
      <c r="K787" s="1" t="s">
        <v>88</v>
      </c>
      <c r="L787" s="2">
        <v>45027</v>
      </c>
      <c r="M787" s="3">
        <v>0.64444444444444449</v>
      </c>
      <c r="N787" s="19" t="s">
        <v>1888</v>
      </c>
    </row>
    <row r="788" spans="1:14" ht="28.8" hidden="1" x14ac:dyDescent="0.3">
      <c r="A788" s="47">
        <f t="shared" si="36"/>
        <v>2023</v>
      </c>
      <c r="B788" s="46">
        <f t="shared" si="37"/>
        <v>13</v>
      </c>
      <c r="C788" s="46">
        <f t="shared" si="38"/>
        <v>15</v>
      </c>
      <c r="E788" s="1" t="s">
        <v>1890</v>
      </c>
      <c r="F788" s="19" t="s">
        <v>1893</v>
      </c>
      <c r="G788" s="1" t="s">
        <v>10</v>
      </c>
      <c r="H788" s="1" t="s">
        <v>57</v>
      </c>
      <c r="I788" s="2">
        <v>45016</v>
      </c>
      <c r="J788" s="3">
        <v>0.45555555555555555</v>
      </c>
      <c r="K788" s="1" t="s">
        <v>88</v>
      </c>
      <c r="L788" s="2">
        <v>45027</v>
      </c>
      <c r="M788" s="3">
        <v>0.65972222222222221</v>
      </c>
      <c r="N788" s="19" t="s">
        <v>1892</v>
      </c>
    </row>
    <row r="789" spans="1:14" ht="28.8" hidden="1" x14ac:dyDescent="0.3">
      <c r="A789" s="47">
        <f t="shared" si="36"/>
        <v>2023</v>
      </c>
      <c r="B789" s="46">
        <f t="shared" si="37"/>
        <v>13</v>
      </c>
      <c r="C789" s="46">
        <f t="shared" si="38"/>
        <v>15</v>
      </c>
      <c r="E789" s="1" t="s">
        <v>1896</v>
      </c>
      <c r="F789" s="19" t="s">
        <v>1895</v>
      </c>
      <c r="G789" s="1" t="s">
        <v>10</v>
      </c>
      <c r="H789" s="1" t="s">
        <v>57</v>
      </c>
      <c r="I789" s="2">
        <v>45016</v>
      </c>
      <c r="J789" s="3">
        <v>0.4597222222222222</v>
      </c>
      <c r="K789" s="1" t="s">
        <v>88</v>
      </c>
      <c r="L789" s="2">
        <v>45027</v>
      </c>
      <c r="M789" s="3">
        <v>0.68819444444444444</v>
      </c>
      <c r="N789" s="19" t="s">
        <v>1894</v>
      </c>
    </row>
    <row r="790" spans="1:14" ht="28.8" hidden="1" x14ac:dyDescent="0.3">
      <c r="A790" s="47">
        <f t="shared" si="36"/>
        <v>2023</v>
      </c>
      <c r="B790" s="46">
        <f t="shared" si="37"/>
        <v>13</v>
      </c>
      <c r="C790" s="46">
        <f t="shared" si="38"/>
        <v>15</v>
      </c>
      <c r="E790" s="1" t="s">
        <v>1898</v>
      </c>
      <c r="F790" s="19" t="s">
        <v>1897</v>
      </c>
      <c r="G790" s="1" t="s">
        <v>10</v>
      </c>
      <c r="H790" s="1" t="s">
        <v>57</v>
      </c>
      <c r="I790" s="2">
        <v>45016</v>
      </c>
      <c r="J790" s="3">
        <v>0.47638888888888892</v>
      </c>
      <c r="K790" s="1" t="s">
        <v>88</v>
      </c>
      <c r="L790" s="2">
        <v>45027</v>
      </c>
      <c r="M790" s="3">
        <v>0.69374999999999998</v>
      </c>
      <c r="N790" s="19" t="s">
        <v>1899</v>
      </c>
    </row>
    <row r="791" spans="1:14" ht="28.8" hidden="1" x14ac:dyDescent="0.3">
      <c r="A791" s="47">
        <f t="shared" si="36"/>
        <v>2023</v>
      </c>
      <c r="B791" s="46">
        <f t="shared" si="37"/>
        <v>13</v>
      </c>
      <c r="C791" s="46">
        <f t="shared" si="38"/>
        <v>15</v>
      </c>
      <c r="E791" s="1" t="s">
        <v>1900</v>
      </c>
      <c r="F791" s="19" t="s">
        <v>1901</v>
      </c>
      <c r="G791" s="1" t="s">
        <v>10</v>
      </c>
      <c r="H791" s="1" t="s">
        <v>57</v>
      </c>
      <c r="I791" s="2">
        <v>45016</v>
      </c>
      <c r="J791" s="3">
        <v>0.49305555555555558</v>
      </c>
      <c r="K791" s="1" t="s">
        <v>88</v>
      </c>
      <c r="L791" s="2">
        <v>45027</v>
      </c>
      <c r="M791" s="3">
        <v>0.6958333333333333</v>
      </c>
      <c r="N791" s="19" t="s">
        <v>1899</v>
      </c>
    </row>
    <row r="792" spans="1:14" ht="28.8" hidden="1" x14ac:dyDescent="0.3">
      <c r="A792" s="47">
        <f t="shared" si="36"/>
        <v>2023</v>
      </c>
      <c r="B792" s="46">
        <f t="shared" si="37"/>
        <v>13</v>
      </c>
      <c r="C792" s="46">
        <f t="shared" si="38"/>
        <v>15</v>
      </c>
      <c r="E792" s="1" t="s">
        <v>1902</v>
      </c>
      <c r="F792" s="19" t="s">
        <v>1901</v>
      </c>
      <c r="G792" s="1" t="s">
        <v>10</v>
      </c>
      <c r="H792" s="1" t="s">
        <v>57</v>
      </c>
      <c r="I792" s="2">
        <v>45016</v>
      </c>
      <c r="J792" s="3">
        <v>0.49861111111111112</v>
      </c>
      <c r="K792" s="1" t="s">
        <v>88</v>
      </c>
      <c r="L792" s="2">
        <v>45027</v>
      </c>
      <c r="M792" s="3">
        <v>0.71319444444444446</v>
      </c>
      <c r="N792" s="19" t="s">
        <v>1903</v>
      </c>
    </row>
    <row r="793" spans="1:14" ht="43.2" hidden="1" x14ac:dyDescent="0.3">
      <c r="A793" s="47">
        <f t="shared" si="36"/>
        <v>2023</v>
      </c>
      <c r="B793" s="46">
        <f t="shared" si="37"/>
        <v>14</v>
      </c>
      <c r="C793" s="46">
        <f t="shared" si="38"/>
        <v>15</v>
      </c>
      <c r="E793" s="1" t="s">
        <v>1904</v>
      </c>
      <c r="F793" s="19" t="s">
        <v>1905</v>
      </c>
      <c r="G793" s="1" t="s">
        <v>10</v>
      </c>
      <c r="H793" s="1" t="s">
        <v>57</v>
      </c>
      <c r="I793" s="2">
        <v>45020</v>
      </c>
      <c r="J793" s="3">
        <v>0.48888888888888887</v>
      </c>
      <c r="K793" s="1" t="s">
        <v>88</v>
      </c>
      <c r="L793" s="2">
        <v>45027</v>
      </c>
      <c r="M793" s="3">
        <v>0.71736111111111101</v>
      </c>
      <c r="N793" s="19" t="s">
        <v>1906</v>
      </c>
    </row>
    <row r="794" spans="1:14" ht="57.6" hidden="1" x14ac:dyDescent="0.3">
      <c r="A794" s="47">
        <f t="shared" si="36"/>
        <v>2023</v>
      </c>
      <c r="B794" s="46">
        <f t="shared" si="37"/>
        <v>15</v>
      </c>
      <c r="C794" s="46">
        <f t="shared" si="38"/>
        <v>15</v>
      </c>
      <c r="E794" s="1" t="s">
        <v>1909</v>
      </c>
      <c r="F794" s="19" t="s">
        <v>1910</v>
      </c>
      <c r="G794" s="1" t="s">
        <v>900</v>
      </c>
      <c r="H794" s="1" t="s">
        <v>3</v>
      </c>
      <c r="I794" s="2">
        <v>45027</v>
      </c>
      <c r="J794" s="3">
        <v>0.3444444444444445</v>
      </c>
      <c r="K794" s="1" t="s">
        <v>73</v>
      </c>
      <c r="L794" s="2">
        <v>45027</v>
      </c>
      <c r="N794" s="19" t="s">
        <v>1913</v>
      </c>
    </row>
    <row r="795" spans="1:14" hidden="1" x14ac:dyDescent="0.3">
      <c r="A795" s="47">
        <f t="shared" si="36"/>
        <v>2023</v>
      </c>
      <c r="B795" s="46">
        <f t="shared" si="37"/>
        <v>14</v>
      </c>
      <c r="C795" s="46">
        <f t="shared" si="38"/>
        <v>15</v>
      </c>
      <c r="E795" s="1" t="s">
        <v>1911</v>
      </c>
      <c r="F795" s="19" t="s">
        <v>1912</v>
      </c>
      <c r="G795" s="1" t="s">
        <v>900</v>
      </c>
      <c r="H795" s="1" t="s">
        <v>3</v>
      </c>
      <c r="I795" s="2">
        <v>45021</v>
      </c>
      <c r="J795" s="3">
        <v>0.48125000000000001</v>
      </c>
      <c r="K795" s="1" t="s">
        <v>73</v>
      </c>
      <c r="L795" s="2">
        <v>45030</v>
      </c>
      <c r="M795" s="3">
        <v>0.56666666666666665</v>
      </c>
      <c r="N795" s="19" t="s">
        <v>1914</v>
      </c>
    </row>
    <row r="796" spans="1:14" hidden="1" x14ac:dyDescent="0.3">
      <c r="A796" s="47">
        <f t="shared" si="36"/>
        <v>2023</v>
      </c>
      <c r="B796" s="46">
        <f t="shared" si="37"/>
        <v>14</v>
      </c>
      <c r="C796" s="46">
        <f t="shared" si="38"/>
        <v>15</v>
      </c>
      <c r="E796" s="1" t="s">
        <v>1915</v>
      </c>
      <c r="F796" s="19" t="s">
        <v>1916</v>
      </c>
      <c r="G796" s="1" t="s">
        <v>900</v>
      </c>
      <c r="H796" s="1" t="s">
        <v>3</v>
      </c>
      <c r="I796" s="2">
        <v>45021</v>
      </c>
      <c r="J796" s="3">
        <v>0.4909722222222222</v>
      </c>
      <c r="K796" s="1" t="s">
        <v>73</v>
      </c>
      <c r="L796" s="2">
        <v>45030</v>
      </c>
      <c r="M796" s="3">
        <v>0.5805555555555556</v>
      </c>
      <c r="N796" s="19" t="s">
        <v>1914</v>
      </c>
    </row>
    <row r="797" spans="1:14" hidden="1" x14ac:dyDescent="0.3">
      <c r="A797" s="47">
        <f t="shared" si="36"/>
        <v>2023</v>
      </c>
      <c r="B797" s="46">
        <f t="shared" si="37"/>
        <v>14</v>
      </c>
      <c r="C797" s="46">
        <f t="shared" si="38"/>
        <v>15</v>
      </c>
      <c r="E797" s="1" t="s">
        <v>1917</v>
      </c>
      <c r="F797" s="19" t="s">
        <v>1618</v>
      </c>
      <c r="G797" s="1" t="s">
        <v>900</v>
      </c>
      <c r="H797" s="1" t="s">
        <v>1249</v>
      </c>
      <c r="I797" s="2">
        <v>45022</v>
      </c>
      <c r="J797" s="3">
        <v>0.61597222222222225</v>
      </c>
      <c r="K797" s="1" t="s">
        <v>73</v>
      </c>
      <c r="L797" s="2">
        <v>45030</v>
      </c>
      <c r="M797" s="3">
        <v>0.64652777777777781</v>
      </c>
      <c r="N797" s="19" t="s">
        <v>1919</v>
      </c>
    </row>
    <row r="798" spans="1:14" ht="42" hidden="1" customHeight="1" x14ac:dyDescent="0.3">
      <c r="A798" s="47">
        <f t="shared" si="36"/>
        <v>2023</v>
      </c>
      <c r="B798" s="46">
        <f t="shared" si="37"/>
        <v>14</v>
      </c>
      <c r="C798" s="46">
        <f t="shared" si="38"/>
        <v>15</v>
      </c>
      <c r="E798" s="1" t="s">
        <v>1920</v>
      </c>
      <c r="F798" s="19" t="s">
        <v>1921</v>
      </c>
      <c r="G798" s="1" t="s">
        <v>900</v>
      </c>
      <c r="H798" s="1" t="s">
        <v>1249</v>
      </c>
      <c r="I798" s="2">
        <v>45022</v>
      </c>
      <c r="J798" s="3">
        <v>0.70277777777777783</v>
      </c>
      <c r="K798" s="1" t="s">
        <v>73</v>
      </c>
      <c r="L798" s="2">
        <v>45030</v>
      </c>
      <c r="M798" s="3">
        <v>0.65763888888888888</v>
      </c>
      <c r="N798" s="19" t="s">
        <v>1922</v>
      </c>
    </row>
    <row r="799" spans="1:14" hidden="1" x14ac:dyDescent="0.3">
      <c r="A799" s="47">
        <f t="shared" si="36"/>
        <v>2023</v>
      </c>
      <c r="B799" s="46">
        <f t="shared" si="37"/>
        <v>14</v>
      </c>
      <c r="C799" s="46">
        <f t="shared" si="38"/>
        <v>15</v>
      </c>
      <c r="E799" s="1" t="s">
        <v>1923</v>
      </c>
      <c r="F799" s="19" t="s">
        <v>1910</v>
      </c>
      <c r="G799" s="1" t="s">
        <v>900</v>
      </c>
      <c r="H799" s="1" t="s">
        <v>1249</v>
      </c>
      <c r="I799" s="2">
        <v>45022</v>
      </c>
      <c r="J799" s="3">
        <v>0.70833333333333337</v>
      </c>
      <c r="K799" s="1" t="s">
        <v>73</v>
      </c>
      <c r="L799" s="2">
        <v>45030</v>
      </c>
      <c r="M799" s="3">
        <v>0.66666666666666663</v>
      </c>
      <c r="N799" s="19" t="s">
        <v>955</v>
      </c>
    </row>
    <row r="800" spans="1:14" ht="143.1" hidden="1" customHeight="1" x14ac:dyDescent="0.3">
      <c r="A800" s="47">
        <f t="shared" si="36"/>
        <v>2023</v>
      </c>
      <c r="B800" s="46">
        <f t="shared" si="37"/>
        <v>17</v>
      </c>
      <c r="C800" s="46">
        <f t="shared" si="38"/>
        <v>17</v>
      </c>
      <c r="E800" s="1" t="s">
        <v>1924</v>
      </c>
      <c r="F800" s="19" t="s">
        <v>1810</v>
      </c>
      <c r="G800" s="1" t="s">
        <v>900</v>
      </c>
      <c r="H800" s="1" t="s">
        <v>3</v>
      </c>
      <c r="I800" s="2">
        <v>45041</v>
      </c>
      <c r="J800" s="3">
        <v>0.51944444444444449</v>
      </c>
      <c r="K800" s="1" t="s">
        <v>73</v>
      </c>
      <c r="L800" s="2">
        <v>45043</v>
      </c>
      <c r="M800" s="3">
        <v>0.65972222222222221</v>
      </c>
      <c r="N800" s="19" t="s">
        <v>1926</v>
      </c>
    </row>
    <row r="801" spans="1:14" ht="63.75" hidden="1" customHeight="1" x14ac:dyDescent="0.3">
      <c r="A801" s="47">
        <f t="shared" si="36"/>
        <v>2023</v>
      </c>
      <c r="B801" s="46">
        <f t="shared" si="37"/>
        <v>14</v>
      </c>
      <c r="C801" s="46">
        <f t="shared" si="38"/>
        <v>17</v>
      </c>
      <c r="E801" s="1" t="s">
        <v>1928</v>
      </c>
      <c r="F801" s="19" t="s">
        <v>1929</v>
      </c>
      <c r="G801" s="1" t="s">
        <v>9</v>
      </c>
      <c r="H801" s="1" t="s">
        <v>3</v>
      </c>
      <c r="I801" s="2">
        <v>45022</v>
      </c>
      <c r="J801" s="3">
        <v>0.68958333333333333</v>
      </c>
      <c r="K801" s="1" t="s">
        <v>88</v>
      </c>
      <c r="L801" s="2">
        <v>45044</v>
      </c>
      <c r="M801" s="3">
        <v>0.48055555555555557</v>
      </c>
      <c r="N801" s="19" t="s">
        <v>1930</v>
      </c>
    </row>
    <row r="802" spans="1:14" ht="28.8" hidden="1" x14ac:dyDescent="0.3">
      <c r="A802" s="47">
        <f t="shared" si="36"/>
        <v>2023</v>
      </c>
      <c r="B802" s="46">
        <f t="shared" si="37"/>
        <v>16</v>
      </c>
      <c r="C802" s="46">
        <f t="shared" si="38"/>
        <v>17</v>
      </c>
      <c r="E802" s="1" t="s">
        <v>1931</v>
      </c>
      <c r="F802" s="19" t="s">
        <v>1932</v>
      </c>
      <c r="G802" s="1" t="s">
        <v>10</v>
      </c>
      <c r="H802" s="1" t="s">
        <v>3</v>
      </c>
      <c r="I802" s="2">
        <v>45033</v>
      </c>
      <c r="J802" s="3">
        <v>0.34930555555555554</v>
      </c>
      <c r="K802" s="1" t="s">
        <v>88</v>
      </c>
      <c r="L802" s="2">
        <v>45044</v>
      </c>
      <c r="M802" s="3">
        <v>0.45902777777777781</v>
      </c>
      <c r="N802" s="19" t="s">
        <v>1933</v>
      </c>
    </row>
    <row r="803" spans="1:14" ht="43.2" hidden="1" x14ac:dyDescent="0.3">
      <c r="A803" s="47">
        <f t="shared" si="36"/>
        <v>2023</v>
      </c>
      <c r="B803" s="46">
        <f t="shared" si="37"/>
        <v>14</v>
      </c>
      <c r="C803" s="46">
        <f t="shared" si="38"/>
        <v>17</v>
      </c>
      <c r="E803" s="1" t="s">
        <v>1935</v>
      </c>
      <c r="F803" s="19" t="s">
        <v>1936</v>
      </c>
      <c r="G803" s="1" t="s">
        <v>9</v>
      </c>
      <c r="H803" s="1" t="s">
        <v>3</v>
      </c>
      <c r="I803" s="2">
        <v>45022</v>
      </c>
      <c r="J803" s="3">
        <v>0.69236111111111109</v>
      </c>
      <c r="K803" s="1" t="s">
        <v>88</v>
      </c>
      <c r="L803" s="2">
        <v>45044</v>
      </c>
      <c r="M803" s="3">
        <v>0.48958333333333331</v>
      </c>
      <c r="N803" s="19" t="s">
        <v>1934</v>
      </c>
    </row>
    <row r="804" spans="1:14" ht="57.6" hidden="1" x14ac:dyDescent="0.3">
      <c r="A804" s="47">
        <f t="shared" si="36"/>
        <v>2023</v>
      </c>
      <c r="B804" s="46">
        <f t="shared" si="37"/>
        <v>17</v>
      </c>
      <c r="C804" s="46">
        <f t="shared" si="38"/>
        <v>17</v>
      </c>
      <c r="E804" s="1" t="s">
        <v>1938</v>
      </c>
      <c r="F804" s="19" t="s">
        <v>1937</v>
      </c>
      <c r="G804" s="1" t="s">
        <v>10</v>
      </c>
      <c r="H804" s="1" t="s">
        <v>3</v>
      </c>
      <c r="I804" s="2">
        <v>45041</v>
      </c>
      <c r="J804" s="3">
        <v>0.43541666666666662</v>
      </c>
      <c r="K804" s="1" t="s">
        <v>88</v>
      </c>
      <c r="L804" s="2">
        <v>45045</v>
      </c>
      <c r="M804" s="3">
        <v>0.4375</v>
      </c>
      <c r="N804" s="19" t="s">
        <v>1939</v>
      </c>
    </row>
    <row r="805" spans="1:14" ht="57.6" hidden="1" x14ac:dyDescent="0.3">
      <c r="A805" s="47">
        <f t="shared" si="36"/>
        <v>2023</v>
      </c>
      <c r="B805" s="46">
        <f t="shared" si="37"/>
        <v>17</v>
      </c>
      <c r="C805" s="46">
        <f t="shared" si="38"/>
        <v>17</v>
      </c>
      <c r="E805" s="1" t="s">
        <v>1940</v>
      </c>
      <c r="F805" s="19" t="s">
        <v>1941</v>
      </c>
      <c r="G805" s="1" t="s">
        <v>9</v>
      </c>
      <c r="H805" s="1" t="s">
        <v>3</v>
      </c>
      <c r="I805" s="2">
        <v>45041</v>
      </c>
      <c r="J805" s="3">
        <v>0.4368055555555555</v>
      </c>
      <c r="K805" s="1" t="s">
        <v>88</v>
      </c>
      <c r="L805" s="2">
        <v>45045</v>
      </c>
      <c r="M805" s="3">
        <v>0.45624999999999999</v>
      </c>
      <c r="N805" s="19" t="s">
        <v>1942</v>
      </c>
    </row>
    <row r="806" spans="1:14" ht="86.4" hidden="1" x14ac:dyDescent="0.3">
      <c r="A806" s="47">
        <f t="shared" si="36"/>
        <v>2023</v>
      </c>
      <c r="B806" s="46">
        <f t="shared" si="37"/>
        <v>17</v>
      </c>
      <c r="C806" s="46">
        <f t="shared" si="38"/>
        <v>17</v>
      </c>
      <c r="E806" s="1" t="s">
        <v>1943</v>
      </c>
      <c r="F806" s="19" t="s">
        <v>1944</v>
      </c>
      <c r="G806" s="1" t="s">
        <v>9</v>
      </c>
      <c r="H806" s="1" t="s">
        <v>3</v>
      </c>
      <c r="I806" s="2">
        <v>45041</v>
      </c>
      <c r="J806" s="3">
        <v>0.43888888888888888</v>
      </c>
      <c r="K806" s="1" t="s">
        <v>88</v>
      </c>
      <c r="L806" s="2">
        <v>45045</v>
      </c>
      <c r="M806" s="3">
        <v>0.55208333333333337</v>
      </c>
      <c r="N806" s="19" t="s">
        <v>1945</v>
      </c>
    </row>
    <row r="807" spans="1:14" ht="86.4" hidden="1" x14ac:dyDescent="0.3">
      <c r="A807" s="47">
        <f t="shared" si="36"/>
        <v>2023</v>
      </c>
      <c r="B807" s="46">
        <f t="shared" si="37"/>
        <v>17</v>
      </c>
      <c r="C807" s="46">
        <f t="shared" si="38"/>
        <v>18</v>
      </c>
      <c r="E807" s="38" t="s">
        <v>1946</v>
      </c>
      <c r="F807" s="19" t="s">
        <v>1947</v>
      </c>
      <c r="G807" s="1" t="s">
        <v>9</v>
      </c>
      <c r="H807" s="1" t="s">
        <v>3</v>
      </c>
      <c r="I807" s="2">
        <v>45041</v>
      </c>
      <c r="J807" s="3">
        <v>0.44375000000000003</v>
      </c>
      <c r="K807" s="1" t="s">
        <v>88</v>
      </c>
      <c r="L807" s="2">
        <v>45050</v>
      </c>
      <c r="M807" s="3">
        <v>0.48819444444444443</v>
      </c>
      <c r="N807" s="19" t="s">
        <v>1966</v>
      </c>
    </row>
    <row r="808" spans="1:14" ht="143.55000000000001" hidden="1" customHeight="1" x14ac:dyDescent="0.3">
      <c r="A808" s="47">
        <f t="shared" si="36"/>
        <v>2023</v>
      </c>
      <c r="B808" s="46">
        <f t="shared" si="37"/>
        <v>17</v>
      </c>
      <c r="C808" s="46">
        <f t="shared" si="38"/>
        <v>17</v>
      </c>
      <c r="E808" s="269" t="s">
        <v>1948</v>
      </c>
      <c r="F808" s="19" t="s">
        <v>1949</v>
      </c>
      <c r="G808" s="1" t="s">
        <v>10</v>
      </c>
      <c r="H808" s="1" t="s">
        <v>3</v>
      </c>
      <c r="I808" s="2">
        <v>45041</v>
      </c>
      <c r="J808" s="3">
        <v>0.45347222222222222</v>
      </c>
      <c r="K808" s="1" t="s">
        <v>88</v>
      </c>
      <c r="L808" s="2">
        <v>45045</v>
      </c>
      <c r="M808" s="3">
        <v>0.59375</v>
      </c>
      <c r="N808" s="19" t="s">
        <v>1950</v>
      </c>
    </row>
    <row r="809" spans="1:14" ht="28.8" hidden="1" x14ac:dyDescent="0.3">
      <c r="A809" s="47">
        <f t="shared" si="36"/>
        <v>2023</v>
      </c>
      <c r="B809" s="46">
        <f t="shared" si="37"/>
        <v>17</v>
      </c>
      <c r="C809" s="46">
        <f t="shared" si="38"/>
        <v>18</v>
      </c>
      <c r="E809" s="1" t="s">
        <v>1951</v>
      </c>
      <c r="F809" s="19" t="s">
        <v>1952</v>
      </c>
      <c r="G809" s="1" t="s">
        <v>900</v>
      </c>
      <c r="H809" s="1" t="s">
        <v>3</v>
      </c>
      <c r="I809" s="2">
        <v>45041</v>
      </c>
      <c r="J809" s="3">
        <v>0.64583333333333337</v>
      </c>
      <c r="K809" s="1" t="s">
        <v>73</v>
      </c>
      <c r="L809" s="2">
        <v>45048</v>
      </c>
      <c r="M809" s="3">
        <v>0.28750000000000003</v>
      </c>
      <c r="N809" s="19" t="s">
        <v>1953</v>
      </c>
    </row>
    <row r="810" spans="1:14" ht="129.6" hidden="1" x14ac:dyDescent="0.3">
      <c r="A810" s="47">
        <f t="shared" si="36"/>
        <v>2023</v>
      </c>
      <c r="B810" s="46">
        <f t="shared" si="37"/>
        <v>17</v>
      </c>
      <c r="C810" s="46">
        <f t="shared" si="38"/>
        <v>18</v>
      </c>
      <c r="E810" s="1" t="s">
        <v>1954</v>
      </c>
      <c r="F810" s="19" t="s">
        <v>1955</v>
      </c>
      <c r="G810" s="1" t="s">
        <v>900</v>
      </c>
      <c r="H810" s="1" t="s">
        <v>3</v>
      </c>
      <c r="I810" s="34">
        <v>45042</v>
      </c>
      <c r="J810" s="28" t="s">
        <v>1958</v>
      </c>
      <c r="K810" s="1" t="s">
        <v>73</v>
      </c>
      <c r="L810" s="2">
        <v>45048</v>
      </c>
      <c r="M810" s="28" t="s">
        <v>1959</v>
      </c>
      <c r="N810" s="19" t="s">
        <v>1960</v>
      </c>
    </row>
    <row r="811" spans="1:14" hidden="1" x14ac:dyDescent="0.3">
      <c r="A811" s="47">
        <f t="shared" si="36"/>
        <v>2023</v>
      </c>
      <c r="B811" s="46">
        <f t="shared" si="37"/>
        <v>17</v>
      </c>
      <c r="C811" s="46">
        <f t="shared" si="38"/>
        <v>18</v>
      </c>
      <c r="E811" s="1" t="s">
        <v>1956</v>
      </c>
      <c r="F811" s="19" t="s">
        <v>1706</v>
      </c>
      <c r="G811" s="1" t="s">
        <v>900</v>
      </c>
      <c r="H811" s="1" t="s">
        <v>3</v>
      </c>
      <c r="I811" s="2">
        <v>45041</v>
      </c>
      <c r="J811" s="3">
        <v>0.64583333333333337</v>
      </c>
      <c r="K811" s="1" t="s">
        <v>73</v>
      </c>
      <c r="L811" s="2">
        <v>45048</v>
      </c>
      <c r="M811" s="3">
        <v>0.29583333333333334</v>
      </c>
      <c r="N811" s="19" t="s">
        <v>1957</v>
      </c>
    </row>
    <row r="812" spans="1:14" ht="100.8" hidden="1" x14ac:dyDescent="0.3">
      <c r="A812" s="47">
        <f t="shared" si="36"/>
        <v>2023</v>
      </c>
      <c r="B812" s="46">
        <f t="shared" si="37"/>
        <v>17</v>
      </c>
      <c r="C812" s="46">
        <f t="shared" si="38"/>
        <v>18</v>
      </c>
      <c r="E812" s="1" t="s">
        <v>1961</v>
      </c>
      <c r="F812" s="19" t="s">
        <v>1810</v>
      </c>
      <c r="G812" s="1" t="s">
        <v>900</v>
      </c>
      <c r="H812" s="1" t="s">
        <v>661</v>
      </c>
      <c r="I812" s="2">
        <v>45044</v>
      </c>
      <c r="J812" s="3">
        <v>0.68263888888888891</v>
      </c>
      <c r="K812" s="1" t="s">
        <v>73</v>
      </c>
      <c r="L812" s="2">
        <v>45048</v>
      </c>
      <c r="M812" s="3">
        <v>0.375</v>
      </c>
      <c r="N812" s="19" t="s">
        <v>1962</v>
      </c>
    </row>
    <row r="813" spans="1:14" ht="57.6" hidden="1" x14ac:dyDescent="0.3">
      <c r="A813" s="47">
        <f t="shared" si="36"/>
        <v>2022</v>
      </c>
      <c r="B813" s="46">
        <f t="shared" si="37"/>
        <v>17</v>
      </c>
      <c r="C813" s="46">
        <f t="shared" si="38"/>
        <v>19</v>
      </c>
      <c r="E813" s="1" t="s">
        <v>1963</v>
      </c>
      <c r="F813" s="19" t="s">
        <v>1964</v>
      </c>
      <c r="G813" s="1" t="s">
        <v>10</v>
      </c>
      <c r="H813" s="1" t="s">
        <v>661</v>
      </c>
      <c r="I813" s="2">
        <v>45043</v>
      </c>
      <c r="J813" s="3">
        <v>0.37361111111111112</v>
      </c>
      <c r="K813" s="1" t="s">
        <v>88</v>
      </c>
      <c r="L813" s="2">
        <v>44685</v>
      </c>
      <c r="M813" s="3">
        <v>0.34791666666666665</v>
      </c>
      <c r="N813" s="19" t="s">
        <v>1965</v>
      </c>
    </row>
    <row r="814" spans="1:14" ht="230.4" hidden="1" x14ac:dyDescent="0.3">
      <c r="A814" s="47">
        <f t="shared" si="36"/>
        <v>2023</v>
      </c>
      <c r="B814" s="46">
        <f t="shared" si="37"/>
        <v>18</v>
      </c>
      <c r="C814" s="46">
        <f t="shared" si="38"/>
        <v>18</v>
      </c>
      <c r="E814" s="1" t="s">
        <v>1967</v>
      </c>
      <c r="F814" s="19" t="s">
        <v>1810</v>
      </c>
      <c r="G814" s="1" t="s">
        <v>900</v>
      </c>
      <c r="H814" s="1" t="s">
        <v>661</v>
      </c>
      <c r="I814" s="2">
        <v>45048</v>
      </c>
      <c r="J814" s="3">
        <v>0.57916666666666672</v>
      </c>
      <c r="K814" s="1" t="s">
        <v>73</v>
      </c>
      <c r="L814" s="2">
        <v>45051</v>
      </c>
      <c r="M814" s="3">
        <v>0.32361111111111113</v>
      </c>
      <c r="N814" s="19" t="s">
        <v>2088</v>
      </c>
    </row>
    <row r="815" spans="1:14" ht="86.4" hidden="1" x14ac:dyDescent="0.3">
      <c r="A815" s="47">
        <f t="shared" si="36"/>
        <v>2023</v>
      </c>
      <c r="B815" s="46">
        <f t="shared" si="37"/>
        <v>18</v>
      </c>
      <c r="C815" s="46">
        <f t="shared" si="38"/>
        <v>18</v>
      </c>
      <c r="E815" s="1" t="s">
        <v>1968</v>
      </c>
      <c r="F815" s="19" t="s">
        <v>1810</v>
      </c>
      <c r="G815" s="1" t="s">
        <v>900</v>
      </c>
      <c r="H815" s="1" t="s">
        <v>661</v>
      </c>
      <c r="I815" s="2">
        <v>45050</v>
      </c>
      <c r="J815" s="3">
        <v>0.47083333333333338</v>
      </c>
      <c r="K815" s="1" t="s">
        <v>73</v>
      </c>
      <c r="L815" s="2">
        <v>45051</v>
      </c>
      <c r="M815" s="3">
        <v>0.38263888888888892</v>
      </c>
      <c r="N815" s="19" t="s">
        <v>1969</v>
      </c>
    </row>
    <row r="816" spans="1:14" ht="43.2" hidden="1" x14ac:dyDescent="0.3">
      <c r="A816" s="47">
        <f t="shared" si="36"/>
        <v>2023</v>
      </c>
      <c r="B816" s="46">
        <f t="shared" si="37"/>
        <v>18</v>
      </c>
      <c r="C816" s="46">
        <f t="shared" si="38"/>
        <v>18</v>
      </c>
      <c r="E816" s="1" t="s">
        <v>1970</v>
      </c>
      <c r="F816" s="19" t="s">
        <v>1971</v>
      </c>
      <c r="G816" s="1" t="s">
        <v>900</v>
      </c>
      <c r="H816" s="1" t="s">
        <v>661</v>
      </c>
      <c r="I816" s="2">
        <v>45051</v>
      </c>
      <c r="J816" s="3">
        <v>0.4069444444444445</v>
      </c>
      <c r="K816" s="1" t="s">
        <v>73</v>
      </c>
      <c r="L816" s="2">
        <v>45051</v>
      </c>
      <c r="M816" s="3">
        <v>0.44722222222222219</v>
      </c>
      <c r="N816" s="19" t="s">
        <v>1972</v>
      </c>
    </row>
    <row r="817" spans="1:14" ht="28.8" hidden="1" x14ac:dyDescent="0.3">
      <c r="A817" s="47">
        <f t="shared" si="36"/>
        <v>2023</v>
      </c>
      <c r="B817" s="46">
        <f t="shared" si="37"/>
        <v>18</v>
      </c>
      <c r="C817" s="46">
        <f t="shared" si="38"/>
        <v>18</v>
      </c>
      <c r="E817" s="1" t="s">
        <v>1973</v>
      </c>
      <c r="F817" s="19" t="s">
        <v>1971</v>
      </c>
      <c r="G817" s="1" t="s">
        <v>900</v>
      </c>
      <c r="H817" s="1" t="s">
        <v>661</v>
      </c>
      <c r="I817" s="2">
        <v>45051</v>
      </c>
      <c r="J817" s="3">
        <v>0.41111111111111115</v>
      </c>
      <c r="K817" s="1" t="s">
        <v>73</v>
      </c>
      <c r="L817" s="2">
        <v>45051</v>
      </c>
      <c r="M817" s="3">
        <v>0.4597222222222222</v>
      </c>
      <c r="N817" s="19" t="s">
        <v>1974</v>
      </c>
    </row>
    <row r="818" spans="1:14" ht="43.2" hidden="1" x14ac:dyDescent="0.3">
      <c r="A818" s="47">
        <f t="shared" si="36"/>
        <v>2023</v>
      </c>
      <c r="B818" s="46">
        <f t="shared" si="37"/>
        <v>18</v>
      </c>
      <c r="C818" s="46">
        <f t="shared" si="38"/>
        <v>18</v>
      </c>
      <c r="E818" s="1" t="s">
        <v>1975</v>
      </c>
      <c r="F818" s="19" t="s">
        <v>1976</v>
      </c>
      <c r="G818" s="1" t="s">
        <v>10</v>
      </c>
      <c r="H818" s="1" t="s">
        <v>661</v>
      </c>
      <c r="I818" s="2">
        <v>45048</v>
      </c>
      <c r="J818" s="3">
        <v>0.71458333333333324</v>
      </c>
      <c r="K818" s="1" t="s">
        <v>73</v>
      </c>
      <c r="L818" s="2">
        <v>45051</v>
      </c>
      <c r="M818" s="3">
        <v>0.65902777777777777</v>
      </c>
      <c r="N818" s="19" t="s">
        <v>1977</v>
      </c>
    </row>
    <row r="819" spans="1:14" ht="332.55" hidden="1" customHeight="1" x14ac:dyDescent="0.3">
      <c r="A819" s="47">
        <f t="shared" si="36"/>
        <v>2023</v>
      </c>
      <c r="B819" s="46">
        <f t="shared" si="37"/>
        <v>18</v>
      </c>
      <c r="C819" s="46">
        <f t="shared" si="38"/>
        <v>18</v>
      </c>
      <c r="E819" s="1" t="s">
        <v>1978</v>
      </c>
      <c r="F819" s="19" t="s">
        <v>1761</v>
      </c>
      <c r="G819" s="1" t="s">
        <v>10</v>
      </c>
      <c r="H819" s="1" t="s">
        <v>661</v>
      </c>
      <c r="I819" s="2">
        <v>45049</v>
      </c>
      <c r="J819" s="3">
        <v>0.45347222222222222</v>
      </c>
      <c r="K819" s="1" t="s">
        <v>73</v>
      </c>
      <c r="L819" s="2">
        <v>45051</v>
      </c>
      <c r="M819" s="3">
        <v>0.6791666666666667</v>
      </c>
      <c r="N819" s="92" t="s">
        <v>2011</v>
      </c>
    </row>
    <row r="820" spans="1:14" hidden="1" x14ac:dyDescent="0.3">
      <c r="A820" s="47">
        <f t="shared" si="36"/>
        <v>2023</v>
      </c>
      <c r="B820" s="46">
        <f t="shared" si="37"/>
        <v>18</v>
      </c>
      <c r="C820" s="46">
        <f t="shared" si="38"/>
        <v>18</v>
      </c>
      <c r="E820" s="1" t="s">
        <v>1979</v>
      </c>
      <c r="F820" s="19" t="s">
        <v>1761</v>
      </c>
      <c r="G820" s="1" t="s">
        <v>10</v>
      </c>
      <c r="H820" s="1" t="s">
        <v>661</v>
      </c>
      <c r="I820" s="2">
        <v>45049</v>
      </c>
      <c r="J820" s="3">
        <v>0.47986111111111113</v>
      </c>
      <c r="K820" s="1" t="s">
        <v>73</v>
      </c>
      <c r="L820" s="2">
        <v>45051</v>
      </c>
      <c r="M820" s="3">
        <v>0.68680555555555556</v>
      </c>
      <c r="N820" s="19" t="s">
        <v>1212</v>
      </c>
    </row>
    <row r="821" spans="1:14" ht="28.8" hidden="1" x14ac:dyDescent="0.3">
      <c r="A821" s="47">
        <f t="shared" si="36"/>
        <v>2023</v>
      </c>
      <c r="B821" s="46">
        <f t="shared" si="37"/>
        <v>18</v>
      </c>
      <c r="C821" s="46">
        <f t="shared" si="38"/>
        <v>18</v>
      </c>
      <c r="E821" s="1" t="s">
        <v>1980</v>
      </c>
      <c r="F821" s="19" t="s">
        <v>1981</v>
      </c>
      <c r="G821" s="1" t="s">
        <v>10</v>
      </c>
      <c r="H821" s="1" t="s">
        <v>661</v>
      </c>
      <c r="I821" s="2">
        <v>45048</v>
      </c>
      <c r="J821" s="3">
        <v>0.31736111111111115</v>
      </c>
      <c r="K821" s="1" t="s">
        <v>88</v>
      </c>
      <c r="L821" s="2">
        <v>45051</v>
      </c>
      <c r="M821" s="3">
        <v>0.31736111111111115</v>
      </c>
      <c r="N821" s="19" t="s">
        <v>2580</v>
      </c>
    </row>
    <row r="822" spans="1:14" ht="273.60000000000002" hidden="1" x14ac:dyDescent="0.3">
      <c r="A822" s="47">
        <f t="shared" si="36"/>
        <v>2023</v>
      </c>
      <c r="B822" s="46">
        <f t="shared" si="37"/>
        <v>17</v>
      </c>
      <c r="C822" s="46">
        <f t="shared" si="38"/>
        <v>18</v>
      </c>
      <c r="E822" s="1" t="s">
        <v>1982</v>
      </c>
      <c r="F822" s="19" t="s">
        <v>1983</v>
      </c>
      <c r="G822" s="1" t="s">
        <v>10</v>
      </c>
      <c r="H822" s="1" t="s">
        <v>661</v>
      </c>
      <c r="I822" s="2">
        <v>45041</v>
      </c>
      <c r="J822" s="3">
        <v>0.46388888888888885</v>
      </c>
      <c r="K822" s="21" t="s">
        <v>88</v>
      </c>
      <c r="L822" s="2">
        <v>45052</v>
      </c>
      <c r="M822" s="3">
        <v>0.32291666666666669</v>
      </c>
      <c r="N822" s="19" t="s">
        <v>1984</v>
      </c>
    </row>
    <row r="823" spans="1:14" ht="72" hidden="1" x14ac:dyDescent="0.3">
      <c r="A823" s="47">
        <f t="shared" si="36"/>
        <v>2023</v>
      </c>
      <c r="B823" s="46">
        <f t="shared" si="37"/>
        <v>17</v>
      </c>
      <c r="C823" s="46">
        <f t="shared" si="38"/>
        <v>18</v>
      </c>
      <c r="E823" s="1" t="s">
        <v>1985</v>
      </c>
      <c r="F823" s="19" t="s">
        <v>1986</v>
      </c>
      <c r="G823" s="1" t="s">
        <v>10</v>
      </c>
      <c r="H823" s="1" t="s">
        <v>661</v>
      </c>
      <c r="I823" s="2">
        <v>45041</v>
      </c>
      <c r="J823" s="3">
        <v>0.46527777777777773</v>
      </c>
      <c r="K823" s="21" t="s">
        <v>88</v>
      </c>
      <c r="L823" s="2">
        <v>45052</v>
      </c>
      <c r="M823" s="3">
        <v>0.33611111111111108</v>
      </c>
      <c r="N823" s="19" t="s">
        <v>1987</v>
      </c>
    </row>
    <row r="824" spans="1:14" ht="100.8" hidden="1" x14ac:dyDescent="0.3">
      <c r="A824" s="47">
        <f t="shared" si="36"/>
        <v>2023</v>
      </c>
      <c r="B824" s="46">
        <f t="shared" si="37"/>
        <v>17</v>
      </c>
      <c r="C824" s="46">
        <f t="shared" si="38"/>
        <v>18</v>
      </c>
      <c r="E824" s="1" t="s">
        <v>1988</v>
      </c>
      <c r="F824" s="19" t="s">
        <v>1989</v>
      </c>
      <c r="G824" s="1" t="s">
        <v>10</v>
      </c>
      <c r="H824" s="1" t="s">
        <v>661</v>
      </c>
      <c r="I824" s="2">
        <v>45041</v>
      </c>
      <c r="J824" s="3">
        <v>0.47152777777777777</v>
      </c>
      <c r="K824" s="21" t="s">
        <v>88</v>
      </c>
      <c r="L824" s="2">
        <v>45052</v>
      </c>
      <c r="M824" s="3">
        <v>0.33749999999999997</v>
      </c>
      <c r="N824" s="19" t="s">
        <v>1990</v>
      </c>
    </row>
    <row r="825" spans="1:14" ht="72" hidden="1" x14ac:dyDescent="0.3">
      <c r="A825" s="47">
        <f t="shared" si="36"/>
        <v>2023</v>
      </c>
      <c r="B825" s="46">
        <f t="shared" si="37"/>
        <v>17</v>
      </c>
      <c r="C825" s="46">
        <f t="shared" si="38"/>
        <v>18</v>
      </c>
      <c r="E825" s="1" t="s">
        <v>1994</v>
      </c>
      <c r="F825" s="19" t="s">
        <v>1991</v>
      </c>
      <c r="G825" s="1" t="s">
        <v>10</v>
      </c>
      <c r="H825" s="1" t="s">
        <v>661</v>
      </c>
      <c r="I825" s="2">
        <v>45041</v>
      </c>
      <c r="J825" s="3">
        <v>0.48680555555555555</v>
      </c>
      <c r="K825" s="21" t="s">
        <v>88</v>
      </c>
      <c r="L825" s="2">
        <v>45052</v>
      </c>
      <c r="M825" s="3">
        <v>0.34375</v>
      </c>
      <c r="N825" s="19" t="s">
        <v>1992</v>
      </c>
    </row>
    <row r="826" spans="1:14" ht="100.8" hidden="1" x14ac:dyDescent="0.3">
      <c r="A826" s="47">
        <f t="shared" si="36"/>
        <v>2023</v>
      </c>
      <c r="B826" s="46">
        <f t="shared" si="37"/>
        <v>17</v>
      </c>
      <c r="C826" s="46">
        <f t="shared" si="38"/>
        <v>18</v>
      </c>
      <c r="E826" s="1" t="s">
        <v>1995</v>
      </c>
      <c r="F826" s="19" t="s">
        <v>1993</v>
      </c>
      <c r="G826" s="1" t="s">
        <v>10</v>
      </c>
      <c r="H826" s="1" t="s">
        <v>661</v>
      </c>
      <c r="I826" s="2">
        <v>45041</v>
      </c>
      <c r="J826" s="3">
        <v>0.49305555555555558</v>
      </c>
      <c r="K826" s="21" t="s">
        <v>88</v>
      </c>
      <c r="L826" s="2">
        <v>45052</v>
      </c>
      <c r="M826" s="3">
        <v>0.35486111111111113</v>
      </c>
      <c r="N826" s="19" t="s">
        <v>1996</v>
      </c>
    </row>
    <row r="827" spans="1:14" ht="129.6" hidden="1" x14ac:dyDescent="0.3">
      <c r="A827" s="47">
        <f t="shared" si="36"/>
        <v>2023</v>
      </c>
      <c r="B827" s="46">
        <f t="shared" si="37"/>
        <v>17</v>
      </c>
      <c r="C827" s="46">
        <f t="shared" si="38"/>
        <v>18</v>
      </c>
      <c r="E827" s="38" t="s">
        <v>1997</v>
      </c>
      <c r="F827" s="19" t="s">
        <v>1998</v>
      </c>
      <c r="G827" s="1" t="s">
        <v>9</v>
      </c>
      <c r="H827" s="1" t="s">
        <v>661</v>
      </c>
      <c r="I827" s="2">
        <v>45041</v>
      </c>
      <c r="J827" s="3">
        <v>0.49861111111111112</v>
      </c>
      <c r="K827" s="21" t="s">
        <v>88</v>
      </c>
      <c r="L827" s="2">
        <v>45052</v>
      </c>
      <c r="M827" s="3">
        <v>0.39097222222222222</v>
      </c>
      <c r="N827" s="19" t="s">
        <v>1999</v>
      </c>
    </row>
    <row r="828" spans="1:14" ht="57.6" hidden="1" x14ac:dyDescent="0.3">
      <c r="A828" s="47">
        <f t="shared" si="36"/>
        <v>2022</v>
      </c>
      <c r="B828" s="46">
        <f t="shared" si="37"/>
        <v>17</v>
      </c>
      <c r="C828" s="46">
        <f t="shared" si="38"/>
        <v>19</v>
      </c>
      <c r="E828" s="1" t="s">
        <v>2001</v>
      </c>
      <c r="F828" s="19" t="s">
        <v>2002</v>
      </c>
      <c r="G828" s="1" t="s">
        <v>10</v>
      </c>
      <c r="H828" s="1" t="s">
        <v>661</v>
      </c>
      <c r="I828" s="2">
        <v>45044</v>
      </c>
      <c r="J828" s="3">
        <v>0.68680555555555556</v>
      </c>
      <c r="K828" s="21" t="s">
        <v>88</v>
      </c>
      <c r="L828" s="2">
        <v>44687</v>
      </c>
      <c r="M828" s="3">
        <v>0.39999999999999997</v>
      </c>
      <c r="N828" s="19" t="s">
        <v>2000</v>
      </c>
    </row>
    <row r="829" spans="1:14" ht="100.8" hidden="1" x14ac:dyDescent="0.3">
      <c r="A829" s="47">
        <f t="shared" si="36"/>
        <v>2022</v>
      </c>
      <c r="B829" s="46">
        <f t="shared" si="37"/>
        <v>18</v>
      </c>
      <c r="C829" s="46">
        <f t="shared" si="38"/>
        <v>19</v>
      </c>
      <c r="E829" s="1" t="s">
        <v>2005</v>
      </c>
      <c r="F829" s="19" t="s">
        <v>2003</v>
      </c>
      <c r="G829" s="1" t="s">
        <v>10</v>
      </c>
      <c r="H829" s="1" t="s">
        <v>661</v>
      </c>
      <c r="I829" s="2">
        <v>45048</v>
      </c>
      <c r="J829" s="3">
        <v>0.70972222222222225</v>
      </c>
      <c r="K829" s="21" t="s">
        <v>88</v>
      </c>
      <c r="L829" s="2">
        <v>44687</v>
      </c>
      <c r="M829" s="3">
        <v>0.41180555555555554</v>
      </c>
      <c r="N829" s="19" t="s">
        <v>2004</v>
      </c>
    </row>
    <row r="830" spans="1:14" ht="43.2" hidden="1" x14ac:dyDescent="0.3">
      <c r="A830" s="47">
        <f t="shared" si="36"/>
        <v>2022</v>
      </c>
      <c r="B830" s="46">
        <f t="shared" si="37"/>
        <v>18</v>
      </c>
      <c r="C830" s="46">
        <f t="shared" si="38"/>
        <v>19</v>
      </c>
      <c r="E830" s="1" t="s">
        <v>2008</v>
      </c>
      <c r="F830" s="19" t="s">
        <v>2007</v>
      </c>
      <c r="G830" s="1" t="s">
        <v>10</v>
      </c>
      <c r="H830" s="1" t="s">
        <v>661</v>
      </c>
      <c r="I830" s="2">
        <v>45048</v>
      </c>
      <c r="J830" s="3">
        <v>0.71944444444444444</v>
      </c>
      <c r="K830" s="21" t="s">
        <v>88</v>
      </c>
      <c r="L830" s="2">
        <v>44687</v>
      </c>
      <c r="M830" s="3">
        <v>0.4145833333333333</v>
      </c>
      <c r="N830" s="19" t="s">
        <v>2006</v>
      </c>
    </row>
    <row r="831" spans="1:14" ht="43.2" hidden="1" x14ac:dyDescent="0.3">
      <c r="A831" s="47">
        <f t="shared" si="36"/>
        <v>2022</v>
      </c>
      <c r="B831" s="46">
        <f t="shared" si="37"/>
        <v>18</v>
      </c>
      <c r="C831" s="46">
        <f t="shared" si="38"/>
        <v>19</v>
      </c>
      <c r="E831" s="1" t="s">
        <v>2010</v>
      </c>
      <c r="F831" s="19" t="s">
        <v>2007</v>
      </c>
      <c r="G831" s="1" t="s">
        <v>10</v>
      </c>
      <c r="H831" s="1" t="s">
        <v>661</v>
      </c>
      <c r="I831" s="2">
        <v>45048</v>
      </c>
      <c r="J831" s="3">
        <v>0.72152777777777777</v>
      </c>
      <c r="K831" s="21" t="s">
        <v>88</v>
      </c>
      <c r="L831" s="2">
        <v>44687</v>
      </c>
      <c r="M831" s="3">
        <v>0.41666666666666669</v>
      </c>
      <c r="N831" s="19" t="s">
        <v>2009</v>
      </c>
    </row>
    <row r="832" spans="1:14" ht="28.8" hidden="1" x14ac:dyDescent="0.3">
      <c r="A832" s="47">
        <f t="shared" si="36"/>
        <v>2023</v>
      </c>
      <c r="B832" s="46">
        <f t="shared" si="37"/>
        <v>19</v>
      </c>
      <c r="C832" s="46">
        <f t="shared" si="38"/>
        <v>19</v>
      </c>
      <c r="E832" s="1" t="s">
        <v>2012</v>
      </c>
      <c r="F832" s="44" t="s">
        <v>2013</v>
      </c>
      <c r="G832" s="1" t="s">
        <v>2014</v>
      </c>
      <c r="H832" s="1" t="s">
        <v>661</v>
      </c>
      <c r="I832" s="2">
        <v>45054</v>
      </c>
      <c r="J832" s="3">
        <v>0.37291666666666662</v>
      </c>
      <c r="K832" s="1" t="s">
        <v>73</v>
      </c>
      <c r="L832" s="2">
        <v>45054</v>
      </c>
      <c r="M832" s="3">
        <v>0.37777777777777777</v>
      </c>
      <c r="N832" s="19" t="s">
        <v>2015</v>
      </c>
    </row>
    <row r="833" spans="1:14" ht="57.6" hidden="1" x14ac:dyDescent="0.3">
      <c r="A833" s="47">
        <f t="shared" si="36"/>
        <v>2023</v>
      </c>
      <c r="B833" s="46">
        <f t="shared" si="37"/>
        <v>18</v>
      </c>
      <c r="C833" s="46">
        <f t="shared" si="38"/>
        <v>19</v>
      </c>
      <c r="E833" s="1" t="s">
        <v>2016</v>
      </c>
      <c r="F833" s="45" t="s">
        <v>2017</v>
      </c>
      <c r="G833" s="1" t="s">
        <v>10</v>
      </c>
      <c r="H833" s="1" t="s">
        <v>661</v>
      </c>
      <c r="I833" s="2">
        <v>45050</v>
      </c>
      <c r="J833" s="3">
        <v>0.43541666666666662</v>
      </c>
      <c r="K833" s="1" t="s">
        <v>88</v>
      </c>
      <c r="L833" s="2">
        <v>45054</v>
      </c>
      <c r="M833" s="3">
        <v>0.40972222222222227</v>
      </c>
      <c r="N833" s="19" t="s">
        <v>2018</v>
      </c>
    </row>
    <row r="834" spans="1:14" ht="100.8" hidden="1" x14ac:dyDescent="0.3">
      <c r="A834" s="47">
        <f t="shared" si="36"/>
        <v>2023</v>
      </c>
      <c r="B834" s="46">
        <f t="shared" si="37"/>
        <v>18</v>
      </c>
      <c r="C834" s="46">
        <f t="shared" si="38"/>
        <v>19</v>
      </c>
      <c r="E834" s="1" t="s">
        <v>2019</v>
      </c>
      <c r="F834" s="19" t="s">
        <v>2020</v>
      </c>
      <c r="G834" s="1" t="s">
        <v>9</v>
      </c>
      <c r="H834" s="1" t="s">
        <v>661</v>
      </c>
      <c r="I834" s="2">
        <v>45050</v>
      </c>
      <c r="J834" s="3">
        <v>0.35416666666666669</v>
      </c>
      <c r="K834" s="1" t="s">
        <v>88</v>
      </c>
      <c r="L834" s="2">
        <v>45054</v>
      </c>
      <c r="M834" s="3">
        <v>0.60902777777777783</v>
      </c>
      <c r="N834" s="19" t="s">
        <v>2061</v>
      </c>
    </row>
    <row r="835" spans="1:14" ht="43.2" hidden="1" x14ac:dyDescent="0.3">
      <c r="A835" s="47">
        <f t="shared" ref="A835:A898" si="39">YEAR(L835)</f>
        <v>2023</v>
      </c>
      <c r="B835" s="46">
        <f t="shared" ref="B835:B898" si="40">WEEKNUM(I835)</f>
        <v>18</v>
      </c>
      <c r="C835" s="46">
        <f t="shared" ref="C835:C898" si="41">WEEKNUM(L835)</f>
        <v>19</v>
      </c>
      <c r="E835" s="1" t="s">
        <v>2021</v>
      </c>
      <c r="F835" s="19" t="s">
        <v>2024</v>
      </c>
      <c r="G835" s="1" t="s">
        <v>10</v>
      </c>
      <c r="H835" s="1" t="s">
        <v>661</v>
      </c>
      <c r="I835" s="2">
        <v>45050</v>
      </c>
      <c r="J835" s="3">
        <v>0.47847222222222219</v>
      </c>
      <c r="K835" s="1" t="s">
        <v>88</v>
      </c>
      <c r="L835" s="2">
        <v>45054</v>
      </c>
      <c r="M835" s="3">
        <v>0.61458333333333337</v>
      </c>
      <c r="N835" s="19" t="s">
        <v>2023</v>
      </c>
    </row>
    <row r="836" spans="1:14" ht="43.2" hidden="1" x14ac:dyDescent="0.3">
      <c r="A836" s="47">
        <f t="shared" si="39"/>
        <v>2023</v>
      </c>
      <c r="B836" s="46">
        <f t="shared" si="40"/>
        <v>18</v>
      </c>
      <c r="C836" s="46">
        <f t="shared" si="41"/>
        <v>19</v>
      </c>
      <c r="E836" s="1" t="s">
        <v>2026</v>
      </c>
      <c r="F836" s="19" t="s">
        <v>2027</v>
      </c>
      <c r="G836" s="1" t="s">
        <v>9</v>
      </c>
      <c r="H836" s="1" t="s">
        <v>661</v>
      </c>
      <c r="I836" s="2">
        <v>45050</v>
      </c>
      <c r="J836" s="3">
        <v>0.48055555555555557</v>
      </c>
      <c r="K836" s="1" t="s">
        <v>88</v>
      </c>
      <c r="L836" s="2">
        <v>45054</v>
      </c>
      <c r="M836" s="3">
        <v>0.61527777777777781</v>
      </c>
      <c r="N836" s="19" t="s">
        <v>2025</v>
      </c>
    </row>
    <row r="837" spans="1:14" ht="72" hidden="1" x14ac:dyDescent="0.3">
      <c r="A837" s="47">
        <f t="shared" si="39"/>
        <v>2023</v>
      </c>
      <c r="B837" s="46">
        <f t="shared" si="40"/>
        <v>18</v>
      </c>
      <c r="C837" s="46">
        <f t="shared" si="41"/>
        <v>19</v>
      </c>
      <c r="E837" s="1" t="s">
        <v>2021</v>
      </c>
      <c r="F837" s="19" t="s">
        <v>2028</v>
      </c>
      <c r="G837" s="1" t="s">
        <v>10</v>
      </c>
      <c r="H837" s="1" t="s">
        <v>661</v>
      </c>
      <c r="I837" s="2">
        <v>45050</v>
      </c>
      <c r="J837" s="3">
        <v>0.47847222222222219</v>
      </c>
      <c r="K837" s="1" t="s">
        <v>88</v>
      </c>
      <c r="L837" s="2">
        <v>45054</v>
      </c>
      <c r="M837" s="3">
        <v>0.61458333333333337</v>
      </c>
      <c r="N837" s="19" t="s">
        <v>2018</v>
      </c>
    </row>
    <row r="838" spans="1:14" ht="57.6" hidden="1" x14ac:dyDescent="0.3">
      <c r="A838" s="47">
        <f t="shared" si="39"/>
        <v>2023</v>
      </c>
      <c r="B838" s="46">
        <f t="shared" si="40"/>
        <v>18</v>
      </c>
      <c r="C838" s="46">
        <f t="shared" si="41"/>
        <v>19</v>
      </c>
      <c r="E838" s="1" t="s">
        <v>2029</v>
      </c>
      <c r="F838" s="19" t="s">
        <v>2022</v>
      </c>
      <c r="G838" s="1" t="s">
        <v>10</v>
      </c>
      <c r="H838" s="1" t="s">
        <v>661</v>
      </c>
      <c r="I838" s="2">
        <v>45051</v>
      </c>
      <c r="J838" s="3">
        <v>0.41666666666666669</v>
      </c>
      <c r="K838" s="1" t="s">
        <v>88</v>
      </c>
      <c r="L838" s="2">
        <v>45054</v>
      </c>
      <c r="M838" s="3">
        <v>0.61805555555555558</v>
      </c>
      <c r="N838" s="19" t="s">
        <v>2030</v>
      </c>
    </row>
    <row r="839" spans="1:14" ht="28.8" hidden="1" x14ac:dyDescent="0.3">
      <c r="A839" s="47">
        <f t="shared" si="39"/>
        <v>2023</v>
      </c>
      <c r="B839" s="46">
        <f t="shared" si="40"/>
        <v>18</v>
      </c>
      <c r="C839" s="46">
        <f t="shared" si="41"/>
        <v>19</v>
      </c>
      <c r="E839" s="1" t="s">
        <v>2031</v>
      </c>
      <c r="F839" s="19" t="s">
        <v>2032</v>
      </c>
      <c r="G839" s="1" t="s">
        <v>10</v>
      </c>
      <c r="H839" s="1" t="s">
        <v>661</v>
      </c>
      <c r="I839" s="2">
        <v>45051</v>
      </c>
      <c r="J839" s="3">
        <v>0.42222222222222222</v>
      </c>
      <c r="K839" s="1" t="s">
        <v>88</v>
      </c>
      <c r="L839" s="2">
        <v>45054</v>
      </c>
      <c r="M839" s="3">
        <v>0.62083333333333335</v>
      </c>
      <c r="N839" s="19" t="s">
        <v>2033</v>
      </c>
    </row>
    <row r="840" spans="1:14" ht="72" hidden="1" x14ac:dyDescent="0.3">
      <c r="A840" s="47">
        <f t="shared" si="39"/>
        <v>2023</v>
      </c>
      <c r="B840" s="46">
        <f t="shared" si="40"/>
        <v>18</v>
      </c>
      <c r="C840" s="46">
        <f t="shared" si="41"/>
        <v>19</v>
      </c>
      <c r="E840" s="1" t="s">
        <v>2036</v>
      </c>
      <c r="F840" s="19" t="s">
        <v>2034</v>
      </c>
      <c r="G840" s="1" t="s">
        <v>10</v>
      </c>
      <c r="H840" s="1" t="s">
        <v>661</v>
      </c>
      <c r="I840" s="2">
        <v>45051</v>
      </c>
      <c r="J840" s="3">
        <v>0.4291666666666667</v>
      </c>
      <c r="K840" s="1" t="s">
        <v>88</v>
      </c>
      <c r="L840" s="2">
        <v>45054</v>
      </c>
      <c r="M840" s="3">
        <v>0.62430555555555556</v>
      </c>
      <c r="N840" s="19" t="s">
        <v>2035</v>
      </c>
    </row>
    <row r="841" spans="1:14" ht="57.6" hidden="1" x14ac:dyDescent="0.3">
      <c r="A841" s="47">
        <f t="shared" si="39"/>
        <v>2023</v>
      </c>
      <c r="B841" s="46">
        <f t="shared" si="40"/>
        <v>18</v>
      </c>
      <c r="C841" s="46">
        <f t="shared" si="41"/>
        <v>19</v>
      </c>
      <c r="E841" s="1" t="s">
        <v>2038</v>
      </c>
      <c r="F841" s="19" t="s">
        <v>2037</v>
      </c>
      <c r="G841" s="1" t="s">
        <v>10</v>
      </c>
      <c r="H841" s="1" t="s">
        <v>661</v>
      </c>
      <c r="I841" s="2">
        <v>45051</v>
      </c>
      <c r="J841" s="3">
        <v>0.43263888888888885</v>
      </c>
      <c r="K841" s="1" t="s">
        <v>88</v>
      </c>
      <c r="L841" s="2">
        <v>45054</v>
      </c>
      <c r="M841" s="3">
        <v>0.62847222222222221</v>
      </c>
      <c r="N841" s="19" t="s">
        <v>2039</v>
      </c>
    </row>
    <row r="842" spans="1:14" ht="57.6" hidden="1" x14ac:dyDescent="0.3">
      <c r="A842" s="47">
        <f t="shared" si="39"/>
        <v>2023</v>
      </c>
      <c r="B842" s="46">
        <f t="shared" si="40"/>
        <v>19</v>
      </c>
      <c r="C842" s="46">
        <f t="shared" si="41"/>
        <v>19</v>
      </c>
      <c r="E842" s="1" t="s">
        <v>2041</v>
      </c>
      <c r="F842" s="19" t="s">
        <v>2040</v>
      </c>
      <c r="G842" s="1" t="s">
        <v>9</v>
      </c>
      <c r="H842" s="1" t="s">
        <v>661</v>
      </c>
      <c r="I842" s="2">
        <v>45054</v>
      </c>
      <c r="J842" s="3">
        <v>0.49374999999999997</v>
      </c>
      <c r="K842" s="1" t="s">
        <v>88</v>
      </c>
      <c r="L842" s="2">
        <v>45054</v>
      </c>
      <c r="M842" s="3">
        <v>0.64583333333333337</v>
      </c>
      <c r="N842" s="19" t="s">
        <v>2042</v>
      </c>
    </row>
    <row r="843" spans="1:14" ht="57.6" hidden="1" x14ac:dyDescent="0.3">
      <c r="A843" s="47">
        <f t="shared" si="39"/>
        <v>2023</v>
      </c>
      <c r="B843" s="46">
        <f t="shared" si="40"/>
        <v>19</v>
      </c>
      <c r="C843" s="46">
        <f t="shared" si="41"/>
        <v>19</v>
      </c>
      <c r="E843" s="1" t="s">
        <v>2045</v>
      </c>
      <c r="F843" s="19" t="s">
        <v>2043</v>
      </c>
      <c r="G843" s="1" t="s">
        <v>9</v>
      </c>
      <c r="H843" s="1" t="s">
        <v>661</v>
      </c>
      <c r="I843" s="2">
        <v>45054</v>
      </c>
      <c r="J843" s="3">
        <v>0.50138888888888888</v>
      </c>
      <c r="K843" s="1" t="s">
        <v>88</v>
      </c>
      <c r="L843" s="2">
        <v>45054</v>
      </c>
      <c r="M843" s="3">
        <v>0.64930555555555558</v>
      </c>
      <c r="N843" s="19" t="s">
        <v>2044</v>
      </c>
    </row>
    <row r="844" spans="1:14" ht="57.6" hidden="1" x14ac:dyDescent="0.3">
      <c r="A844" s="47">
        <f t="shared" si="39"/>
        <v>2023</v>
      </c>
      <c r="B844" s="46">
        <f t="shared" si="40"/>
        <v>19</v>
      </c>
      <c r="C844" s="46">
        <f t="shared" si="41"/>
        <v>19</v>
      </c>
      <c r="E844" s="1" t="s">
        <v>2046</v>
      </c>
      <c r="F844" s="19" t="s">
        <v>2047</v>
      </c>
      <c r="G844" s="1" t="s">
        <v>900</v>
      </c>
      <c r="H844" s="1" t="s">
        <v>661</v>
      </c>
      <c r="I844" s="2">
        <v>45054</v>
      </c>
      <c r="J844" s="3">
        <v>0.49791666666666662</v>
      </c>
      <c r="K844" s="21" t="s">
        <v>73</v>
      </c>
      <c r="L844" s="2">
        <v>45054</v>
      </c>
      <c r="M844" s="3">
        <v>0.29930555555555555</v>
      </c>
      <c r="N844" s="19" t="s">
        <v>2048</v>
      </c>
    </row>
    <row r="845" spans="1:14" ht="28.8" hidden="1" x14ac:dyDescent="0.3">
      <c r="A845" s="47">
        <f t="shared" si="39"/>
        <v>2023</v>
      </c>
      <c r="B845" s="46">
        <f t="shared" si="40"/>
        <v>19</v>
      </c>
      <c r="C845" s="46">
        <f t="shared" si="41"/>
        <v>19</v>
      </c>
      <c r="E845" s="1" t="s">
        <v>2049</v>
      </c>
      <c r="F845" s="19" t="s">
        <v>2050</v>
      </c>
      <c r="G845" s="1" t="s">
        <v>900</v>
      </c>
      <c r="H845" s="1" t="s">
        <v>661</v>
      </c>
      <c r="I845" s="2">
        <v>45055</v>
      </c>
      <c r="J845" s="3">
        <v>0.49791666666666662</v>
      </c>
      <c r="K845" s="21" t="s">
        <v>73</v>
      </c>
      <c r="L845" s="2">
        <v>45055</v>
      </c>
      <c r="M845" s="3">
        <v>0.54027777777777775</v>
      </c>
      <c r="N845" s="19" t="s">
        <v>2051</v>
      </c>
    </row>
    <row r="846" spans="1:14" ht="28.8" hidden="1" x14ac:dyDescent="0.3">
      <c r="A846" s="47">
        <f t="shared" si="39"/>
        <v>2023</v>
      </c>
      <c r="B846" s="46">
        <f t="shared" si="40"/>
        <v>19</v>
      </c>
      <c r="C846" s="46">
        <f t="shared" si="41"/>
        <v>19</v>
      </c>
      <c r="E846" s="1" t="s">
        <v>2052</v>
      </c>
      <c r="F846" s="19" t="s">
        <v>1971</v>
      </c>
      <c r="G846" s="1" t="s">
        <v>900</v>
      </c>
      <c r="H846" s="1" t="s">
        <v>661</v>
      </c>
      <c r="I846" s="2">
        <v>45055</v>
      </c>
      <c r="J846" s="3">
        <v>0.49791666666666662</v>
      </c>
      <c r="K846" s="21" t="s">
        <v>73</v>
      </c>
      <c r="L846" s="2">
        <v>45055</v>
      </c>
      <c r="M846" s="3">
        <v>0.59375</v>
      </c>
      <c r="N846" s="19" t="s">
        <v>2053</v>
      </c>
    </row>
    <row r="847" spans="1:14" ht="28.8" hidden="1" x14ac:dyDescent="0.3">
      <c r="A847" s="47">
        <f t="shared" si="39"/>
        <v>2023</v>
      </c>
      <c r="B847" s="46">
        <f t="shared" si="40"/>
        <v>19</v>
      </c>
      <c r="C847" s="46">
        <f t="shared" si="41"/>
        <v>19</v>
      </c>
      <c r="E847" s="1" t="s">
        <v>2054</v>
      </c>
      <c r="F847" s="19" t="s">
        <v>1971</v>
      </c>
      <c r="G847" s="1" t="s">
        <v>900</v>
      </c>
      <c r="H847" s="1" t="s">
        <v>661</v>
      </c>
      <c r="I847" s="2">
        <v>45055</v>
      </c>
      <c r="J847" s="3">
        <v>0.71527777777777779</v>
      </c>
      <c r="K847" s="21" t="s">
        <v>73</v>
      </c>
      <c r="L847" s="2">
        <v>45056</v>
      </c>
      <c r="M847" s="3">
        <v>0.2951388888888889</v>
      </c>
      <c r="N847" s="19" t="s">
        <v>2055</v>
      </c>
    </row>
    <row r="848" spans="1:14" ht="28.8" hidden="1" x14ac:dyDescent="0.3">
      <c r="A848" s="47">
        <f t="shared" si="39"/>
        <v>2023</v>
      </c>
      <c r="B848" s="46">
        <f t="shared" si="40"/>
        <v>19</v>
      </c>
      <c r="C848" s="46">
        <f t="shared" si="41"/>
        <v>19</v>
      </c>
      <c r="E848" s="1" t="s">
        <v>2056</v>
      </c>
      <c r="F848" s="19" t="s">
        <v>2057</v>
      </c>
      <c r="G848" s="1" t="s">
        <v>900</v>
      </c>
      <c r="H848" s="1" t="s">
        <v>661</v>
      </c>
      <c r="I848" s="2">
        <v>45055</v>
      </c>
      <c r="J848" s="3">
        <v>0.71944444444444444</v>
      </c>
      <c r="K848" s="21" t="s">
        <v>73</v>
      </c>
      <c r="L848" s="2">
        <v>45056</v>
      </c>
      <c r="M848" s="3">
        <v>0.29652777777777778</v>
      </c>
      <c r="N848" s="19" t="s">
        <v>2058</v>
      </c>
    </row>
    <row r="849" spans="1:14" ht="164.55" hidden="1" customHeight="1" x14ac:dyDescent="0.3">
      <c r="A849" s="47">
        <f t="shared" si="39"/>
        <v>2023</v>
      </c>
      <c r="B849" s="46">
        <f t="shared" si="40"/>
        <v>19</v>
      </c>
      <c r="C849" s="46">
        <f t="shared" si="41"/>
        <v>19</v>
      </c>
      <c r="E849" s="1" t="s">
        <v>2059</v>
      </c>
      <c r="F849" s="19" t="s">
        <v>1810</v>
      </c>
      <c r="G849" s="1" t="s">
        <v>900</v>
      </c>
      <c r="H849" s="1" t="s">
        <v>661</v>
      </c>
      <c r="I849" s="2">
        <v>45056</v>
      </c>
      <c r="J849" s="3">
        <v>0.65833333333333333</v>
      </c>
      <c r="K849" s="21" t="s">
        <v>73</v>
      </c>
      <c r="L849" s="2">
        <v>45057</v>
      </c>
      <c r="M849" s="3">
        <v>0.3743055555555555</v>
      </c>
      <c r="N849" s="19" t="s">
        <v>2060</v>
      </c>
    </row>
    <row r="850" spans="1:14" ht="282" hidden="1" customHeight="1" x14ac:dyDescent="0.3">
      <c r="A850" s="47">
        <f t="shared" si="39"/>
        <v>2023</v>
      </c>
      <c r="B850" s="46">
        <f t="shared" si="40"/>
        <v>19</v>
      </c>
      <c r="C850" s="46">
        <f t="shared" si="41"/>
        <v>19</v>
      </c>
      <c r="E850" s="1" t="s">
        <v>2062</v>
      </c>
      <c r="F850" s="19" t="s">
        <v>2063</v>
      </c>
      <c r="G850" s="1" t="s">
        <v>10</v>
      </c>
      <c r="H850" s="1" t="s">
        <v>661</v>
      </c>
      <c r="I850" s="2">
        <v>45055</v>
      </c>
      <c r="J850" s="3">
        <v>0.50972222222222219</v>
      </c>
      <c r="K850" s="1" t="s">
        <v>88</v>
      </c>
      <c r="L850" s="2">
        <v>45058</v>
      </c>
      <c r="M850" s="3">
        <v>0.34027777777777773</v>
      </c>
      <c r="N850" s="19" t="s">
        <v>2064</v>
      </c>
    </row>
    <row r="851" spans="1:14" ht="86.4" hidden="1" x14ac:dyDescent="0.3">
      <c r="A851" s="47">
        <f t="shared" si="39"/>
        <v>2023</v>
      </c>
      <c r="B851" s="46">
        <f t="shared" si="40"/>
        <v>19</v>
      </c>
      <c r="C851" s="46">
        <f t="shared" si="41"/>
        <v>19</v>
      </c>
      <c r="E851" s="1" t="s">
        <v>2066</v>
      </c>
      <c r="F851" s="19" t="s">
        <v>2065</v>
      </c>
      <c r="G851" s="1" t="s">
        <v>10</v>
      </c>
      <c r="H851" s="1" t="s">
        <v>661</v>
      </c>
      <c r="I851" s="2">
        <v>45055</v>
      </c>
      <c r="J851" s="3">
        <v>0.51180555555555551</v>
      </c>
      <c r="K851" s="1" t="s">
        <v>88</v>
      </c>
      <c r="L851" s="2">
        <v>45058</v>
      </c>
      <c r="M851" s="3">
        <v>0.35347222222222219</v>
      </c>
      <c r="N851" s="19" t="s">
        <v>2067</v>
      </c>
    </row>
    <row r="852" spans="1:14" ht="72" hidden="1" x14ac:dyDescent="0.3">
      <c r="A852" s="47">
        <f t="shared" si="39"/>
        <v>2023</v>
      </c>
      <c r="B852" s="46">
        <f t="shared" si="40"/>
        <v>19</v>
      </c>
      <c r="C852" s="46">
        <f t="shared" si="41"/>
        <v>19</v>
      </c>
      <c r="E852" s="1" t="s">
        <v>2069</v>
      </c>
      <c r="F852" s="19" t="s">
        <v>2068</v>
      </c>
      <c r="G852" s="1" t="s">
        <v>10</v>
      </c>
      <c r="H852" s="1" t="s">
        <v>661</v>
      </c>
      <c r="I852" s="2">
        <v>45056</v>
      </c>
      <c r="J852" s="3">
        <v>0.47013888888888888</v>
      </c>
      <c r="K852" s="1" t="s">
        <v>88</v>
      </c>
      <c r="L852" s="2">
        <v>45058</v>
      </c>
      <c r="M852" s="3">
        <v>0.3611111111111111</v>
      </c>
      <c r="N852" s="19" t="s">
        <v>2067</v>
      </c>
    </row>
    <row r="853" spans="1:14" ht="57.6" hidden="1" x14ac:dyDescent="0.3">
      <c r="A853" s="47">
        <f t="shared" si="39"/>
        <v>2023</v>
      </c>
      <c r="B853" s="46">
        <f t="shared" si="40"/>
        <v>19</v>
      </c>
      <c r="C853" s="46">
        <f t="shared" si="41"/>
        <v>19</v>
      </c>
      <c r="E853" s="1" t="s">
        <v>2070</v>
      </c>
      <c r="F853" s="19" t="s">
        <v>2037</v>
      </c>
      <c r="G853" s="1" t="s">
        <v>10</v>
      </c>
      <c r="H853" s="1" t="s">
        <v>661</v>
      </c>
      <c r="I853" s="2">
        <v>45056</v>
      </c>
      <c r="J853" s="3">
        <v>0.47083333333333338</v>
      </c>
      <c r="K853" s="1" t="s">
        <v>88</v>
      </c>
      <c r="L853" s="2">
        <v>45058</v>
      </c>
      <c r="M853" s="3">
        <v>0.36527777777777781</v>
      </c>
      <c r="N853" s="19" t="s">
        <v>2039</v>
      </c>
    </row>
    <row r="854" spans="1:14" ht="72" hidden="1" x14ac:dyDescent="0.3">
      <c r="A854" s="47">
        <f t="shared" si="39"/>
        <v>2023</v>
      </c>
      <c r="B854" s="46">
        <f t="shared" si="40"/>
        <v>19</v>
      </c>
      <c r="C854" s="46">
        <f t="shared" si="41"/>
        <v>19</v>
      </c>
      <c r="E854" s="1" t="s">
        <v>2071</v>
      </c>
      <c r="F854" s="19" t="s">
        <v>2073</v>
      </c>
      <c r="G854" s="1" t="s">
        <v>10</v>
      </c>
      <c r="H854" s="1" t="s">
        <v>661</v>
      </c>
      <c r="I854" s="2">
        <v>45056</v>
      </c>
      <c r="J854" s="3">
        <v>0.4777777777777778</v>
      </c>
      <c r="K854" s="1" t="s">
        <v>88</v>
      </c>
      <c r="L854" s="2">
        <v>45058</v>
      </c>
      <c r="M854" s="3">
        <v>0.4381944444444445</v>
      </c>
      <c r="N854" s="19" t="s">
        <v>2072</v>
      </c>
    </row>
    <row r="855" spans="1:14" ht="86.4" hidden="1" x14ac:dyDescent="0.3">
      <c r="A855" s="47">
        <f t="shared" si="39"/>
        <v>2023</v>
      </c>
      <c r="B855" s="46">
        <f t="shared" si="40"/>
        <v>19</v>
      </c>
      <c r="C855" s="46">
        <f t="shared" si="41"/>
        <v>19</v>
      </c>
      <c r="E855" s="1" t="s">
        <v>2074</v>
      </c>
      <c r="F855" s="19" t="s">
        <v>2075</v>
      </c>
      <c r="G855" s="1" t="s">
        <v>10</v>
      </c>
      <c r="H855" s="1" t="s">
        <v>661</v>
      </c>
      <c r="I855" s="2">
        <v>45057</v>
      </c>
      <c r="J855" s="3">
        <v>0.34861111111111115</v>
      </c>
      <c r="K855" s="1" t="s">
        <v>88</v>
      </c>
      <c r="L855" s="2">
        <v>45058</v>
      </c>
      <c r="M855" s="3">
        <v>0.4513888888888889</v>
      </c>
      <c r="N855" s="19" t="s">
        <v>2076</v>
      </c>
    </row>
    <row r="856" spans="1:14" ht="72" hidden="1" x14ac:dyDescent="0.3">
      <c r="A856" s="47">
        <f t="shared" si="39"/>
        <v>2023</v>
      </c>
      <c r="B856" s="46">
        <f t="shared" si="40"/>
        <v>19</v>
      </c>
      <c r="C856" s="46">
        <f t="shared" si="41"/>
        <v>19</v>
      </c>
      <c r="E856" s="1" t="s">
        <v>2077</v>
      </c>
      <c r="F856" s="19" t="s">
        <v>2078</v>
      </c>
      <c r="G856" s="1" t="s">
        <v>10</v>
      </c>
      <c r="H856" s="1" t="s">
        <v>661</v>
      </c>
      <c r="I856" s="2">
        <v>45056</v>
      </c>
      <c r="J856" s="3">
        <v>0.47986111111111113</v>
      </c>
      <c r="K856" s="1" t="s">
        <v>88</v>
      </c>
      <c r="L856" s="2">
        <v>45058</v>
      </c>
      <c r="M856" s="3">
        <v>0.45624999999999999</v>
      </c>
      <c r="N856" s="19" t="s">
        <v>2079</v>
      </c>
    </row>
    <row r="857" spans="1:14" ht="28.8" hidden="1" x14ac:dyDescent="0.3">
      <c r="A857" s="47">
        <f t="shared" si="39"/>
        <v>2023</v>
      </c>
      <c r="B857" s="46">
        <f t="shared" si="40"/>
        <v>19</v>
      </c>
      <c r="C857" s="46">
        <f t="shared" si="41"/>
        <v>20</v>
      </c>
      <c r="E857" s="1" t="s">
        <v>2089</v>
      </c>
      <c r="F857" s="19" t="s">
        <v>1862</v>
      </c>
      <c r="G857" s="1" t="s">
        <v>900</v>
      </c>
      <c r="H857" s="1" t="s">
        <v>661</v>
      </c>
      <c r="I857" s="2">
        <v>45057</v>
      </c>
      <c r="J857" s="3">
        <v>0.72152777777777777</v>
      </c>
      <c r="K857" s="1" t="s">
        <v>73</v>
      </c>
      <c r="L857" s="2">
        <v>45063</v>
      </c>
      <c r="M857" s="3">
        <v>0.72777777777777775</v>
      </c>
      <c r="N857" s="19" t="s">
        <v>2362</v>
      </c>
    </row>
    <row r="858" spans="1:14" ht="144" hidden="1" x14ac:dyDescent="0.3">
      <c r="A858" s="47">
        <f t="shared" si="39"/>
        <v>2023</v>
      </c>
      <c r="B858" s="46">
        <f t="shared" si="40"/>
        <v>20</v>
      </c>
      <c r="C858" s="46">
        <f t="shared" si="41"/>
        <v>24</v>
      </c>
      <c r="E858" s="1" t="s">
        <v>2091</v>
      </c>
      <c r="F858" s="19" t="s">
        <v>2090</v>
      </c>
      <c r="G858" s="1" t="s">
        <v>10</v>
      </c>
      <c r="H858" s="1" t="s">
        <v>661</v>
      </c>
      <c r="I858" s="2">
        <v>45061</v>
      </c>
      <c r="J858" s="3">
        <v>0.69236111111111109</v>
      </c>
      <c r="K858" s="1" t="s">
        <v>88</v>
      </c>
      <c r="L858" s="2">
        <v>45094</v>
      </c>
      <c r="M858" s="3">
        <v>0.54722222222222217</v>
      </c>
      <c r="N858" s="19" t="s">
        <v>2092</v>
      </c>
    </row>
    <row r="859" spans="1:14" ht="54.6" hidden="1" customHeight="1" x14ac:dyDescent="0.3">
      <c r="A859" s="47">
        <f t="shared" si="39"/>
        <v>2023</v>
      </c>
      <c r="B859" s="46">
        <f t="shared" si="40"/>
        <v>19</v>
      </c>
      <c r="C859" s="46">
        <f t="shared" si="41"/>
        <v>20</v>
      </c>
      <c r="E859" s="1" t="s">
        <v>2089</v>
      </c>
      <c r="F859" s="19" t="s">
        <v>1862</v>
      </c>
      <c r="G859" s="1" t="s">
        <v>10</v>
      </c>
      <c r="H859" s="1" t="s">
        <v>661</v>
      </c>
      <c r="I859" s="2">
        <v>45057</v>
      </c>
      <c r="J859" s="3">
        <v>0.72152777777777777</v>
      </c>
      <c r="K859" s="1" t="s">
        <v>73</v>
      </c>
      <c r="L859" s="2">
        <v>45063</v>
      </c>
      <c r="M859" s="3">
        <v>0.72569444444444453</v>
      </c>
      <c r="N859" s="19" t="s">
        <v>2093</v>
      </c>
    </row>
    <row r="860" spans="1:14" ht="28.8" hidden="1" x14ac:dyDescent="0.3">
      <c r="A860" s="47">
        <f t="shared" si="39"/>
        <v>2023</v>
      </c>
      <c r="B860" s="46">
        <f t="shared" si="40"/>
        <v>20</v>
      </c>
      <c r="C860" s="46">
        <f t="shared" si="41"/>
        <v>20</v>
      </c>
      <c r="E860" s="1" t="s">
        <v>2094</v>
      </c>
      <c r="F860" s="19" t="s">
        <v>2047</v>
      </c>
      <c r="G860" s="1" t="s">
        <v>900</v>
      </c>
      <c r="H860" s="1" t="s">
        <v>661</v>
      </c>
      <c r="I860" s="2">
        <v>45065</v>
      </c>
      <c r="J860" s="3">
        <v>0.4458333333333333</v>
      </c>
      <c r="K860" s="1" t="s">
        <v>73</v>
      </c>
      <c r="L860" s="2">
        <v>45066</v>
      </c>
      <c r="M860" s="3">
        <v>0.23958333333333334</v>
      </c>
      <c r="N860" s="19" t="s">
        <v>2095</v>
      </c>
    </row>
    <row r="861" spans="1:14" ht="28.8" hidden="1" x14ac:dyDescent="0.3">
      <c r="A861" s="47">
        <f t="shared" si="39"/>
        <v>2023</v>
      </c>
      <c r="B861" s="46">
        <f t="shared" si="40"/>
        <v>20</v>
      </c>
      <c r="C861" s="46">
        <f t="shared" si="41"/>
        <v>20</v>
      </c>
      <c r="E861" s="1" t="s">
        <v>2096</v>
      </c>
      <c r="F861" s="19" t="s">
        <v>2097</v>
      </c>
      <c r="G861" s="1" t="s">
        <v>900</v>
      </c>
      <c r="H861" s="1" t="s">
        <v>661</v>
      </c>
      <c r="I861" s="2">
        <v>45064</v>
      </c>
      <c r="J861" s="3">
        <v>0.7090277777777777</v>
      </c>
      <c r="K861" s="1" t="s">
        <v>73</v>
      </c>
      <c r="L861" s="2">
        <v>45066</v>
      </c>
      <c r="M861" s="3">
        <v>0.28333333333333333</v>
      </c>
      <c r="N861" s="19" t="s">
        <v>2098</v>
      </c>
    </row>
    <row r="862" spans="1:14" ht="86.4" hidden="1" x14ac:dyDescent="0.3">
      <c r="A862" s="47">
        <f t="shared" si="39"/>
        <v>2023</v>
      </c>
      <c r="B862" s="46">
        <f t="shared" si="40"/>
        <v>20</v>
      </c>
      <c r="C862" s="46">
        <f t="shared" si="41"/>
        <v>20</v>
      </c>
      <c r="E862" s="1" t="s">
        <v>2099</v>
      </c>
      <c r="F862" s="19" t="s">
        <v>1952</v>
      </c>
      <c r="G862" s="1" t="s">
        <v>900</v>
      </c>
      <c r="H862" s="1" t="s">
        <v>661</v>
      </c>
      <c r="I862" s="2">
        <v>45062</v>
      </c>
      <c r="J862" s="3">
        <v>0.70138888888888884</v>
      </c>
      <c r="K862" s="1" t="s">
        <v>73</v>
      </c>
      <c r="L862" s="2">
        <v>45066</v>
      </c>
      <c r="M862" s="3">
        <v>0.33055555555555555</v>
      </c>
      <c r="N862" s="19" t="s">
        <v>2100</v>
      </c>
    </row>
    <row r="863" spans="1:14" ht="182.55" hidden="1" customHeight="1" x14ac:dyDescent="0.3">
      <c r="A863" s="47">
        <f t="shared" si="39"/>
        <v>2023</v>
      </c>
      <c r="B863" s="46">
        <f t="shared" si="40"/>
        <v>27</v>
      </c>
      <c r="C863" s="46">
        <f t="shared" si="41"/>
        <v>28</v>
      </c>
      <c r="E863" s="1" t="s">
        <v>2101</v>
      </c>
      <c r="F863" s="19" t="s">
        <v>2102</v>
      </c>
      <c r="G863" s="1" t="s">
        <v>900</v>
      </c>
      <c r="H863" s="1" t="s">
        <v>661</v>
      </c>
      <c r="I863" s="34">
        <v>45114</v>
      </c>
      <c r="J863" s="28" t="s">
        <v>2327</v>
      </c>
      <c r="K863" s="1" t="s">
        <v>73</v>
      </c>
      <c r="L863" s="34">
        <v>45117</v>
      </c>
      <c r="M863" s="28" t="s">
        <v>2328</v>
      </c>
      <c r="N863" s="19" t="s">
        <v>2103</v>
      </c>
    </row>
    <row r="864" spans="1:14" ht="191.55" hidden="1" customHeight="1" x14ac:dyDescent="0.3">
      <c r="A864" s="47">
        <f t="shared" si="39"/>
        <v>2023</v>
      </c>
      <c r="B864" s="46">
        <f t="shared" si="40"/>
        <v>20</v>
      </c>
      <c r="C864" s="46">
        <f t="shared" si="41"/>
        <v>20</v>
      </c>
      <c r="E864" s="1" t="s">
        <v>2104</v>
      </c>
      <c r="F864" s="19" t="s">
        <v>2047</v>
      </c>
      <c r="G864" s="1" t="s">
        <v>900</v>
      </c>
      <c r="H864" s="1" t="s">
        <v>661</v>
      </c>
      <c r="I864" s="2">
        <v>45061</v>
      </c>
      <c r="J864" s="3">
        <v>0.6875</v>
      </c>
      <c r="K864" s="1" t="s">
        <v>73</v>
      </c>
      <c r="L864" s="2">
        <v>45066</v>
      </c>
      <c r="M864" s="3">
        <v>0.41180555555555554</v>
      </c>
      <c r="N864" s="19" t="s">
        <v>2105</v>
      </c>
    </row>
    <row r="865" spans="1:14" ht="158.4" hidden="1" x14ac:dyDescent="0.3">
      <c r="A865" s="47">
        <f t="shared" si="39"/>
        <v>2023</v>
      </c>
      <c r="B865" s="46">
        <f t="shared" si="40"/>
        <v>20</v>
      </c>
      <c r="C865" s="46">
        <f t="shared" si="41"/>
        <v>21</v>
      </c>
      <c r="E865" s="1" t="s">
        <v>2106</v>
      </c>
      <c r="F865" s="19" t="s">
        <v>2107</v>
      </c>
      <c r="G865" s="1" t="s">
        <v>10</v>
      </c>
      <c r="H865" s="1" t="s">
        <v>661</v>
      </c>
      <c r="I865" s="2">
        <v>45061</v>
      </c>
      <c r="J865" s="3">
        <v>0.7006944444444444</v>
      </c>
      <c r="K865" s="1" t="s">
        <v>73</v>
      </c>
      <c r="L865" s="2">
        <v>45068</v>
      </c>
      <c r="M865" s="3">
        <v>0.48680555555555555</v>
      </c>
      <c r="N865" s="19" t="s">
        <v>2108</v>
      </c>
    </row>
    <row r="866" spans="1:14" ht="86.4" hidden="1" x14ac:dyDescent="0.3">
      <c r="A866" s="47">
        <f t="shared" si="39"/>
        <v>2023</v>
      </c>
      <c r="B866" s="46">
        <f t="shared" si="40"/>
        <v>20</v>
      </c>
      <c r="C866" s="46">
        <f t="shared" si="41"/>
        <v>21</v>
      </c>
      <c r="E866" s="1" t="s">
        <v>2109</v>
      </c>
      <c r="F866" s="19" t="s">
        <v>2110</v>
      </c>
      <c r="G866" s="1" t="s">
        <v>9</v>
      </c>
      <c r="H866" s="1" t="s">
        <v>661</v>
      </c>
      <c r="I866" s="2">
        <v>45061</v>
      </c>
      <c r="J866" s="3">
        <v>0.70347222222222217</v>
      </c>
      <c r="K866" s="1" t="s">
        <v>73</v>
      </c>
      <c r="L866" s="2">
        <v>45068</v>
      </c>
      <c r="M866" s="3">
        <v>0.4909722222222222</v>
      </c>
      <c r="N866" s="19" t="s">
        <v>2111</v>
      </c>
    </row>
    <row r="867" spans="1:14" ht="158.4" hidden="1" x14ac:dyDescent="0.3">
      <c r="A867" s="47">
        <f t="shared" si="39"/>
        <v>2023</v>
      </c>
      <c r="B867" s="46">
        <f t="shared" si="40"/>
        <v>20</v>
      </c>
      <c r="C867" s="46">
        <f t="shared" si="41"/>
        <v>21</v>
      </c>
      <c r="E867" s="1" t="s">
        <v>2112</v>
      </c>
      <c r="F867" s="19" t="s">
        <v>2107</v>
      </c>
      <c r="G867" s="1" t="s">
        <v>10</v>
      </c>
      <c r="H867" s="1" t="s">
        <v>661</v>
      </c>
      <c r="I867" s="2">
        <v>45062</v>
      </c>
      <c r="J867" s="3">
        <v>0.68541666666666667</v>
      </c>
      <c r="K867" s="1" t="s">
        <v>73</v>
      </c>
      <c r="L867" s="2">
        <v>45068</v>
      </c>
      <c r="M867" s="3">
        <v>0.71875</v>
      </c>
      <c r="N867" s="19" t="s">
        <v>2127</v>
      </c>
    </row>
    <row r="868" spans="1:14" ht="100.8" hidden="1" x14ac:dyDescent="0.3">
      <c r="A868" s="47">
        <f t="shared" si="39"/>
        <v>2023</v>
      </c>
      <c r="B868" s="46">
        <f t="shared" si="40"/>
        <v>20</v>
      </c>
      <c r="C868" s="46">
        <f t="shared" si="41"/>
        <v>21</v>
      </c>
      <c r="E868" s="1" t="s">
        <v>2113</v>
      </c>
      <c r="F868" s="19" t="s">
        <v>2114</v>
      </c>
      <c r="G868" s="1" t="s">
        <v>9</v>
      </c>
      <c r="H868" s="1" t="s">
        <v>661</v>
      </c>
      <c r="I868" s="2">
        <v>45062</v>
      </c>
      <c r="J868" s="3">
        <v>0.70624999999999993</v>
      </c>
      <c r="K868" s="1" t="s">
        <v>73</v>
      </c>
      <c r="L868" s="2">
        <v>45069</v>
      </c>
      <c r="M868" s="3">
        <v>0.60277777777777775</v>
      </c>
      <c r="N868" s="19" t="s">
        <v>2115</v>
      </c>
    </row>
    <row r="869" spans="1:14" ht="43.2" hidden="1" x14ac:dyDescent="0.3">
      <c r="A869" s="47">
        <f t="shared" si="39"/>
        <v>2023</v>
      </c>
      <c r="B869" s="46">
        <f t="shared" si="40"/>
        <v>20</v>
      </c>
      <c r="C869" s="46">
        <f t="shared" si="41"/>
        <v>21</v>
      </c>
      <c r="E869" s="1" t="s">
        <v>2116</v>
      </c>
      <c r="F869" s="19" t="s">
        <v>2117</v>
      </c>
      <c r="G869" s="1" t="s">
        <v>10</v>
      </c>
      <c r="H869" s="1" t="s">
        <v>661</v>
      </c>
      <c r="I869" s="2">
        <v>45062</v>
      </c>
      <c r="J869" s="3">
        <v>0.69027777777777777</v>
      </c>
      <c r="K869" s="1" t="s">
        <v>73</v>
      </c>
      <c r="L869" s="2">
        <v>45070</v>
      </c>
      <c r="M869" s="3">
        <v>0.32847222222222222</v>
      </c>
      <c r="N869" s="19" t="s">
        <v>2118</v>
      </c>
    </row>
    <row r="870" spans="1:14" ht="101.1" hidden="1" customHeight="1" x14ac:dyDescent="0.3">
      <c r="A870" s="47">
        <f t="shared" si="39"/>
        <v>2023</v>
      </c>
      <c r="B870" s="46">
        <f t="shared" si="40"/>
        <v>20</v>
      </c>
      <c r="C870" s="46">
        <f t="shared" si="41"/>
        <v>21</v>
      </c>
      <c r="E870" s="1" t="s">
        <v>2119</v>
      </c>
      <c r="F870" s="19" t="s">
        <v>2114</v>
      </c>
      <c r="G870" s="1" t="s">
        <v>10</v>
      </c>
      <c r="H870" s="1" t="s">
        <v>661</v>
      </c>
      <c r="I870" s="2">
        <v>45063</v>
      </c>
      <c r="J870" s="3">
        <v>0.50763888888888886</v>
      </c>
      <c r="K870" s="1" t="s">
        <v>73</v>
      </c>
      <c r="L870" s="2">
        <v>45070</v>
      </c>
      <c r="M870" s="3">
        <v>0.42777777777777781</v>
      </c>
      <c r="N870" s="19" t="s">
        <v>2120</v>
      </c>
    </row>
    <row r="871" spans="1:14" ht="57" hidden="1" customHeight="1" x14ac:dyDescent="0.3">
      <c r="A871" s="47">
        <f t="shared" si="39"/>
        <v>2023</v>
      </c>
      <c r="B871" s="46">
        <f t="shared" si="40"/>
        <v>20</v>
      </c>
      <c r="C871" s="46">
        <f t="shared" si="41"/>
        <v>21</v>
      </c>
      <c r="E871" s="1" t="s">
        <v>2121</v>
      </c>
      <c r="F871" s="19" t="s">
        <v>2122</v>
      </c>
      <c r="G871" s="1" t="s">
        <v>10</v>
      </c>
      <c r="H871" s="1" t="s">
        <v>661</v>
      </c>
      <c r="I871" s="2">
        <v>45063</v>
      </c>
      <c r="J871" s="3">
        <v>0.49652777777777773</v>
      </c>
      <c r="K871" s="1" t="s">
        <v>73</v>
      </c>
      <c r="L871" s="2">
        <v>45070</v>
      </c>
      <c r="M871" s="3">
        <v>0.43263888888888885</v>
      </c>
      <c r="N871" s="19" t="s">
        <v>2123</v>
      </c>
    </row>
    <row r="872" spans="1:14" ht="57" hidden="1" customHeight="1" x14ac:dyDescent="0.3">
      <c r="A872" s="47">
        <f t="shared" si="39"/>
        <v>2023</v>
      </c>
      <c r="B872" s="46">
        <f t="shared" si="40"/>
        <v>20</v>
      </c>
      <c r="C872" s="46">
        <f t="shared" si="41"/>
        <v>21</v>
      </c>
      <c r="E872" s="1" t="s">
        <v>2124</v>
      </c>
      <c r="F872" s="19" t="s">
        <v>2117</v>
      </c>
      <c r="G872" s="1" t="s">
        <v>10</v>
      </c>
      <c r="H872" s="1" t="s">
        <v>661</v>
      </c>
      <c r="I872" s="2">
        <v>45063</v>
      </c>
      <c r="J872" s="3">
        <v>0.50208333333333333</v>
      </c>
      <c r="K872" s="1" t="s">
        <v>73</v>
      </c>
      <c r="L872" s="2">
        <v>45070</v>
      </c>
      <c r="M872" s="3">
        <v>0.4375</v>
      </c>
      <c r="N872" s="19" t="s">
        <v>2125</v>
      </c>
    </row>
    <row r="873" spans="1:14" ht="90.6" hidden="1" customHeight="1" x14ac:dyDescent="0.3">
      <c r="A873" s="47">
        <f t="shared" si="39"/>
        <v>2023</v>
      </c>
      <c r="B873" s="46">
        <f t="shared" si="40"/>
        <v>20</v>
      </c>
      <c r="C873" s="46">
        <f t="shared" si="41"/>
        <v>21</v>
      </c>
      <c r="E873" s="38" t="s">
        <v>2126</v>
      </c>
      <c r="F873" s="19" t="s">
        <v>2107</v>
      </c>
      <c r="G873" s="1" t="s">
        <v>10</v>
      </c>
      <c r="H873" s="1" t="s">
        <v>661</v>
      </c>
      <c r="I873" s="2">
        <v>45064</v>
      </c>
      <c r="J873" s="3">
        <v>0.7006944444444444</v>
      </c>
      <c r="K873" s="1" t="s">
        <v>73</v>
      </c>
      <c r="L873" s="2">
        <v>45070</v>
      </c>
      <c r="M873" s="3">
        <v>0.45069444444444445</v>
      </c>
      <c r="N873" s="19" t="s">
        <v>2128</v>
      </c>
    </row>
    <row r="874" spans="1:14" ht="129.6" hidden="1" x14ac:dyDescent="0.3">
      <c r="A874" s="47">
        <f t="shared" si="39"/>
        <v>2023</v>
      </c>
      <c r="B874" s="46">
        <f t="shared" si="40"/>
        <v>20</v>
      </c>
      <c r="C874" s="46">
        <f t="shared" si="41"/>
        <v>21</v>
      </c>
      <c r="E874" s="1" t="s">
        <v>2129</v>
      </c>
      <c r="F874" s="19" t="s">
        <v>2114</v>
      </c>
      <c r="G874" s="1" t="s">
        <v>9</v>
      </c>
      <c r="H874" s="1" t="s">
        <v>661</v>
      </c>
      <c r="I874" s="2">
        <v>45064</v>
      </c>
      <c r="J874" s="3">
        <v>0.70416666666666661</v>
      </c>
      <c r="K874" s="1" t="s">
        <v>73</v>
      </c>
      <c r="L874" s="2">
        <v>45070</v>
      </c>
      <c r="M874" s="3">
        <v>0.45416666666666666</v>
      </c>
      <c r="N874" s="19" t="s">
        <v>2130</v>
      </c>
    </row>
    <row r="875" spans="1:14" ht="141" hidden="1" customHeight="1" x14ac:dyDescent="0.3">
      <c r="A875" s="47">
        <f t="shared" si="39"/>
        <v>2023</v>
      </c>
      <c r="B875" s="46">
        <f t="shared" si="40"/>
        <v>21</v>
      </c>
      <c r="C875" s="46">
        <f t="shared" si="41"/>
        <v>22</v>
      </c>
      <c r="E875" s="1" t="s">
        <v>2133</v>
      </c>
      <c r="F875" s="19" t="s">
        <v>2107</v>
      </c>
      <c r="G875" s="1" t="s">
        <v>10</v>
      </c>
      <c r="H875" s="1" t="s">
        <v>661</v>
      </c>
      <c r="I875" s="2">
        <v>45071</v>
      </c>
      <c r="J875" s="3">
        <v>0.69027777777777777</v>
      </c>
      <c r="K875" s="1" t="s">
        <v>73</v>
      </c>
      <c r="L875" s="2">
        <v>45076</v>
      </c>
      <c r="M875" s="3">
        <v>0.58958333333333335</v>
      </c>
      <c r="N875" s="19" t="s">
        <v>2134</v>
      </c>
    </row>
    <row r="876" spans="1:14" ht="43.2" hidden="1" x14ac:dyDescent="0.3">
      <c r="A876" s="47">
        <f t="shared" si="39"/>
        <v>2023</v>
      </c>
      <c r="B876" s="46">
        <f t="shared" si="40"/>
        <v>21</v>
      </c>
      <c r="C876" s="46">
        <f t="shared" si="41"/>
        <v>22</v>
      </c>
      <c r="E876" s="1" t="s">
        <v>2135</v>
      </c>
      <c r="F876" s="19" t="s">
        <v>2136</v>
      </c>
      <c r="G876" s="1" t="s">
        <v>10</v>
      </c>
      <c r="H876" s="1" t="s">
        <v>661</v>
      </c>
      <c r="I876" s="2">
        <v>45071</v>
      </c>
      <c r="J876" s="3">
        <v>0.69513888888888886</v>
      </c>
      <c r="K876" s="1" t="s">
        <v>73</v>
      </c>
      <c r="L876" s="2">
        <v>45076</v>
      </c>
      <c r="M876" s="3">
        <v>0.59305555555555556</v>
      </c>
      <c r="N876" s="19" t="s">
        <v>2137</v>
      </c>
    </row>
    <row r="877" spans="1:14" ht="49.35" hidden="1" customHeight="1" x14ac:dyDescent="0.3">
      <c r="A877" s="47">
        <f t="shared" si="39"/>
        <v>2023</v>
      </c>
      <c r="B877" s="46">
        <f t="shared" si="40"/>
        <v>21</v>
      </c>
      <c r="C877" s="46">
        <f t="shared" si="41"/>
        <v>22</v>
      </c>
      <c r="E877" s="1" t="s">
        <v>2138</v>
      </c>
      <c r="F877" s="19" t="s">
        <v>2117</v>
      </c>
      <c r="G877" s="1" t="s">
        <v>10</v>
      </c>
      <c r="H877" s="1" t="s">
        <v>661</v>
      </c>
      <c r="I877" s="2">
        <v>45071</v>
      </c>
      <c r="J877" s="3">
        <v>0.69930555555555562</v>
      </c>
      <c r="K877" s="1" t="s">
        <v>73</v>
      </c>
      <c r="L877" s="2">
        <v>45076</v>
      </c>
      <c r="M877" s="3">
        <v>0.59583333333333333</v>
      </c>
      <c r="N877" s="19" t="s">
        <v>2139</v>
      </c>
    </row>
    <row r="878" spans="1:14" ht="43.2" hidden="1" x14ac:dyDescent="0.3">
      <c r="A878" s="47">
        <f t="shared" si="39"/>
        <v>2023</v>
      </c>
      <c r="B878" s="46">
        <f t="shared" si="40"/>
        <v>21</v>
      </c>
      <c r="C878" s="46">
        <f t="shared" si="41"/>
        <v>22</v>
      </c>
      <c r="E878" s="1" t="s">
        <v>2140</v>
      </c>
      <c r="F878" s="19" t="s">
        <v>2136</v>
      </c>
      <c r="G878" s="1" t="s">
        <v>10</v>
      </c>
      <c r="H878" s="1" t="s">
        <v>661</v>
      </c>
      <c r="I878" s="2">
        <v>45071</v>
      </c>
      <c r="J878" s="3">
        <v>0.70416666666666661</v>
      </c>
      <c r="K878" s="1" t="s">
        <v>73</v>
      </c>
      <c r="L878" s="2">
        <v>45076</v>
      </c>
      <c r="M878" s="3">
        <v>0.62430555555555556</v>
      </c>
      <c r="N878" s="19" t="s">
        <v>2141</v>
      </c>
    </row>
    <row r="879" spans="1:14" ht="28.8" hidden="1" x14ac:dyDescent="0.3">
      <c r="A879" s="47">
        <f t="shared" si="39"/>
        <v>2023</v>
      </c>
      <c r="B879" s="46">
        <f t="shared" si="40"/>
        <v>21</v>
      </c>
      <c r="C879" s="46">
        <f t="shared" si="41"/>
        <v>22</v>
      </c>
      <c r="E879" s="1" t="s">
        <v>2142</v>
      </c>
      <c r="F879" s="19" t="s">
        <v>2143</v>
      </c>
      <c r="G879" s="1" t="s">
        <v>10</v>
      </c>
      <c r="H879" s="1" t="s">
        <v>661</v>
      </c>
      <c r="I879" s="2">
        <v>45071</v>
      </c>
      <c r="J879" s="3">
        <v>0.70763888888888893</v>
      </c>
      <c r="K879" s="1" t="s">
        <v>73</v>
      </c>
      <c r="L879" s="2">
        <v>45076</v>
      </c>
      <c r="M879" s="3">
        <v>0.62847222222222221</v>
      </c>
      <c r="N879" s="19" t="s">
        <v>2144</v>
      </c>
    </row>
    <row r="880" spans="1:14" ht="43.2" hidden="1" x14ac:dyDescent="0.3">
      <c r="A880" s="47">
        <f t="shared" si="39"/>
        <v>2023</v>
      </c>
      <c r="B880" s="46">
        <f t="shared" si="40"/>
        <v>21</v>
      </c>
      <c r="C880" s="46">
        <f t="shared" si="41"/>
        <v>22</v>
      </c>
      <c r="E880" s="1" t="s">
        <v>2145</v>
      </c>
      <c r="F880" s="19" t="s">
        <v>2146</v>
      </c>
      <c r="G880" s="1" t="s">
        <v>10</v>
      </c>
      <c r="H880" s="1" t="s">
        <v>661</v>
      </c>
      <c r="I880" s="2">
        <v>45071</v>
      </c>
      <c r="J880" s="3">
        <v>0.7104166666666667</v>
      </c>
      <c r="K880" s="1" t="s">
        <v>73</v>
      </c>
      <c r="L880" s="2">
        <v>45076</v>
      </c>
      <c r="M880" s="3">
        <v>0.65208333333333335</v>
      </c>
      <c r="N880" s="19" t="s">
        <v>2147</v>
      </c>
    </row>
    <row r="881" spans="1:14" ht="189" hidden="1" customHeight="1" x14ac:dyDescent="0.3">
      <c r="A881" s="47">
        <f t="shared" si="39"/>
        <v>2023</v>
      </c>
      <c r="B881" s="46">
        <f t="shared" si="40"/>
        <v>21</v>
      </c>
      <c r="C881" s="46">
        <f t="shared" si="41"/>
        <v>22</v>
      </c>
      <c r="E881" s="1" t="s">
        <v>2148</v>
      </c>
      <c r="F881" s="19" t="s">
        <v>2107</v>
      </c>
      <c r="G881" s="1" t="s">
        <v>10</v>
      </c>
      <c r="H881" s="1" t="s">
        <v>661</v>
      </c>
      <c r="I881" s="2">
        <v>45071</v>
      </c>
      <c r="J881" s="3">
        <v>0.71597222222222223</v>
      </c>
      <c r="K881" s="1" t="s">
        <v>73</v>
      </c>
      <c r="L881" s="2">
        <v>45076</v>
      </c>
      <c r="M881" s="3">
        <v>0.69513888888888886</v>
      </c>
      <c r="N881" s="19" t="s">
        <v>2149</v>
      </c>
    </row>
    <row r="882" spans="1:14" ht="28.8" hidden="1" x14ac:dyDescent="0.3">
      <c r="A882" s="47">
        <f t="shared" si="39"/>
        <v>2023</v>
      </c>
      <c r="B882" s="46">
        <f t="shared" si="40"/>
        <v>21</v>
      </c>
      <c r="C882" s="46">
        <f t="shared" si="41"/>
        <v>22</v>
      </c>
      <c r="E882" s="1" t="s">
        <v>2150</v>
      </c>
      <c r="F882" s="19" t="s">
        <v>2107</v>
      </c>
      <c r="G882" s="1" t="s">
        <v>10</v>
      </c>
      <c r="H882" s="1" t="s">
        <v>661</v>
      </c>
      <c r="I882" s="2">
        <v>45072</v>
      </c>
      <c r="J882" s="3">
        <v>0.66875000000000007</v>
      </c>
      <c r="K882" s="1" t="s">
        <v>73</v>
      </c>
      <c r="L882" s="2">
        <v>45076</v>
      </c>
      <c r="M882" s="3">
        <v>0.69791666666666663</v>
      </c>
      <c r="N882" s="19" t="s">
        <v>2151</v>
      </c>
    </row>
    <row r="883" spans="1:14" ht="28.8" hidden="1" x14ac:dyDescent="0.3">
      <c r="A883" s="47">
        <f t="shared" si="39"/>
        <v>2023</v>
      </c>
      <c r="B883" s="46">
        <f t="shared" si="40"/>
        <v>22</v>
      </c>
      <c r="C883" s="46">
        <f t="shared" si="41"/>
        <v>22</v>
      </c>
      <c r="E883" s="1" t="s">
        <v>2152</v>
      </c>
      <c r="F883" s="19" t="s">
        <v>2107</v>
      </c>
      <c r="G883" s="1" t="s">
        <v>10</v>
      </c>
      <c r="H883" s="1" t="s">
        <v>661</v>
      </c>
      <c r="I883" s="2">
        <v>45075</v>
      </c>
      <c r="J883" s="3">
        <v>0.60902777777777783</v>
      </c>
      <c r="K883" s="1" t="s">
        <v>73</v>
      </c>
      <c r="L883" s="2">
        <v>45076</v>
      </c>
      <c r="M883" s="3">
        <v>0.7006944444444444</v>
      </c>
      <c r="N883" s="19" t="s">
        <v>2153</v>
      </c>
    </row>
    <row r="884" spans="1:14" ht="28.8" hidden="1" x14ac:dyDescent="0.3">
      <c r="A884" s="47">
        <f t="shared" si="39"/>
        <v>2023</v>
      </c>
      <c r="B884" s="46">
        <f t="shared" si="40"/>
        <v>22</v>
      </c>
      <c r="C884" s="46">
        <f t="shared" si="41"/>
        <v>22</v>
      </c>
      <c r="E884" s="1" t="s">
        <v>2154</v>
      </c>
      <c r="F884" s="19" t="s">
        <v>2136</v>
      </c>
      <c r="G884" s="1" t="s">
        <v>10</v>
      </c>
      <c r="H884" s="1" t="s">
        <v>661</v>
      </c>
      <c r="I884" s="2">
        <v>45075</v>
      </c>
      <c r="J884" s="3">
        <v>0.60902777777777783</v>
      </c>
      <c r="K884" s="1" t="s">
        <v>73</v>
      </c>
      <c r="L884" s="2">
        <v>45076</v>
      </c>
      <c r="M884" s="3">
        <v>0.70347222222222217</v>
      </c>
      <c r="N884" s="19" t="s">
        <v>2155</v>
      </c>
    </row>
    <row r="885" spans="1:14" ht="273.60000000000002" hidden="1" x14ac:dyDescent="0.3">
      <c r="A885" s="47">
        <f t="shared" si="39"/>
        <v>2023</v>
      </c>
      <c r="B885" s="46">
        <f t="shared" si="40"/>
        <v>22</v>
      </c>
      <c r="C885" s="46">
        <f t="shared" si="41"/>
        <v>22</v>
      </c>
      <c r="E885" s="1" t="s">
        <v>2156</v>
      </c>
      <c r="F885" s="19" t="s">
        <v>2107</v>
      </c>
      <c r="G885" s="1" t="s">
        <v>10</v>
      </c>
      <c r="H885" s="1" t="s">
        <v>661</v>
      </c>
      <c r="I885" s="2">
        <v>45075</v>
      </c>
      <c r="J885" s="3">
        <v>0.62222222222222223</v>
      </c>
      <c r="K885" s="1" t="s">
        <v>73</v>
      </c>
      <c r="L885" s="34">
        <v>45077</v>
      </c>
      <c r="M885" s="28" t="s">
        <v>2166</v>
      </c>
      <c r="N885" s="19" t="s">
        <v>2165</v>
      </c>
    </row>
    <row r="886" spans="1:14" ht="28.8" hidden="1" x14ac:dyDescent="0.3">
      <c r="A886" s="47">
        <f t="shared" si="39"/>
        <v>2023</v>
      </c>
      <c r="B886" s="46">
        <f t="shared" si="40"/>
        <v>21</v>
      </c>
      <c r="C886" s="46">
        <f t="shared" si="41"/>
        <v>22</v>
      </c>
      <c r="E886" s="1" t="s">
        <v>2157</v>
      </c>
      <c r="F886" s="19" t="s">
        <v>2117</v>
      </c>
      <c r="G886" s="1" t="s">
        <v>10</v>
      </c>
      <c r="H886" s="1" t="s">
        <v>661</v>
      </c>
      <c r="I886" s="2">
        <v>45070</v>
      </c>
      <c r="J886" s="3">
        <v>0.69652777777777775</v>
      </c>
      <c r="K886" s="1" t="s">
        <v>73</v>
      </c>
      <c r="L886" s="2">
        <v>45077</v>
      </c>
      <c r="M886" s="3">
        <v>0.33749999999999997</v>
      </c>
      <c r="N886" s="45" t="s">
        <v>2158</v>
      </c>
    </row>
    <row r="887" spans="1:14" ht="28.8" hidden="1" x14ac:dyDescent="0.3">
      <c r="A887" s="47">
        <f t="shared" si="39"/>
        <v>2023</v>
      </c>
      <c r="B887" s="46">
        <f t="shared" si="40"/>
        <v>21</v>
      </c>
      <c r="C887" s="46">
        <f t="shared" si="41"/>
        <v>22</v>
      </c>
      <c r="E887" s="1" t="s">
        <v>2159</v>
      </c>
      <c r="F887" s="19" t="s">
        <v>2160</v>
      </c>
      <c r="G887" s="1" t="s">
        <v>10</v>
      </c>
      <c r="H887" s="1" t="s">
        <v>661</v>
      </c>
      <c r="I887" s="2">
        <v>45070</v>
      </c>
      <c r="J887" s="3">
        <v>0.69861111111111107</v>
      </c>
      <c r="K887" s="1" t="s">
        <v>73</v>
      </c>
      <c r="L887" s="2">
        <v>45077</v>
      </c>
      <c r="M887" s="3">
        <v>0.33958333333333335</v>
      </c>
      <c r="N887" s="19" t="s">
        <v>2161</v>
      </c>
    </row>
    <row r="888" spans="1:14" ht="28.8" hidden="1" x14ac:dyDescent="0.3">
      <c r="A888" s="47">
        <f t="shared" si="39"/>
        <v>2023</v>
      </c>
      <c r="B888" s="46">
        <f t="shared" si="40"/>
        <v>22</v>
      </c>
      <c r="C888" s="46">
        <f t="shared" si="41"/>
        <v>22</v>
      </c>
      <c r="E888" s="1" t="s">
        <v>2162</v>
      </c>
      <c r="F888" s="19" t="s">
        <v>2136</v>
      </c>
      <c r="G888" s="1" t="s">
        <v>10</v>
      </c>
      <c r="H888" s="1" t="s">
        <v>661</v>
      </c>
      <c r="I888" s="2">
        <v>45076</v>
      </c>
      <c r="J888" s="3">
        <v>0.59097222222222223</v>
      </c>
      <c r="K888" s="1" t="s">
        <v>73</v>
      </c>
      <c r="L888" s="2">
        <v>45077</v>
      </c>
      <c r="M888" s="3">
        <v>0.4375</v>
      </c>
      <c r="N888" s="19" t="s">
        <v>2163</v>
      </c>
    </row>
    <row r="889" spans="1:14" ht="115.2" hidden="1" x14ac:dyDescent="0.3">
      <c r="A889" s="47">
        <f t="shared" si="39"/>
        <v>2023</v>
      </c>
      <c r="B889" s="46">
        <f t="shared" si="40"/>
        <v>22</v>
      </c>
      <c r="C889" s="46">
        <f t="shared" si="41"/>
        <v>22</v>
      </c>
      <c r="E889" s="38" t="s">
        <v>2164</v>
      </c>
      <c r="F889" s="19" t="s">
        <v>2136</v>
      </c>
      <c r="G889" s="1" t="s">
        <v>10</v>
      </c>
      <c r="H889" s="1" t="s">
        <v>661</v>
      </c>
      <c r="I889" s="2">
        <v>45076</v>
      </c>
      <c r="J889" s="3">
        <v>0.60069444444444442</v>
      </c>
      <c r="K889" s="1" t="s">
        <v>73</v>
      </c>
      <c r="L889" s="2">
        <v>45077</v>
      </c>
      <c r="M889" s="3">
        <v>0.48958333333333331</v>
      </c>
      <c r="N889" s="19" t="s">
        <v>2167</v>
      </c>
    </row>
    <row r="890" spans="1:14" ht="144" hidden="1" x14ac:dyDescent="0.3">
      <c r="A890" s="47">
        <f t="shared" si="39"/>
        <v>2023</v>
      </c>
      <c r="B890" s="46">
        <f t="shared" si="40"/>
        <v>24</v>
      </c>
      <c r="C890" s="46">
        <f t="shared" si="41"/>
        <v>25</v>
      </c>
      <c r="E890" s="1" t="s">
        <v>2168</v>
      </c>
      <c r="F890" s="19" t="s">
        <v>2169</v>
      </c>
      <c r="G890" s="1" t="s">
        <v>900</v>
      </c>
      <c r="H890" s="1" t="s">
        <v>661</v>
      </c>
      <c r="I890" s="34">
        <v>45090</v>
      </c>
      <c r="J890" s="28" t="s">
        <v>2255</v>
      </c>
      <c r="K890" s="1" t="s">
        <v>73</v>
      </c>
      <c r="L890" s="34">
        <v>45098</v>
      </c>
      <c r="M890" s="28" t="s">
        <v>2256</v>
      </c>
      <c r="N890" s="19" t="s">
        <v>2254</v>
      </c>
    </row>
    <row r="891" spans="1:14" ht="129.6" hidden="1" x14ac:dyDescent="0.3">
      <c r="A891" s="47">
        <f t="shared" si="39"/>
        <v>2023</v>
      </c>
      <c r="B891" s="46">
        <f t="shared" si="40"/>
        <v>24</v>
      </c>
      <c r="C891" s="46">
        <f t="shared" si="41"/>
        <v>25</v>
      </c>
      <c r="E891" s="1" t="s">
        <v>2170</v>
      </c>
      <c r="F891" s="19" t="s">
        <v>2169</v>
      </c>
      <c r="G891" s="1" t="s">
        <v>900</v>
      </c>
      <c r="H891" s="1" t="s">
        <v>661</v>
      </c>
      <c r="I891" s="34">
        <v>45090</v>
      </c>
      <c r="J891" s="28" t="s">
        <v>2259</v>
      </c>
      <c r="K891" s="1" t="s">
        <v>73</v>
      </c>
      <c r="L891" s="34">
        <v>45098</v>
      </c>
      <c r="M891" s="61" t="s">
        <v>2258</v>
      </c>
      <c r="N891" s="19" t="s">
        <v>2257</v>
      </c>
    </row>
    <row r="892" spans="1:14" ht="28.8" hidden="1" x14ac:dyDescent="0.3">
      <c r="A892" s="47">
        <f t="shared" si="39"/>
        <v>2023</v>
      </c>
      <c r="B892" s="46">
        <f t="shared" si="40"/>
        <v>22</v>
      </c>
      <c r="C892" s="46">
        <f t="shared" si="41"/>
        <v>22</v>
      </c>
      <c r="E892" s="1" t="s">
        <v>2171</v>
      </c>
      <c r="F892" s="19" t="s">
        <v>2107</v>
      </c>
      <c r="G892" s="1" t="s">
        <v>10</v>
      </c>
      <c r="H892" s="1" t="s">
        <v>661</v>
      </c>
      <c r="I892" s="2">
        <v>45076</v>
      </c>
      <c r="J892" s="3">
        <v>0.61736111111111114</v>
      </c>
      <c r="K892" s="1" t="s">
        <v>73</v>
      </c>
      <c r="L892" s="2">
        <v>45077</v>
      </c>
      <c r="M892" s="3">
        <v>0.70416666666666661</v>
      </c>
      <c r="N892" s="19" t="s">
        <v>2172</v>
      </c>
    </row>
    <row r="893" spans="1:14" ht="28.8" hidden="1" x14ac:dyDescent="0.3">
      <c r="A893" s="47">
        <f t="shared" si="39"/>
        <v>2023</v>
      </c>
      <c r="B893" s="46">
        <f t="shared" si="40"/>
        <v>22</v>
      </c>
      <c r="C893" s="46">
        <f t="shared" si="41"/>
        <v>22</v>
      </c>
      <c r="E893" s="1" t="s">
        <v>2173</v>
      </c>
      <c r="F893" s="19" t="s">
        <v>2114</v>
      </c>
      <c r="G893" s="1" t="s">
        <v>9</v>
      </c>
      <c r="H893" s="1" t="s">
        <v>661</v>
      </c>
      <c r="I893" s="2">
        <v>45076</v>
      </c>
      <c r="J893" s="3">
        <v>0.61736111111111114</v>
      </c>
      <c r="K893" s="1" t="s">
        <v>73</v>
      </c>
      <c r="L893" s="2">
        <v>45077</v>
      </c>
      <c r="M893" s="3">
        <v>0.71736111111111101</v>
      </c>
      <c r="N893" s="19" t="s">
        <v>2174</v>
      </c>
    </row>
    <row r="894" spans="1:14" ht="129.6" hidden="1" x14ac:dyDescent="0.3">
      <c r="A894" s="47">
        <f t="shared" si="39"/>
        <v>2023</v>
      </c>
      <c r="B894" s="46">
        <f t="shared" si="40"/>
        <v>24</v>
      </c>
      <c r="C894" s="46">
        <f t="shared" si="41"/>
        <v>25</v>
      </c>
      <c r="E894" s="1" t="s">
        <v>2175</v>
      </c>
      <c r="F894" s="19" t="s">
        <v>2176</v>
      </c>
      <c r="G894" s="1" t="s">
        <v>900</v>
      </c>
      <c r="H894" s="1" t="s">
        <v>661</v>
      </c>
      <c r="I894" s="34">
        <v>45090</v>
      </c>
      <c r="J894" s="28" t="s">
        <v>2252</v>
      </c>
      <c r="K894" s="1" t="s">
        <v>73</v>
      </c>
      <c r="L894" s="34">
        <v>45097</v>
      </c>
      <c r="M894" s="28" t="s">
        <v>2253</v>
      </c>
      <c r="N894" s="19" t="s">
        <v>2250</v>
      </c>
    </row>
    <row r="895" spans="1:14" ht="174.6" hidden="1" customHeight="1" x14ac:dyDescent="0.3">
      <c r="A895" s="47">
        <f t="shared" si="39"/>
        <v>2023</v>
      </c>
      <c r="B895" s="46">
        <f t="shared" si="40"/>
        <v>24</v>
      </c>
      <c r="C895" s="46">
        <f t="shared" si="41"/>
        <v>25</v>
      </c>
      <c r="E895" s="1" t="s">
        <v>2177</v>
      </c>
      <c r="F895" s="19" t="s">
        <v>2176</v>
      </c>
      <c r="G895" s="1" t="s">
        <v>900</v>
      </c>
      <c r="H895" s="1" t="s">
        <v>661</v>
      </c>
      <c r="I895" s="34">
        <v>45090</v>
      </c>
      <c r="J895" s="28" t="s">
        <v>2251</v>
      </c>
      <c r="K895" s="1" t="s">
        <v>73</v>
      </c>
      <c r="L895" s="34">
        <v>45097</v>
      </c>
      <c r="M895" s="28" t="s">
        <v>2249</v>
      </c>
      <c r="N895" s="19" t="s">
        <v>2248</v>
      </c>
    </row>
    <row r="896" spans="1:14" ht="158.4" hidden="1" x14ac:dyDescent="0.3">
      <c r="A896" s="47">
        <f t="shared" si="39"/>
        <v>2023</v>
      </c>
      <c r="B896" s="46">
        <f t="shared" si="40"/>
        <v>24</v>
      </c>
      <c r="C896" s="46">
        <f t="shared" si="41"/>
        <v>25</v>
      </c>
      <c r="E896" s="1" t="s">
        <v>2178</v>
      </c>
      <c r="F896" s="19" t="s">
        <v>2176</v>
      </c>
      <c r="G896" s="1" t="s">
        <v>900</v>
      </c>
      <c r="H896" s="1" t="s">
        <v>661</v>
      </c>
      <c r="I896" s="34">
        <v>45090</v>
      </c>
      <c r="J896" s="28" t="s">
        <v>2245</v>
      </c>
      <c r="K896" s="1" t="s">
        <v>73</v>
      </c>
      <c r="L896" s="34">
        <v>45097</v>
      </c>
      <c r="M896" s="28" t="s">
        <v>2247</v>
      </c>
      <c r="N896" s="19" t="s">
        <v>2246</v>
      </c>
    </row>
    <row r="897" spans="1:14" ht="43.2" hidden="1" x14ac:dyDescent="0.3">
      <c r="A897" s="47">
        <f t="shared" si="39"/>
        <v>2023</v>
      </c>
      <c r="B897" s="46">
        <f t="shared" si="40"/>
        <v>22</v>
      </c>
      <c r="C897" s="46">
        <f t="shared" si="41"/>
        <v>22</v>
      </c>
      <c r="E897" s="1" t="s">
        <v>2179</v>
      </c>
      <c r="F897" s="19" t="s">
        <v>2146</v>
      </c>
      <c r="G897" s="1" t="s">
        <v>10</v>
      </c>
      <c r="H897" s="1" t="s">
        <v>661</v>
      </c>
      <c r="I897" s="2">
        <v>45078</v>
      </c>
      <c r="J897" s="3">
        <v>0.35416666666666669</v>
      </c>
      <c r="K897" s="1" t="s">
        <v>73</v>
      </c>
      <c r="L897" s="2">
        <v>45078</v>
      </c>
      <c r="M897" s="3">
        <v>0.7104166666666667</v>
      </c>
      <c r="N897" s="19" t="s">
        <v>2180</v>
      </c>
    </row>
    <row r="898" spans="1:14" ht="43.2" hidden="1" x14ac:dyDescent="0.3">
      <c r="A898" s="47">
        <f t="shared" si="39"/>
        <v>2023</v>
      </c>
      <c r="B898" s="46">
        <f t="shared" si="40"/>
        <v>22</v>
      </c>
      <c r="C898" s="46">
        <f t="shared" si="41"/>
        <v>22</v>
      </c>
      <c r="E898" s="1" t="s">
        <v>2181</v>
      </c>
      <c r="F898" s="19" t="s">
        <v>2146</v>
      </c>
      <c r="G898" s="1" t="s">
        <v>10</v>
      </c>
      <c r="H898" s="1" t="s">
        <v>661</v>
      </c>
      <c r="I898" s="2">
        <v>45078</v>
      </c>
      <c r="J898" s="3">
        <v>0.35694444444444445</v>
      </c>
      <c r="K898" s="1" t="s">
        <v>73</v>
      </c>
      <c r="L898" s="2">
        <v>45078</v>
      </c>
      <c r="M898" s="3">
        <v>0.71736111111111101</v>
      </c>
      <c r="N898" s="19" t="s">
        <v>2182</v>
      </c>
    </row>
    <row r="899" spans="1:14" ht="43.2" hidden="1" x14ac:dyDescent="0.3">
      <c r="A899" s="47">
        <f t="shared" ref="A899:A962" si="42">YEAR(L899)</f>
        <v>2023</v>
      </c>
      <c r="B899" s="46">
        <f t="shared" ref="B899:B962" si="43">WEEKNUM(I899)</f>
        <v>22</v>
      </c>
      <c r="C899" s="46">
        <f t="shared" ref="C899:C962" si="44">WEEKNUM(L899)</f>
        <v>22</v>
      </c>
      <c r="E899" s="1" t="s">
        <v>2183</v>
      </c>
      <c r="F899" s="19" t="s">
        <v>2146</v>
      </c>
      <c r="G899" s="1" t="s">
        <v>10</v>
      </c>
      <c r="H899" s="1" t="s">
        <v>661</v>
      </c>
      <c r="I899" s="2">
        <v>45078</v>
      </c>
      <c r="J899" s="3">
        <v>0.35972222222222222</v>
      </c>
      <c r="K899" s="1" t="s">
        <v>73</v>
      </c>
      <c r="L899" s="2">
        <v>45078</v>
      </c>
      <c r="M899" s="3">
        <v>0.72361111111111109</v>
      </c>
      <c r="N899" s="19" t="s">
        <v>2184</v>
      </c>
    </row>
    <row r="900" spans="1:14" ht="129.6" hidden="1" x14ac:dyDescent="0.3">
      <c r="A900" s="47">
        <f t="shared" si="42"/>
        <v>2023</v>
      </c>
      <c r="B900" s="46">
        <f t="shared" si="43"/>
        <v>24</v>
      </c>
      <c r="C900" s="46">
        <f t="shared" si="44"/>
        <v>25</v>
      </c>
      <c r="E900" s="1" t="s">
        <v>2185</v>
      </c>
      <c r="F900" s="19" t="s">
        <v>2186</v>
      </c>
      <c r="G900" s="1" t="s">
        <v>900</v>
      </c>
      <c r="H900" s="1" t="s">
        <v>661</v>
      </c>
      <c r="I900" s="34">
        <v>45090</v>
      </c>
      <c r="J900" s="28" t="s">
        <v>2240</v>
      </c>
      <c r="K900" s="1" t="s">
        <v>73</v>
      </c>
      <c r="L900" s="34">
        <v>45097</v>
      </c>
      <c r="M900" s="28" t="s">
        <v>2241</v>
      </c>
      <c r="N900" s="19" t="s">
        <v>2239</v>
      </c>
    </row>
    <row r="901" spans="1:14" ht="129.6" hidden="1" x14ac:dyDescent="0.3">
      <c r="A901" s="47">
        <f t="shared" si="42"/>
        <v>2023</v>
      </c>
      <c r="B901" s="46">
        <f t="shared" si="43"/>
        <v>24</v>
      </c>
      <c r="C901" s="46">
        <f t="shared" si="44"/>
        <v>25</v>
      </c>
      <c r="E901" s="1" t="s">
        <v>2187</v>
      </c>
      <c r="F901" s="19" t="s">
        <v>2186</v>
      </c>
      <c r="G901" s="1" t="s">
        <v>900</v>
      </c>
      <c r="H901" s="1" t="s">
        <v>661</v>
      </c>
      <c r="I901" s="34">
        <v>45090</v>
      </c>
      <c r="J901" s="28" t="s">
        <v>2243</v>
      </c>
      <c r="K901" s="1" t="s">
        <v>73</v>
      </c>
      <c r="L901" s="34">
        <v>45097</v>
      </c>
      <c r="M901" s="28" t="s">
        <v>2244</v>
      </c>
      <c r="N901" s="19" t="s">
        <v>2242</v>
      </c>
    </row>
    <row r="902" spans="1:14" ht="28.8" hidden="1" x14ac:dyDescent="0.3">
      <c r="A902" s="47">
        <f t="shared" si="42"/>
        <v>2023</v>
      </c>
      <c r="B902" s="46">
        <f t="shared" si="43"/>
        <v>22</v>
      </c>
      <c r="C902" s="46">
        <f t="shared" si="44"/>
        <v>22</v>
      </c>
      <c r="E902" s="1" t="s">
        <v>2188</v>
      </c>
      <c r="F902" s="19" t="s">
        <v>2107</v>
      </c>
      <c r="G902" s="1" t="s">
        <v>10</v>
      </c>
      <c r="H902" s="1" t="s">
        <v>661</v>
      </c>
      <c r="I902" s="2">
        <v>45078</v>
      </c>
      <c r="J902" s="3">
        <v>0.38194444444444442</v>
      </c>
      <c r="K902" s="1" t="s">
        <v>73</v>
      </c>
      <c r="L902" s="2">
        <v>45078</v>
      </c>
      <c r="M902" s="3">
        <v>0.73333333333333339</v>
      </c>
      <c r="N902" s="19" t="s">
        <v>2189</v>
      </c>
    </row>
    <row r="903" spans="1:14" ht="28.8" hidden="1" x14ac:dyDescent="0.3">
      <c r="A903" s="47">
        <f t="shared" si="42"/>
        <v>2023</v>
      </c>
      <c r="B903" s="46">
        <f t="shared" si="43"/>
        <v>22</v>
      </c>
      <c r="C903" s="46">
        <f t="shared" si="44"/>
        <v>22</v>
      </c>
      <c r="E903" s="1" t="s">
        <v>2190</v>
      </c>
      <c r="F903" s="19" t="s">
        <v>2191</v>
      </c>
      <c r="G903" s="1" t="s">
        <v>10</v>
      </c>
      <c r="H903" s="1" t="s">
        <v>661</v>
      </c>
      <c r="I903" s="2">
        <v>45079</v>
      </c>
      <c r="J903" s="3">
        <v>0.37916666666666665</v>
      </c>
      <c r="K903" s="1" t="s">
        <v>73</v>
      </c>
      <c r="L903" s="2">
        <v>45079</v>
      </c>
      <c r="M903" s="3">
        <v>0.44722222222222219</v>
      </c>
      <c r="N903" s="19" t="s">
        <v>2192</v>
      </c>
    </row>
    <row r="904" spans="1:14" ht="86.4" hidden="1" x14ac:dyDescent="0.3">
      <c r="A904" s="47">
        <f t="shared" si="42"/>
        <v>2023</v>
      </c>
      <c r="B904" s="46">
        <f t="shared" si="43"/>
        <v>22</v>
      </c>
      <c r="C904" s="46">
        <f t="shared" si="44"/>
        <v>22</v>
      </c>
      <c r="E904" s="1" t="s">
        <v>2193</v>
      </c>
      <c r="F904" s="19" t="s">
        <v>2194</v>
      </c>
      <c r="G904" s="1" t="s">
        <v>10</v>
      </c>
      <c r="H904" s="1" t="s">
        <v>661</v>
      </c>
      <c r="I904" s="2">
        <v>45079</v>
      </c>
      <c r="J904" s="3">
        <v>0.39652777777777781</v>
      </c>
      <c r="K904" s="1" t="s">
        <v>73</v>
      </c>
      <c r="L904" s="2">
        <v>45079</v>
      </c>
      <c r="M904" s="3">
        <v>0.49583333333333335</v>
      </c>
      <c r="N904" s="19" t="s">
        <v>2195</v>
      </c>
    </row>
    <row r="905" spans="1:14" ht="72" hidden="1" x14ac:dyDescent="0.3">
      <c r="A905" s="47">
        <f t="shared" si="42"/>
        <v>2023</v>
      </c>
      <c r="B905" s="46">
        <f t="shared" si="43"/>
        <v>23</v>
      </c>
      <c r="C905" s="46">
        <f t="shared" si="44"/>
        <v>23</v>
      </c>
      <c r="E905" s="1" t="s">
        <v>2196</v>
      </c>
      <c r="F905" s="19" t="s">
        <v>2160</v>
      </c>
      <c r="G905" s="1" t="s">
        <v>10</v>
      </c>
      <c r="H905" s="1" t="s">
        <v>661</v>
      </c>
      <c r="I905" s="2">
        <v>45083</v>
      </c>
      <c r="J905" s="3">
        <v>0.46319444444444446</v>
      </c>
      <c r="K905" s="1" t="s">
        <v>73</v>
      </c>
      <c r="L905" s="2">
        <v>45085</v>
      </c>
      <c r="M905" s="3">
        <v>0.96666666666666667</v>
      </c>
      <c r="N905" s="19" t="s">
        <v>2197</v>
      </c>
    </row>
    <row r="906" spans="1:14" ht="43.2" hidden="1" x14ac:dyDescent="0.3">
      <c r="A906" s="47">
        <f t="shared" si="42"/>
        <v>2023</v>
      </c>
      <c r="B906" s="46">
        <f t="shared" si="43"/>
        <v>23</v>
      </c>
      <c r="C906" s="46">
        <f t="shared" si="44"/>
        <v>23</v>
      </c>
      <c r="E906" s="1" t="s">
        <v>2198</v>
      </c>
      <c r="F906" s="19" t="s">
        <v>2199</v>
      </c>
      <c r="G906" s="1" t="s">
        <v>10</v>
      </c>
      <c r="H906" s="1" t="s">
        <v>661</v>
      </c>
      <c r="I906" s="2">
        <v>45083</v>
      </c>
      <c r="J906" s="3">
        <v>0.4777777777777778</v>
      </c>
      <c r="K906" s="1" t="s">
        <v>73</v>
      </c>
      <c r="L906" s="2">
        <v>45085</v>
      </c>
      <c r="M906" s="3">
        <v>0.97013888888888899</v>
      </c>
      <c r="N906" s="19" t="s">
        <v>2200</v>
      </c>
    </row>
    <row r="907" spans="1:14" ht="100.8" hidden="1" x14ac:dyDescent="0.3">
      <c r="A907" s="47">
        <f t="shared" si="42"/>
        <v>2023</v>
      </c>
      <c r="B907" s="46">
        <f t="shared" si="43"/>
        <v>23</v>
      </c>
      <c r="C907" s="46">
        <f t="shared" si="44"/>
        <v>23</v>
      </c>
      <c r="E907" s="1" t="s">
        <v>2201</v>
      </c>
      <c r="F907" s="19" t="s">
        <v>2160</v>
      </c>
      <c r="G907" s="1" t="s">
        <v>10</v>
      </c>
      <c r="H907" s="1" t="s">
        <v>661</v>
      </c>
      <c r="I907" s="2">
        <v>45083</v>
      </c>
      <c r="J907" s="3">
        <v>0.48749999999999999</v>
      </c>
      <c r="K907" s="1" t="s">
        <v>73</v>
      </c>
      <c r="L907" s="2">
        <v>45085</v>
      </c>
      <c r="M907" s="3">
        <v>0.98611111111111116</v>
      </c>
      <c r="N907" s="19" t="s">
        <v>2202</v>
      </c>
    </row>
    <row r="908" spans="1:14" ht="86.4" hidden="1" x14ac:dyDescent="0.3">
      <c r="A908" s="47">
        <f t="shared" si="42"/>
        <v>2023</v>
      </c>
      <c r="B908" s="46">
        <f t="shared" si="43"/>
        <v>23</v>
      </c>
      <c r="C908" s="46">
        <f t="shared" si="44"/>
        <v>23</v>
      </c>
      <c r="E908" s="1" t="s">
        <v>2203</v>
      </c>
      <c r="F908" s="19" t="s">
        <v>2117</v>
      </c>
      <c r="G908" s="1" t="s">
        <v>10</v>
      </c>
      <c r="H908" s="1" t="s">
        <v>661</v>
      </c>
      <c r="I908" s="2">
        <v>45083</v>
      </c>
      <c r="J908" s="3">
        <v>0.49791666666666662</v>
      </c>
      <c r="K908" s="1" t="s">
        <v>73</v>
      </c>
      <c r="L908" s="2">
        <v>45085</v>
      </c>
      <c r="M908" s="1" t="s">
        <v>2205</v>
      </c>
      <c r="N908" s="19" t="s">
        <v>2204</v>
      </c>
    </row>
    <row r="909" spans="1:14" ht="72" hidden="1" x14ac:dyDescent="0.3">
      <c r="A909" s="47">
        <f t="shared" si="42"/>
        <v>2023</v>
      </c>
      <c r="B909" s="46">
        <f t="shared" si="43"/>
        <v>23</v>
      </c>
      <c r="C909" s="46">
        <f t="shared" si="44"/>
        <v>24</v>
      </c>
      <c r="E909" s="1" t="s">
        <v>2206</v>
      </c>
      <c r="F909" s="19" t="s">
        <v>2117</v>
      </c>
      <c r="G909" s="1" t="s">
        <v>10</v>
      </c>
      <c r="H909" s="1" t="s">
        <v>661</v>
      </c>
      <c r="I909" s="2">
        <v>45083</v>
      </c>
      <c r="J909" s="3">
        <v>0.50069444444444444</v>
      </c>
      <c r="K909" s="1" t="s">
        <v>73</v>
      </c>
      <c r="L909" s="2">
        <v>45091</v>
      </c>
      <c r="M909" s="3">
        <v>0.49305555555555558</v>
      </c>
      <c r="N909" s="19" t="s">
        <v>2207</v>
      </c>
    </row>
    <row r="910" spans="1:14" ht="243" hidden="1" customHeight="1" x14ac:dyDescent="0.3">
      <c r="A910" s="47">
        <f t="shared" si="42"/>
        <v>2023</v>
      </c>
      <c r="B910" s="46">
        <f t="shared" si="43"/>
        <v>23</v>
      </c>
      <c r="C910" s="46">
        <f t="shared" si="44"/>
        <v>24</v>
      </c>
      <c r="E910" s="1" t="s">
        <v>2208</v>
      </c>
      <c r="F910" s="19" t="s">
        <v>2117</v>
      </c>
      <c r="G910" s="1" t="s">
        <v>10</v>
      </c>
      <c r="H910" s="1" t="s">
        <v>661</v>
      </c>
      <c r="I910" s="2">
        <v>45083</v>
      </c>
      <c r="J910" s="3">
        <v>0.50555555555555554</v>
      </c>
      <c r="K910" s="1" t="s">
        <v>73</v>
      </c>
      <c r="L910" s="2">
        <v>45092</v>
      </c>
      <c r="M910" s="28" t="s">
        <v>2215</v>
      </c>
      <c r="N910" s="19" t="s">
        <v>2216</v>
      </c>
    </row>
    <row r="911" spans="1:14" ht="72" hidden="1" x14ac:dyDescent="0.3">
      <c r="A911" s="47">
        <f t="shared" si="42"/>
        <v>2023</v>
      </c>
      <c r="B911" s="46">
        <f t="shared" si="43"/>
        <v>23</v>
      </c>
      <c r="C911" s="46">
        <f t="shared" si="44"/>
        <v>24</v>
      </c>
      <c r="E911" s="1" t="s">
        <v>2209</v>
      </c>
      <c r="F911" s="19" t="s">
        <v>2210</v>
      </c>
      <c r="G911" s="1" t="s">
        <v>900</v>
      </c>
      <c r="H911" s="1" t="s">
        <v>661</v>
      </c>
      <c r="I911" s="2">
        <v>45084</v>
      </c>
      <c r="J911" s="3">
        <v>0.72152777777777777</v>
      </c>
      <c r="K911" s="1" t="s">
        <v>73</v>
      </c>
      <c r="L911" s="2">
        <v>45092</v>
      </c>
      <c r="M911" s="3">
        <v>0.66319444444444442</v>
      </c>
      <c r="N911" s="19" t="s">
        <v>2211</v>
      </c>
    </row>
    <row r="912" spans="1:14" ht="100.8" hidden="1" x14ac:dyDescent="0.3">
      <c r="A912" s="47">
        <f t="shared" si="42"/>
        <v>2023</v>
      </c>
      <c r="B912" s="46">
        <f t="shared" si="43"/>
        <v>23</v>
      </c>
      <c r="C912" s="46">
        <f t="shared" si="44"/>
        <v>24</v>
      </c>
      <c r="E912" s="1" t="s">
        <v>2212</v>
      </c>
      <c r="F912" s="19" t="s">
        <v>2117</v>
      </c>
      <c r="G912" s="1" t="s">
        <v>10</v>
      </c>
      <c r="H912" s="1" t="s">
        <v>661</v>
      </c>
      <c r="I912" s="2">
        <v>45083</v>
      </c>
      <c r="J912" s="3">
        <v>0.50902777777777775</v>
      </c>
      <c r="K912" s="1" t="s">
        <v>73</v>
      </c>
      <c r="L912" s="2">
        <v>45092</v>
      </c>
      <c r="M912" s="3">
        <v>0.67569444444444438</v>
      </c>
      <c r="N912" s="19" t="s">
        <v>2213</v>
      </c>
    </row>
    <row r="913" spans="1:14" ht="115.2" hidden="1" x14ac:dyDescent="0.3">
      <c r="A913" s="47">
        <f t="shared" si="42"/>
        <v>2023</v>
      </c>
      <c r="B913" s="46">
        <f t="shared" si="43"/>
        <v>23</v>
      </c>
      <c r="C913" s="46">
        <f t="shared" si="44"/>
        <v>24</v>
      </c>
      <c r="E913" s="1" t="s">
        <v>2214</v>
      </c>
      <c r="F913" s="19" t="s">
        <v>2117</v>
      </c>
      <c r="G913" s="1" t="s">
        <v>10</v>
      </c>
      <c r="H913" s="1" t="s">
        <v>661</v>
      </c>
      <c r="I913" s="2">
        <v>45083</v>
      </c>
      <c r="J913" s="3">
        <v>0.5180555555555556</v>
      </c>
      <c r="K913" s="1" t="s">
        <v>73</v>
      </c>
      <c r="L913" s="2">
        <v>45092</v>
      </c>
      <c r="M913" s="3">
        <v>0.68819444444444444</v>
      </c>
      <c r="N913" s="19" t="s">
        <v>2217</v>
      </c>
    </row>
    <row r="914" spans="1:14" ht="43.2" hidden="1" x14ac:dyDescent="0.3">
      <c r="A914" s="47">
        <f t="shared" si="42"/>
        <v>2023</v>
      </c>
      <c r="B914" s="46">
        <f t="shared" si="43"/>
        <v>23</v>
      </c>
      <c r="C914" s="46">
        <f t="shared" si="44"/>
        <v>24</v>
      </c>
      <c r="E914" s="1" t="s">
        <v>2218</v>
      </c>
      <c r="F914" s="19" t="s">
        <v>2107</v>
      </c>
      <c r="G914" s="1" t="s">
        <v>10</v>
      </c>
      <c r="H914" s="1" t="s">
        <v>661</v>
      </c>
      <c r="I914" s="2">
        <v>45083</v>
      </c>
      <c r="J914" s="3">
        <v>0.5180555555555556</v>
      </c>
      <c r="K914" s="1" t="s">
        <v>73</v>
      </c>
      <c r="L914" s="2">
        <v>45092</v>
      </c>
      <c r="M914" s="3">
        <v>0.72291666666666676</v>
      </c>
      <c r="N914" s="19" t="s">
        <v>2219</v>
      </c>
    </row>
    <row r="915" spans="1:14" ht="57.6" hidden="1" x14ac:dyDescent="0.3">
      <c r="A915" s="47">
        <f t="shared" si="42"/>
        <v>2023</v>
      </c>
      <c r="B915" s="46">
        <f t="shared" si="43"/>
        <v>23</v>
      </c>
      <c r="C915" s="46">
        <f t="shared" si="44"/>
        <v>24</v>
      </c>
      <c r="E915" s="1" t="s">
        <v>2220</v>
      </c>
      <c r="F915" s="19" t="s">
        <v>2221</v>
      </c>
      <c r="G915" s="1" t="s">
        <v>900</v>
      </c>
      <c r="H915" s="1" t="s">
        <v>661</v>
      </c>
      <c r="I915" s="2">
        <v>45084</v>
      </c>
      <c r="J915" s="3">
        <v>0.71458333333333324</v>
      </c>
      <c r="K915" s="1" t="s">
        <v>73</v>
      </c>
      <c r="L915" s="2">
        <v>45093</v>
      </c>
      <c r="M915" s="3">
        <v>0.33402777777777781</v>
      </c>
      <c r="N915" s="19" t="s">
        <v>2222</v>
      </c>
    </row>
    <row r="916" spans="1:14" ht="28.8" hidden="1" x14ac:dyDescent="0.3">
      <c r="A916" s="47">
        <f t="shared" si="42"/>
        <v>2023</v>
      </c>
      <c r="B916" s="46">
        <f t="shared" si="43"/>
        <v>23</v>
      </c>
      <c r="C916" s="46">
        <f t="shared" si="44"/>
        <v>24</v>
      </c>
      <c r="E916" s="1" t="s">
        <v>2223</v>
      </c>
      <c r="F916" s="19" t="s">
        <v>2224</v>
      </c>
      <c r="G916" s="1" t="s">
        <v>10</v>
      </c>
      <c r="H916" s="1" t="s">
        <v>661</v>
      </c>
      <c r="I916" s="2">
        <v>45084</v>
      </c>
      <c r="J916" s="3">
        <v>0.71805555555555556</v>
      </c>
      <c r="K916" s="1" t="s">
        <v>73</v>
      </c>
      <c r="L916" s="2">
        <v>45093</v>
      </c>
      <c r="M916" s="3">
        <v>0.55555555555555558</v>
      </c>
      <c r="N916" s="19" t="s">
        <v>2225</v>
      </c>
    </row>
    <row r="917" spans="1:14" ht="172.8" hidden="1" x14ac:dyDescent="0.3">
      <c r="A917" s="47">
        <f t="shared" si="42"/>
        <v>2023</v>
      </c>
      <c r="B917" s="46">
        <f t="shared" si="43"/>
        <v>24</v>
      </c>
      <c r="C917" s="46">
        <f t="shared" si="44"/>
        <v>24</v>
      </c>
      <c r="E917" s="1" t="s">
        <v>2226</v>
      </c>
      <c r="F917" s="19" t="s">
        <v>2227</v>
      </c>
      <c r="G917" s="1" t="s">
        <v>9</v>
      </c>
      <c r="H917" s="1" t="s">
        <v>661</v>
      </c>
      <c r="I917" s="2">
        <v>45089</v>
      </c>
      <c r="J917" s="3">
        <v>0.3520833333333333</v>
      </c>
      <c r="K917" s="1" t="s">
        <v>73</v>
      </c>
      <c r="L917" s="2">
        <v>45093</v>
      </c>
      <c r="M917" s="3">
        <v>0.72013888888888899</v>
      </c>
      <c r="N917" s="19" t="s">
        <v>2228</v>
      </c>
    </row>
    <row r="918" spans="1:14" ht="43.2" hidden="1" x14ac:dyDescent="0.3">
      <c r="A918" s="47">
        <f t="shared" si="42"/>
        <v>2023</v>
      </c>
      <c r="B918" s="46">
        <f t="shared" si="43"/>
        <v>24</v>
      </c>
      <c r="C918" s="46">
        <f t="shared" si="44"/>
        <v>25</v>
      </c>
      <c r="E918" s="1" t="s">
        <v>2229</v>
      </c>
      <c r="F918" s="19" t="s">
        <v>2230</v>
      </c>
      <c r="G918" s="1" t="s">
        <v>10</v>
      </c>
      <c r="H918" s="1" t="s">
        <v>661</v>
      </c>
      <c r="I918" s="2">
        <v>45089</v>
      </c>
      <c r="J918" s="3">
        <v>0.36180555555555555</v>
      </c>
      <c r="K918" s="1" t="s">
        <v>73</v>
      </c>
      <c r="L918" s="2">
        <v>45097</v>
      </c>
      <c r="M918" s="3">
        <v>0.3298611111111111</v>
      </c>
      <c r="N918" s="19" t="s">
        <v>2231</v>
      </c>
    </row>
    <row r="919" spans="1:14" ht="43.2" hidden="1" x14ac:dyDescent="0.3">
      <c r="A919" s="47">
        <f t="shared" si="42"/>
        <v>2023</v>
      </c>
      <c r="B919" s="46">
        <f t="shared" si="43"/>
        <v>24</v>
      </c>
      <c r="C919" s="46">
        <f t="shared" si="44"/>
        <v>25</v>
      </c>
      <c r="E919" s="1" t="s">
        <v>2232</v>
      </c>
      <c r="F919" s="19" t="s">
        <v>2107</v>
      </c>
      <c r="G919" s="1" t="s">
        <v>10</v>
      </c>
      <c r="H919" s="1" t="s">
        <v>661</v>
      </c>
      <c r="I919" s="2">
        <v>45090</v>
      </c>
      <c r="J919" s="3">
        <v>0.3520833333333333</v>
      </c>
      <c r="K919" s="1" t="s">
        <v>73</v>
      </c>
      <c r="L919" s="2">
        <v>45097</v>
      </c>
      <c r="M919" s="3">
        <v>0.47500000000000003</v>
      </c>
      <c r="N919" s="19" t="s">
        <v>2233</v>
      </c>
    </row>
    <row r="920" spans="1:14" ht="72" hidden="1" x14ac:dyDescent="0.3">
      <c r="A920" s="47">
        <f t="shared" si="42"/>
        <v>2023</v>
      </c>
      <c r="B920" s="46">
        <f t="shared" si="43"/>
        <v>22</v>
      </c>
      <c r="C920" s="46">
        <f t="shared" si="44"/>
        <v>25</v>
      </c>
      <c r="E920" s="1" t="s">
        <v>2234</v>
      </c>
      <c r="F920" s="19" t="s">
        <v>2235</v>
      </c>
      <c r="G920" s="1" t="s">
        <v>10</v>
      </c>
      <c r="H920" s="1" t="s">
        <v>661</v>
      </c>
      <c r="I920" s="2">
        <v>45079</v>
      </c>
      <c r="J920" s="3">
        <v>0.39999999999999997</v>
      </c>
      <c r="K920" s="1" t="s">
        <v>73</v>
      </c>
      <c r="L920" s="2">
        <v>45097</v>
      </c>
      <c r="M920" s="3">
        <v>0.50763888888888886</v>
      </c>
      <c r="N920" s="19" t="s">
        <v>2236</v>
      </c>
    </row>
    <row r="921" spans="1:14" ht="57.6" hidden="1" x14ac:dyDescent="0.3">
      <c r="A921" s="47">
        <f t="shared" si="42"/>
        <v>2023</v>
      </c>
      <c r="B921" s="46">
        <f t="shared" si="43"/>
        <v>24</v>
      </c>
      <c r="C921" s="46">
        <f t="shared" si="44"/>
        <v>25</v>
      </c>
      <c r="E921" s="1" t="s">
        <v>2237</v>
      </c>
      <c r="F921" s="19" t="s">
        <v>2107</v>
      </c>
      <c r="G921" s="1" t="s">
        <v>10</v>
      </c>
      <c r="H921" s="1" t="s">
        <v>661</v>
      </c>
      <c r="I921" s="2">
        <v>45090</v>
      </c>
      <c r="J921" s="3">
        <v>0.39999999999999997</v>
      </c>
      <c r="K921" s="1" t="s">
        <v>73</v>
      </c>
      <c r="L921" s="2">
        <v>45097</v>
      </c>
      <c r="M921" s="3">
        <v>0.54027777777777775</v>
      </c>
      <c r="N921" s="19" t="s">
        <v>2238</v>
      </c>
    </row>
    <row r="922" spans="1:14" ht="57.6" hidden="1" x14ac:dyDescent="0.3">
      <c r="A922" s="47">
        <f t="shared" si="42"/>
        <v>2023</v>
      </c>
      <c r="B922" s="46">
        <f t="shared" si="43"/>
        <v>24</v>
      </c>
      <c r="C922" s="46">
        <f t="shared" si="44"/>
        <v>25</v>
      </c>
      <c r="E922" s="1" t="s">
        <v>2260</v>
      </c>
      <c r="F922" s="19" t="s">
        <v>2107</v>
      </c>
      <c r="G922" s="1" t="s">
        <v>10</v>
      </c>
      <c r="H922" s="1" t="s">
        <v>661</v>
      </c>
      <c r="I922" s="2">
        <v>45091</v>
      </c>
      <c r="J922" s="3">
        <v>0.34166666666666662</v>
      </c>
      <c r="K922" s="1" t="s">
        <v>73</v>
      </c>
      <c r="L922" s="2">
        <v>45098</v>
      </c>
      <c r="M922" s="3">
        <v>0.45347222222222222</v>
      </c>
      <c r="N922" s="19" t="s">
        <v>2261</v>
      </c>
    </row>
    <row r="923" spans="1:14" ht="216" hidden="1" x14ac:dyDescent="0.3">
      <c r="A923" s="47">
        <f t="shared" si="42"/>
        <v>2023</v>
      </c>
      <c r="B923" s="46">
        <f t="shared" si="43"/>
        <v>25</v>
      </c>
      <c r="C923" s="46">
        <f t="shared" si="44"/>
        <v>25</v>
      </c>
      <c r="E923" s="1" t="s">
        <v>2262</v>
      </c>
      <c r="F923" s="19" t="s">
        <v>2263</v>
      </c>
      <c r="G923" s="1" t="s">
        <v>900</v>
      </c>
      <c r="H923" s="1" t="s">
        <v>661</v>
      </c>
      <c r="I923" s="34">
        <v>45096</v>
      </c>
      <c r="J923" s="28" t="s">
        <v>2274</v>
      </c>
      <c r="K923" s="1" t="s">
        <v>73</v>
      </c>
      <c r="L923" s="34">
        <v>45098</v>
      </c>
      <c r="M923" s="3">
        <v>0.47013888888888888</v>
      </c>
      <c r="N923" s="19" t="s">
        <v>2273</v>
      </c>
    </row>
    <row r="924" spans="1:14" ht="28.8" hidden="1" x14ac:dyDescent="0.3">
      <c r="A924" s="47">
        <f t="shared" si="42"/>
        <v>2023</v>
      </c>
      <c r="B924" s="46">
        <f t="shared" si="43"/>
        <v>24</v>
      </c>
      <c r="C924" s="46">
        <f t="shared" si="44"/>
        <v>25</v>
      </c>
      <c r="E924" s="1" t="s">
        <v>2264</v>
      </c>
      <c r="F924" s="19" t="s">
        <v>2265</v>
      </c>
      <c r="G924" s="1" t="s">
        <v>10</v>
      </c>
      <c r="H924" s="1" t="s">
        <v>661</v>
      </c>
      <c r="I924" s="2">
        <v>45092</v>
      </c>
      <c r="J924" s="3">
        <v>0.56388888888888888</v>
      </c>
      <c r="K924" s="1" t="s">
        <v>73</v>
      </c>
      <c r="L924" s="2">
        <v>45099</v>
      </c>
      <c r="M924" s="3">
        <v>0.39861111111111108</v>
      </c>
      <c r="N924" s="19" t="s">
        <v>2266</v>
      </c>
    </row>
    <row r="925" spans="1:14" ht="43.2" hidden="1" x14ac:dyDescent="0.3">
      <c r="A925" s="47">
        <f t="shared" si="42"/>
        <v>2023</v>
      </c>
      <c r="B925" s="46">
        <f t="shared" si="43"/>
        <v>24</v>
      </c>
      <c r="C925" s="46">
        <f t="shared" si="44"/>
        <v>25</v>
      </c>
      <c r="E925" s="1" t="s">
        <v>2267</v>
      </c>
      <c r="F925" s="19" t="s">
        <v>2230</v>
      </c>
      <c r="G925" s="1" t="s">
        <v>10</v>
      </c>
      <c r="H925" s="1" t="s">
        <v>661</v>
      </c>
      <c r="I925" s="2">
        <v>45092</v>
      </c>
      <c r="J925" s="3">
        <v>0.57361111111111118</v>
      </c>
      <c r="K925" s="1" t="s">
        <v>73</v>
      </c>
      <c r="L925" s="2">
        <v>45099</v>
      </c>
      <c r="M925" s="3">
        <v>0.71805555555555556</v>
      </c>
      <c r="N925" s="19" t="s">
        <v>2231</v>
      </c>
    </row>
    <row r="926" spans="1:14" ht="28.8" hidden="1" x14ac:dyDescent="0.3">
      <c r="A926" s="47">
        <f t="shared" si="42"/>
        <v>2023</v>
      </c>
      <c r="B926" s="46">
        <f t="shared" si="43"/>
        <v>24</v>
      </c>
      <c r="C926" s="46">
        <f t="shared" si="44"/>
        <v>25</v>
      </c>
      <c r="E926" s="1" t="s">
        <v>2268</v>
      </c>
      <c r="F926" s="19" t="s">
        <v>2269</v>
      </c>
      <c r="G926" s="1" t="s">
        <v>900</v>
      </c>
      <c r="H926" s="1" t="s">
        <v>661</v>
      </c>
      <c r="I926" s="2">
        <v>45092</v>
      </c>
      <c r="J926" s="3">
        <v>0.57708333333333328</v>
      </c>
      <c r="K926" s="1" t="s">
        <v>73</v>
      </c>
      <c r="L926" s="2">
        <v>45100</v>
      </c>
      <c r="N926" s="19" t="s">
        <v>2270</v>
      </c>
    </row>
    <row r="927" spans="1:14" ht="100.8" hidden="1" x14ac:dyDescent="0.3">
      <c r="A927" s="47">
        <f t="shared" si="42"/>
        <v>2023</v>
      </c>
      <c r="B927" s="46">
        <f t="shared" si="43"/>
        <v>24</v>
      </c>
      <c r="C927" s="46">
        <f t="shared" si="44"/>
        <v>25</v>
      </c>
      <c r="E927" s="1" t="s">
        <v>2271</v>
      </c>
      <c r="F927" s="19" t="s">
        <v>2263</v>
      </c>
      <c r="G927" s="1" t="s">
        <v>900</v>
      </c>
      <c r="H927" s="1" t="s">
        <v>661</v>
      </c>
      <c r="I927" s="2">
        <v>45092</v>
      </c>
      <c r="J927" s="3">
        <v>0.57986111111111105</v>
      </c>
      <c r="K927" s="1" t="s">
        <v>73</v>
      </c>
      <c r="L927" s="2">
        <v>45100</v>
      </c>
      <c r="M927" s="3">
        <v>0.36736111111111108</v>
      </c>
      <c r="N927" s="19" t="s">
        <v>2272</v>
      </c>
    </row>
    <row r="928" spans="1:14" ht="28.8" hidden="1" x14ac:dyDescent="0.3">
      <c r="A928" s="47">
        <f t="shared" si="42"/>
        <v>2023</v>
      </c>
      <c r="B928" s="46">
        <f t="shared" si="43"/>
        <v>25</v>
      </c>
      <c r="C928" s="46">
        <f t="shared" si="44"/>
        <v>26</v>
      </c>
      <c r="E928" s="1" t="s">
        <v>2275</v>
      </c>
      <c r="F928" s="19" t="s">
        <v>2107</v>
      </c>
      <c r="G928" s="1" t="s">
        <v>10</v>
      </c>
      <c r="H928" s="1" t="s">
        <v>661</v>
      </c>
      <c r="I928" s="2">
        <v>45097</v>
      </c>
      <c r="J928" s="3">
        <v>0.34930555555555554</v>
      </c>
      <c r="K928" s="1" t="s">
        <v>73</v>
      </c>
      <c r="L928" s="2">
        <v>45104</v>
      </c>
      <c r="M928" s="3">
        <v>0.48749999999999999</v>
      </c>
      <c r="N928" s="19" t="s">
        <v>2276</v>
      </c>
    </row>
    <row r="929" spans="1:14" ht="57" hidden="1" customHeight="1" x14ac:dyDescent="0.3">
      <c r="A929" s="47">
        <f t="shared" si="42"/>
        <v>2023</v>
      </c>
      <c r="B929" s="46">
        <f t="shared" si="43"/>
        <v>25</v>
      </c>
      <c r="C929" s="46">
        <f t="shared" si="44"/>
        <v>26</v>
      </c>
      <c r="E929" s="1" t="s">
        <v>2277</v>
      </c>
      <c r="F929" s="19" t="s">
        <v>1971</v>
      </c>
      <c r="G929" s="1" t="s">
        <v>900</v>
      </c>
      <c r="H929" s="1" t="s">
        <v>661</v>
      </c>
      <c r="I929" s="2">
        <v>45097</v>
      </c>
      <c r="J929" s="3">
        <v>0.35833333333333334</v>
      </c>
      <c r="K929" s="1" t="s">
        <v>73</v>
      </c>
      <c r="L929" s="2">
        <v>45104</v>
      </c>
      <c r="M929" s="3">
        <v>0.49305555555555558</v>
      </c>
      <c r="N929" s="19" t="s">
        <v>2278</v>
      </c>
    </row>
    <row r="930" spans="1:14" ht="86.4" hidden="1" x14ac:dyDescent="0.3">
      <c r="A930" s="47">
        <f t="shared" si="42"/>
        <v>2023</v>
      </c>
      <c r="B930" s="46">
        <f t="shared" si="43"/>
        <v>25</v>
      </c>
      <c r="C930" s="46">
        <f t="shared" si="44"/>
        <v>26</v>
      </c>
      <c r="E930" s="1" t="s">
        <v>2279</v>
      </c>
      <c r="F930" s="19" t="s">
        <v>2269</v>
      </c>
      <c r="G930" s="1" t="s">
        <v>900</v>
      </c>
      <c r="H930" s="1" t="s">
        <v>661</v>
      </c>
      <c r="I930" s="2">
        <v>45097</v>
      </c>
      <c r="J930" s="3">
        <v>0.36388888888888887</v>
      </c>
      <c r="K930" s="1" t="s">
        <v>73</v>
      </c>
      <c r="L930" s="2">
        <v>45104</v>
      </c>
      <c r="M930" s="3">
        <v>0.54166666666666663</v>
      </c>
      <c r="N930" s="19" t="s">
        <v>2280</v>
      </c>
    </row>
    <row r="931" spans="1:14" ht="43.2" hidden="1" x14ac:dyDescent="0.3">
      <c r="A931" s="47">
        <f t="shared" si="42"/>
        <v>2023</v>
      </c>
      <c r="B931" s="46">
        <f t="shared" si="43"/>
        <v>25</v>
      </c>
      <c r="C931" s="46">
        <f t="shared" si="44"/>
        <v>26</v>
      </c>
      <c r="E931" s="1" t="s">
        <v>2281</v>
      </c>
      <c r="F931" s="19" t="s">
        <v>2136</v>
      </c>
      <c r="G931" s="1" t="s">
        <v>10</v>
      </c>
      <c r="H931" s="1" t="s">
        <v>661</v>
      </c>
      <c r="I931" s="2">
        <v>45097</v>
      </c>
      <c r="J931" s="3">
        <v>0.36874999999999997</v>
      </c>
      <c r="K931" s="1" t="s">
        <v>73</v>
      </c>
      <c r="L931" s="2">
        <v>45104</v>
      </c>
      <c r="M931" s="3">
        <v>0.54583333333333328</v>
      </c>
      <c r="N931" s="19" t="s">
        <v>2282</v>
      </c>
    </row>
    <row r="932" spans="1:14" ht="28.8" hidden="1" x14ac:dyDescent="0.3">
      <c r="A932" s="47">
        <f t="shared" si="42"/>
        <v>2023</v>
      </c>
      <c r="B932" s="46">
        <f t="shared" si="43"/>
        <v>25</v>
      </c>
      <c r="C932" s="46">
        <f t="shared" si="44"/>
        <v>26</v>
      </c>
      <c r="E932" s="1" t="s">
        <v>2283</v>
      </c>
      <c r="F932" s="19" t="s">
        <v>2107</v>
      </c>
      <c r="G932" s="1" t="s">
        <v>10</v>
      </c>
      <c r="H932" s="1" t="s">
        <v>661</v>
      </c>
      <c r="I932" s="2">
        <v>45097</v>
      </c>
      <c r="J932" s="3">
        <v>0.37708333333333338</v>
      </c>
      <c r="K932" s="1" t="s">
        <v>73</v>
      </c>
      <c r="L932" s="2">
        <v>45104</v>
      </c>
      <c r="M932" s="3">
        <v>0.5493055555555556</v>
      </c>
      <c r="N932" s="19" t="s">
        <v>2284</v>
      </c>
    </row>
    <row r="933" spans="1:14" ht="205.35" hidden="1" customHeight="1" x14ac:dyDescent="0.3">
      <c r="A933" s="47">
        <f t="shared" si="42"/>
        <v>2023</v>
      </c>
      <c r="B933" s="46">
        <f t="shared" si="43"/>
        <v>25</v>
      </c>
      <c r="C933" s="46">
        <f t="shared" si="44"/>
        <v>26</v>
      </c>
      <c r="E933" s="1" t="s">
        <v>2285</v>
      </c>
      <c r="F933" s="19" t="s">
        <v>2047</v>
      </c>
      <c r="G933" s="1" t="s">
        <v>900</v>
      </c>
      <c r="H933" s="1" t="s">
        <v>661</v>
      </c>
      <c r="I933" s="2">
        <v>45097</v>
      </c>
      <c r="J933" s="3">
        <v>0.39861111111111108</v>
      </c>
      <c r="K933" s="1" t="s">
        <v>73</v>
      </c>
      <c r="L933" s="2">
        <v>45104</v>
      </c>
      <c r="M933" s="3">
        <v>0.62777777777777777</v>
      </c>
      <c r="N933" s="19" t="s">
        <v>2286</v>
      </c>
    </row>
    <row r="934" spans="1:14" ht="28.8" hidden="1" x14ac:dyDescent="0.3">
      <c r="A934" s="47">
        <f t="shared" si="42"/>
        <v>2023</v>
      </c>
      <c r="B934" s="46">
        <f t="shared" si="43"/>
        <v>25</v>
      </c>
      <c r="C934" s="46">
        <f t="shared" si="44"/>
        <v>26</v>
      </c>
      <c r="E934" s="1" t="s">
        <v>2287</v>
      </c>
      <c r="F934" s="19" t="s">
        <v>2107</v>
      </c>
      <c r="G934" s="1" t="s">
        <v>10</v>
      </c>
      <c r="H934" s="1" t="s">
        <v>661</v>
      </c>
      <c r="I934" s="2">
        <v>45097</v>
      </c>
      <c r="J934" s="3">
        <v>0.37986111111111115</v>
      </c>
      <c r="K934" s="1" t="s">
        <v>73</v>
      </c>
      <c r="L934" s="2">
        <v>45104</v>
      </c>
      <c r="M934" s="3">
        <v>0.65555555555555556</v>
      </c>
      <c r="N934" s="19" t="s">
        <v>2288</v>
      </c>
    </row>
    <row r="935" spans="1:14" ht="86.4" hidden="1" x14ac:dyDescent="0.3">
      <c r="A935" s="47">
        <f t="shared" si="42"/>
        <v>2023</v>
      </c>
      <c r="B935" s="46">
        <f t="shared" si="43"/>
        <v>25</v>
      </c>
      <c r="C935" s="46">
        <f t="shared" si="44"/>
        <v>26</v>
      </c>
      <c r="E935" s="1" t="s">
        <v>2289</v>
      </c>
      <c r="F935" s="19" t="s">
        <v>2290</v>
      </c>
      <c r="G935" s="1" t="s">
        <v>900</v>
      </c>
      <c r="H935" s="1" t="s">
        <v>661</v>
      </c>
      <c r="I935" s="2">
        <v>45097</v>
      </c>
      <c r="J935" s="3">
        <v>0.3923611111111111</v>
      </c>
      <c r="K935" s="1" t="s">
        <v>73</v>
      </c>
      <c r="L935" s="2">
        <v>45104</v>
      </c>
      <c r="M935" s="3">
        <v>0.7006944444444444</v>
      </c>
      <c r="N935" s="19" t="s">
        <v>2291</v>
      </c>
    </row>
    <row r="936" spans="1:14" ht="115.2" hidden="1" x14ac:dyDescent="0.3">
      <c r="A936" s="47">
        <f t="shared" si="42"/>
        <v>2023</v>
      </c>
      <c r="B936" s="46">
        <f t="shared" si="43"/>
        <v>25</v>
      </c>
      <c r="C936" s="46">
        <f t="shared" si="44"/>
        <v>26</v>
      </c>
      <c r="E936" s="1" t="s">
        <v>2292</v>
      </c>
      <c r="F936" s="19" t="s">
        <v>2230</v>
      </c>
      <c r="G936" s="1" t="s">
        <v>10</v>
      </c>
      <c r="H936" s="1" t="s">
        <v>661</v>
      </c>
      <c r="I936" s="2">
        <v>45097</v>
      </c>
      <c r="J936" s="3">
        <v>0.40208333333333335</v>
      </c>
      <c r="K936" s="1" t="s">
        <v>73</v>
      </c>
      <c r="L936" s="2">
        <v>45104</v>
      </c>
      <c r="M936" s="3">
        <v>0.70694444444444438</v>
      </c>
      <c r="N936" s="19" t="s">
        <v>2293</v>
      </c>
    </row>
    <row r="937" spans="1:14" ht="86.4" hidden="1" x14ac:dyDescent="0.3">
      <c r="A937" s="47">
        <f t="shared" si="42"/>
        <v>2023</v>
      </c>
      <c r="B937" s="46">
        <f t="shared" si="43"/>
        <v>25</v>
      </c>
      <c r="C937" s="46">
        <f t="shared" si="44"/>
        <v>26</v>
      </c>
      <c r="E937" s="1" t="s">
        <v>2294</v>
      </c>
      <c r="F937" s="19" t="s">
        <v>2295</v>
      </c>
      <c r="G937" s="1" t="s">
        <v>900</v>
      </c>
      <c r="H937" s="1" t="s">
        <v>661</v>
      </c>
      <c r="I937" s="2">
        <v>45097</v>
      </c>
      <c r="J937" s="3">
        <v>0.68541666666666667</v>
      </c>
      <c r="K937" s="1" t="s">
        <v>73</v>
      </c>
      <c r="L937" s="2">
        <v>45105</v>
      </c>
      <c r="M937" s="3">
        <v>0.4368055555555555</v>
      </c>
      <c r="N937" s="19" t="s">
        <v>2296</v>
      </c>
    </row>
    <row r="938" spans="1:14" ht="28.8" hidden="1" x14ac:dyDescent="0.3">
      <c r="A938" s="47">
        <f t="shared" si="42"/>
        <v>2023</v>
      </c>
      <c r="B938" s="46">
        <f t="shared" si="43"/>
        <v>25</v>
      </c>
      <c r="C938" s="46">
        <f t="shared" si="44"/>
        <v>26</v>
      </c>
      <c r="E938" s="1" t="s">
        <v>2297</v>
      </c>
      <c r="F938" s="19" t="s">
        <v>2107</v>
      </c>
      <c r="G938" s="1" t="s">
        <v>10</v>
      </c>
      <c r="H938" s="1" t="s">
        <v>661</v>
      </c>
      <c r="I938" s="2">
        <v>45097</v>
      </c>
      <c r="J938" s="3">
        <v>0.68958333333333333</v>
      </c>
      <c r="K938" s="1" t="s">
        <v>73</v>
      </c>
      <c r="L938" s="2">
        <v>45105</v>
      </c>
      <c r="M938" s="3">
        <v>0.44722222222222219</v>
      </c>
      <c r="N938" s="19" t="s">
        <v>2298</v>
      </c>
    </row>
    <row r="939" spans="1:14" ht="43.2" hidden="1" x14ac:dyDescent="0.3">
      <c r="A939" s="47">
        <f t="shared" si="42"/>
        <v>2023</v>
      </c>
      <c r="B939" s="46">
        <f t="shared" si="43"/>
        <v>25</v>
      </c>
      <c r="C939" s="46">
        <f t="shared" si="44"/>
        <v>26</v>
      </c>
      <c r="E939" s="1" t="s">
        <v>2299</v>
      </c>
      <c r="F939" s="19" t="s">
        <v>2107</v>
      </c>
      <c r="G939" s="1" t="s">
        <v>10</v>
      </c>
      <c r="H939" s="1" t="s">
        <v>661</v>
      </c>
      <c r="I939" s="2">
        <v>45097</v>
      </c>
      <c r="J939" s="3">
        <v>0.69166666666666676</v>
      </c>
      <c r="K939" s="1" t="s">
        <v>73</v>
      </c>
      <c r="L939" s="2">
        <v>45105</v>
      </c>
      <c r="M939" s="3">
        <v>0.45208333333333334</v>
      </c>
      <c r="N939" s="19" t="s">
        <v>2300</v>
      </c>
    </row>
    <row r="940" spans="1:14" ht="57.6" hidden="1" customHeight="1" x14ac:dyDescent="0.3">
      <c r="A940" s="47">
        <f t="shared" si="42"/>
        <v>2023</v>
      </c>
      <c r="B940" s="46">
        <f t="shared" si="43"/>
        <v>25</v>
      </c>
      <c r="C940" s="46">
        <f t="shared" si="44"/>
        <v>26</v>
      </c>
      <c r="E940" s="1" t="s">
        <v>2301</v>
      </c>
      <c r="F940" s="19" t="s">
        <v>2107</v>
      </c>
      <c r="G940" s="1" t="s">
        <v>10</v>
      </c>
      <c r="H940" s="1" t="s">
        <v>661</v>
      </c>
      <c r="I940" s="2">
        <v>45097</v>
      </c>
      <c r="J940" s="3">
        <v>0.69513888888888886</v>
      </c>
      <c r="K940" s="1" t="s">
        <v>73</v>
      </c>
      <c r="L940" s="2">
        <v>45105</v>
      </c>
      <c r="M940" s="3">
        <v>0.4548611111111111</v>
      </c>
      <c r="N940" s="19" t="s">
        <v>2302</v>
      </c>
    </row>
    <row r="941" spans="1:14" ht="98.1" hidden="1" customHeight="1" x14ac:dyDescent="0.3">
      <c r="A941" s="47">
        <f t="shared" si="42"/>
        <v>2023</v>
      </c>
      <c r="B941" s="46">
        <f t="shared" si="43"/>
        <v>25</v>
      </c>
      <c r="C941" s="46">
        <f t="shared" si="44"/>
        <v>26</v>
      </c>
      <c r="E941" s="1" t="s">
        <v>2303</v>
      </c>
      <c r="F941" s="19" t="s">
        <v>2304</v>
      </c>
      <c r="G941" s="1" t="s">
        <v>900</v>
      </c>
      <c r="H941" s="1" t="s">
        <v>661</v>
      </c>
      <c r="I941" s="2">
        <v>45097</v>
      </c>
      <c r="J941" s="3">
        <v>0.70208333333333339</v>
      </c>
      <c r="K941" s="1" t="s">
        <v>73</v>
      </c>
      <c r="L941" s="2">
        <v>45105</v>
      </c>
      <c r="M941" s="3">
        <v>0.45833333333333331</v>
      </c>
      <c r="N941" s="19" t="s">
        <v>2305</v>
      </c>
    </row>
    <row r="942" spans="1:14" ht="72" hidden="1" x14ac:dyDescent="0.3">
      <c r="A942" s="47">
        <f t="shared" si="42"/>
        <v>2023</v>
      </c>
      <c r="B942" s="46">
        <f t="shared" si="43"/>
        <v>26</v>
      </c>
      <c r="C942" s="46">
        <f t="shared" si="44"/>
        <v>26</v>
      </c>
      <c r="E942" s="1" t="s">
        <v>2306</v>
      </c>
      <c r="F942" s="19" t="s">
        <v>2307</v>
      </c>
      <c r="G942" s="1" t="s">
        <v>10</v>
      </c>
      <c r="H942" s="1" t="s">
        <v>661</v>
      </c>
      <c r="I942" s="2">
        <v>45104</v>
      </c>
      <c r="J942" s="3">
        <v>0.69236111111111109</v>
      </c>
      <c r="K942" s="1" t="s">
        <v>73</v>
      </c>
      <c r="L942" s="2">
        <v>45106</v>
      </c>
      <c r="M942" s="28" t="s">
        <v>2308</v>
      </c>
      <c r="N942" s="19" t="s">
        <v>2309</v>
      </c>
    </row>
    <row r="943" spans="1:14" ht="43.2" hidden="1" x14ac:dyDescent="0.3">
      <c r="A943" s="47">
        <f t="shared" si="42"/>
        <v>2023</v>
      </c>
      <c r="B943" s="46">
        <f t="shared" si="43"/>
        <v>26</v>
      </c>
      <c r="C943" s="46">
        <f t="shared" si="44"/>
        <v>26</v>
      </c>
      <c r="E943" s="1" t="s">
        <v>2310</v>
      </c>
      <c r="F943" s="19" t="s">
        <v>2307</v>
      </c>
      <c r="G943" s="1" t="s">
        <v>10</v>
      </c>
      <c r="H943" s="1" t="s">
        <v>661</v>
      </c>
      <c r="I943" s="2">
        <v>45104</v>
      </c>
      <c r="J943" s="3">
        <v>0.69236111111111109</v>
      </c>
      <c r="K943" s="1" t="s">
        <v>73</v>
      </c>
      <c r="L943" s="2">
        <v>45106</v>
      </c>
      <c r="M943" s="3">
        <v>0.3972222222222222</v>
      </c>
      <c r="N943" s="19" t="s">
        <v>2311</v>
      </c>
    </row>
    <row r="944" spans="1:14" ht="57.6" hidden="1" x14ac:dyDescent="0.3">
      <c r="A944" s="47">
        <f t="shared" si="42"/>
        <v>2023</v>
      </c>
      <c r="B944" s="46">
        <f t="shared" si="43"/>
        <v>26</v>
      </c>
      <c r="C944" s="46">
        <f t="shared" si="44"/>
        <v>26</v>
      </c>
      <c r="E944" s="1" t="s">
        <v>2312</v>
      </c>
      <c r="F944" s="19" t="s">
        <v>2313</v>
      </c>
      <c r="G944" s="1" t="s">
        <v>10</v>
      </c>
      <c r="H944" s="1" t="s">
        <v>661</v>
      </c>
      <c r="I944" s="2">
        <v>45105</v>
      </c>
      <c r="J944" s="3">
        <v>0.60069444444444442</v>
      </c>
      <c r="K944" s="1" t="s">
        <v>73</v>
      </c>
      <c r="L944" s="2">
        <v>45106</v>
      </c>
      <c r="M944" s="3">
        <v>0.40763888888888888</v>
      </c>
      <c r="N944" s="19" t="s">
        <v>2314</v>
      </c>
    </row>
    <row r="945" spans="1:14" ht="57.6" hidden="1" x14ac:dyDescent="0.3">
      <c r="A945" s="47">
        <f t="shared" si="42"/>
        <v>2023</v>
      </c>
      <c r="B945" s="46">
        <f t="shared" si="43"/>
        <v>26</v>
      </c>
      <c r="C945" s="46">
        <f t="shared" si="44"/>
        <v>26</v>
      </c>
      <c r="E945" s="1" t="s">
        <v>2315</v>
      </c>
      <c r="F945" s="19" t="s">
        <v>2317</v>
      </c>
      <c r="G945" s="1" t="s">
        <v>900</v>
      </c>
      <c r="H945" s="1" t="s">
        <v>661</v>
      </c>
      <c r="I945" s="2">
        <v>45107</v>
      </c>
      <c r="J945" s="3">
        <v>0.47430555555555554</v>
      </c>
      <c r="K945" s="1" t="s">
        <v>73</v>
      </c>
      <c r="L945" s="2">
        <v>45107</v>
      </c>
      <c r="M945" s="3">
        <v>0.56597222222222221</v>
      </c>
      <c r="N945" s="19" t="s">
        <v>2316</v>
      </c>
    </row>
    <row r="946" spans="1:14" ht="96" hidden="1" customHeight="1" x14ac:dyDescent="0.3">
      <c r="A946" s="47">
        <f t="shared" si="42"/>
        <v>2023</v>
      </c>
      <c r="B946" s="46">
        <f t="shared" si="43"/>
        <v>26</v>
      </c>
      <c r="C946" s="46">
        <f t="shared" si="44"/>
        <v>26</v>
      </c>
      <c r="E946" s="1" t="s">
        <v>2318</v>
      </c>
      <c r="F946" s="19" t="s">
        <v>2319</v>
      </c>
      <c r="G946" s="1" t="s">
        <v>9</v>
      </c>
      <c r="H946" s="1" t="s">
        <v>661</v>
      </c>
      <c r="I946" s="2">
        <v>45107</v>
      </c>
      <c r="J946" s="3">
        <v>0.48125000000000001</v>
      </c>
      <c r="K946" s="1" t="s">
        <v>73</v>
      </c>
      <c r="L946" s="2">
        <v>45107</v>
      </c>
      <c r="M946" s="3">
        <v>0.67013888888888884</v>
      </c>
      <c r="N946" s="19" t="s">
        <v>2448</v>
      </c>
    </row>
    <row r="947" spans="1:14" ht="43.2" hidden="1" x14ac:dyDescent="0.3">
      <c r="A947" s="47">
        <f t="shared" si="42"/>
        <v>2023</v>
      </c>
      <c r="B947" s="46">
        <f t="shared" si="43"/>
        <v>27</v>
      </c>
      <c r="C947" s="46">
        <f t="shared" si="44"/>
        <v>27</v>
      </c>
      <c r="E947" s="1" t="s">
        <v>2320</v>
      </c>
      <c r="F947" s="19" t="s">
        <v>2321</v>
      </c>
      <c r="G947" s="1" t="s">
        <v>10</v>
      </c>
      <c r="H947" s="1" t="s">
        <v>661</v>
      </c>
      <c r="I947" s="2">
        <v>45110</v>
      </c>
      <c r="J947" s="3">
        <v>0.72291666666666676</v>
      </c>
      <c r="K947" s="1" t="s">
        <v>73</v>
      </c>
      <c r="L947" s="2">
        <v>45111</v>
      </c>
      <c r="M947" s="3">
        <v>0.33055555555555555</v>
      </c>
      <c r="N947" s="19" t="s">
        <v>2322</v>
      </c>
    </row>
    <row r="948" spans="1:14" ht="43.2" hidden="1" x14ac:dyDescent="0.3">
      <c r="A948" s="47">
        <f t="shared" si="42"/>
        <v>2023</v>
      </c>
      <c r="B948" s="46">
        <f t="shared" si="43"/>
        <v>27</v>
      </c>
      <c r="C948" s="46">
        <f t="shared" si="44"/>
        <v>27</v>
      </c>
      <c r="E948" s="1" t="s">
        <v>2323</v>
      </c>
      <c r="F948" s="19" t="s">
        <v>2321</v>
      </c>
      <c r="G948" s="1" t="s">
        <v>10</v>
      </c>
      <c r="H948" s="1" t="s">
        <v>661</v>
      </c>
      <c r="I948" s="2">
        <v>45111</v>
      </c>
      <c r="J948" s="3">
        <v>0.52361111111111114</v>
      </c>
      <c r="K948" s="1" t="s">
        <v>73</v>
      </c>
      <c r="L948" s="2">
        <v>45111</v>
      </c>
      <c r="M948" s="3">
        <v>0.64444444444444449</v>
      </c>
      <c r="N948" s="19" t="s">
        <v>2324</v>
      </c>
    </row>
    <row r="949" spans="1:14" ht="277.35000000000002" hidden="1" customHeight="1" x14ac:dyDescent="0.3">
      <c r="A949" s="47">
        <f t="shared" si="42"/>
        <v>2023</v>
      </c>
      <c r="B949" s="46">
        <f t="shared" si="43"/>
        <v>27</v>
      </c>
      <c r="C949" s="46">
        <f t="shared" si="44"/>
        <v>30</v>
      </c>
      <c r="E949" s="1" t="s">
        <v>2325</v>
      </c>
      <c r="F949" s="19" t="s">
        <v>2326</v>
      </c>
      <c r="G949" s="1" t="s">
        <v>900</v>
      </c>
      <c r="H949" s="1" t="s">
        <v>661</v>
      </c>
      <c r="I949" s="2">
        <v>45112</v>
      </c>
      <c r="J949" s="3">
        <v>0.71319444444444446</v>
      </c>
      <c r="K949" s="1" t="s">
        <v>73</v>
      </c>
      <c r="L949" s="34">
        <v>45131</v>
      </c>
      <c r="M949" s="21" t="s">
        <v>2399</v>
      </c>
      <c r="N949" s="19" t="s">
        <v>2398</v>
      </c>
    </row>
    <row r="950" spans="1:14" ht="115.2" hidden="1" x14ac:dyDescent="0.3">
      <c r="A950" s="47">
        <f t="shared" si="42"/>
        <v>2023</v>
      </c>
      <c r="B950" s="46">
        <f t="shared" si="43"/>
        <v>28</v>
      </c>
      <c r="C950" s="46">
        <f t="shared" si="44"/>
        <v>28</v>
      </c>
      <c r="E950" s="1" t="s">
        <v>2329</v>
      </c>
      <c r="F950" s="19" t="s">
        <v>2330</v>
      </c>
      <c r="G950" s="1" t="s">
        <v>900</v>
      </c>
      <c r="H950" s="1" t="s">
        <v>1249</v>
      </c>
      <c r="I950" s="2">
        <v>45117</v>
      </c>
      <c r="J950" s="3">
        <v>0.39583333333333331</v>
      </c>
      <c r="K950" s="1" t="s">
        <v>73</v>
      </c>
      <c r="L950" s="2">
        <v>45118</v>
      </c>
      <c r="M950" s="3">
        <v>0.33611111111111108</v>
      </c>
      <c r="N950" s="19" t="s">
        <v>2331</v>
      </c>
    </row>
    <row r="951" spans="1:14" ht="43.2" hidden="1" x14ac:dyDescent="0.3">
      <c r="A951" s="47">
        <f t="shared" si="42"/>
        <v>2023</v>
      </c>
      <c r="B951" s="46">
        <f t="shared" si="43"/>
        <v>28</v>
      </c>
      <c r="C951" s="46">
        <f t="shared" si="44"/>
        <v>28</v>
      </c>
      <c r="E951" s="1" t="s">
        <v>2332</v>
      </c>
      <c r="F951" s="19" t="s">
        <v>2333</v>
      </c>
      <c r="G951" s="1" t="s">
        <v>900</v>
      </c>
      <c r="H951" s="1" t="s">
        <v>1249</v>
      </c>
      <c r="I951" s="2">
        <v>45118</v>
      </c>
      <c r="J951" s="3">
        <v>0.4770833333333333</v>
      </c>
      <c r="K951" s="1" t="s">
        <v>73</v>
      </c>
      <c r="L951" s="2">
        <v>45118</v>
      </c>
      <c r="M951" s="3">
        <v>0.3125</v>
      </c>
      <c r="N951" s="19" t="s">
        <v>2334</v>
      </c>
    </row>
    <row r="952" spans="1:14" ht="43.2" hidden="1" x14ac:dyDescent="0.3">
      <c r="A952" s="47">
        <f t="shared" si="42"/>
        <v>2023</v>
      </c>
      <c r="B952" s="46">
        <f t="shared" si="43"/>
        <v>28</v>
      </c>
      <c r="C952" s="46">
        <f t="shared" si="44"/>
        <v>28</v>
      </c>
      <c r="E952" s="1" t="s">
        <v>2335</v>
      </c>
      <c r="F952" s="19" t="s">
        <v>2336</v>
      </c>
      <c r="G952" s="1" t="s">
        <v>900</v>
      </c>
      <c r="H952" s="1" t="s">
        <v>1249</v>
      </c>
      <c r="I952" s="2">
        <v>45118</v>
      </c>
      <c r="J952" s="3">
        <v>0.67291666666666661</v>
      </c>
      <c r="K952" s="1" t="s">
        <v>73</v>
      </c>
      <c r="L952" s="2">
        <v>45119</v>
      </c>
      <c r="M952" s="3">
        <v>0.57291666666666663</v>
      </c>
      <c r="N952" s="19" t="s">
        <v>2337</v>
      </c>
    </row>
    <row r="953" spans="1:14" ht="43.2" hidden="1" x14ac:dyDescent="0.3">
      <c r="A953" s="47">
        <f t="shared" si="42"/>
        <v>2023</v>
      </c>
      <c r="B953" s="46">
        <f t="shared" si="43"/>
        <v>28</v>
      </c>
      <c r="C953" s="46">
        <f t="shared" si="44"/>
        <v>28</v>
      </c>
      <c r="E953" s="1" t="s">
        <v>2338</v>
      </c>
      <c r="F953" s="19" t="s">
        <v>2339</v>
      </c>
      <c r="G953" s="1" t="s">
        <v>900</v>
      </c>
      <c r="H953" s="1" t="s">
        <v>1249</v>
      </c>
      <c r="I953" s="2">
        <v>45118</v>
      </c>
      <c r="J953" s="3">
        <v>0.67708333333333337</v>
      </c>
      <c r="K953" s="1" t="s">
        <v>73</v>
      </c>
      <c r="L953" s="2">
        <v>45119</v>
      </c>
      <c r="M953" s="3">
        <v>0.57361111111111118</v>
      </c>
      <c r="N953" s="19" t="s">
        <v>2340</v>
      </c>
    </row>
    <row r="954" spans="1:14" ht="43.2" hidden="1" x14ac:dyDescent="0.3">
      <c r="A954" s="47">
        <f t="shared" si="42"/>
        <v>2023</v>
      </c>
      <c r="B954" s="46">
        <f t="shared" si="43"/>
        <v>28</v>
      </c>
      <c r="C954" s="46">
        <f t="shared" si="44"/>
        <v>28</v>
      </c>
      <c r="E954" s="1" t="s">
        <v>2341</v>
      </c>
      <c r="F954" s="19" t="s">
        <v>2342</v>
      </c>
      <c r="G954" s="1" t="s">
        <v>900</v>
      </c>
      <c r="H954" s="1" t="s">
        <v>1249</v>
      </c>
      <c r="I954" s="2">
        <v>45118</v>
      </c>
      <c r="J954" s="3">
        <v>0.6791666666666667</v>
      </c>
      <c r="K954" s="1" t="s">
        <v>73</v>
      </c>
      <c r="L954" s="2">
        <v>45119</v>
      </c>
      <c r="M954" s="3">
        <v>0.5756944444444444</v>
      </c>
      <c r="N954" s="19" t="s">
        <v>2343</v>
      </c>
    </row>
    <row r="955" spans="1:14" ht="43.2" hidden="1" x14ac:dyDescent="0.3">
      <c r="A955" s="47">
        <f t="shared" si="42"/>
        <v>2023</v>
      </c>
      <c r="B955" s="46">
        <f t="shared" si="43"/>
        <v>28</v>
      </c>
      <c r="C955" s="46">
        <f t="shared" si="44"/>
        <v>28</v>
      </c>
      <c r="E955" s="1" t="s">
        <v>2344</v>
      </c>
      <c r="F955" s="19" t="s">
        <v>2345</v>
      </c>
      <c r="G955" s="1" t="s">
        <v>900</v>
      </c>
      <c r="H955" s="1" t="s">
        <v>1249</v>
      </c>
      <c r="I955" s="2">
        <v>45118</v>
      </c>
      <c r="J955" s="3">
        <v>0.68125000000000002</v>
      </c>
      <c r="K955" s="1" t="s">
        <v>73</v>
      </c>
      <c r="L955" s="2">
        <v>45119</v>
      </c>
      <c r="M955" s="3">
        <v>0.57708333333333328</v>
      </c>
      <c r="N955" s="19" t="s">
        <v>2346</v>
      </c>
    </row>
    <row r="956" spans="1:14" ht="43.2" hidden="1" x14ac:dyDescent="0.3">
      <c r="A956" s="47">
        <f t="shared" si="42"/>
        <v>2023</v>
      </c>
      <c r="B956" s="46">
        <f t="shared" si="43"/>
        <v>28</v>
      </c>
      <c r="C956" s="46">
        <f t="shared" si="44"/>
        <v>28</v>
      </c>
      <c r="E956" s="1" t="s">
        <v>2347</v>
      </c>
      <c r="F956" s="19" t="s">
        <v>2348</v>
      </c>
      <c r="G956" s="1" t="s">
        <v>900</v>
      </c>
      <c r="H956" s="1" t="s">
        <v>1249</v>
      </c>
      <c r="I956" s="2">
        <v>45118</v>
      </c>
      <c r="J956" s="3">
        <v>0.68333333333333324</v>
      </c>
      <c r="K956" s="1" t="s">
        <v>73</v>
      </c>
      <c r="L956" s="2">
        <v>45119</v>
      </c>
      <c r="M956" s="3">
        <v>0.57916666666666672</v>
      </c>
      <c r="N956" s="19" t="s">
        <v>2349</v>
      </c>
    </row>
    <row r="957" spans="1:14" ht="43.2" hidden="1" x14ac:dyDescent="0.3">
      <c r="A957" s="47">
        <f t="shared" si="42"/>
        <v>2023</v>
      </c>
      <c r="B957" s="46">
        <f t="shared" si="43"/>
        <v>28</v>
      </c>
      <c r="C957" s="46">
        <f t="shared" si="44"/>
        <v>28</v>
      </c>
      <c r="E957" s="1" t="s">
        <v>2350</v>
      </c>
      <c r="F957" s="19" t="s">
        <v>2351</v>
      </c>
      <c r="G957" s="1" t="s">
        <v>900</v>
      </c>
      <c r="H957" s="1" t="s">
        <v>1249</v>
      </c>
      <c r="I957" s="2">
        <v>45118</v>
      </c>
      <c r="J957" s="3">
        <v>0.68680555555555556</v>
      </c>
      <c r="K957" s="1" t="s">
        <v>73</v>
      </c>
      <c r="L957" s="2">
        <v>45119</v>
      </c>
      <c r="M957" s="3">
        <v>0.58124999999999993</v>
      </c>
      <c r="N957" s="19" t="s">
        <v>2352</v>
      </c>
    </row>
    <row r="958" spans="1:14" ht="43.2" hidden="1" x14ac:dyDescent="0.3">
      <c r="A958" s="47">
        <f t="shared" si="42"/>
        <v>2023</v>
      </c>
      <c r="B958" s="46">
        <f t="shared" si="43"/>
        <v>28</v>
      </c>
      <c r="C958" s="46">
        <f t="shared" si="44"/>
        <v>28</v>
      </c>
      <c r="E958" s="1" t="s">
        <v>2353</v>
      </c>
      <c r="F958" s="19" t="s">
        <v>2354</v>
      </c>
      <c r="G958" s="1" t="s">
        <v>900</v>
      </c>
      <c r="H958" s="1" t="s">
        <v>1249</v>
      </c>
      <c r="I958" s="2">
        <v>45118</v>
      </c>
      <c r="J958" s="3">
        <v>0.69027777777777777</v>
      </c>
      <c r="K958" s="1" t="s">
        <v>73</v>
      </c>
      <c r="L958" s="2">
        <v>45119</v>
      </c>
      <c r="M958" s="3">
        <v>0.58472222222222225</v>
      </c>
      <c r="N958" s="19" t="s">
        <v>2355</v>
      </c>
    </row>
    <row r="959" spans="1:14" ht="57.6" hidden="1" x14ac:dyDescent="0.3">
      <c r="A959" s="47">
        <f t="shared" si="42"/>
        <v>2023</v>
      </c>
      <c r="B959" s="46">
        <f t="shared" si="43"/>
        <v>28</v>
      </c>
      <c r="C959" s="46">
        <f t="shared" si="44"/>
        <v>28</v>
      </c>
      <c r="E959" s="1" t="s">
        <v>2356</v>
      </c>
      <c r="F959" s="19" t="s">
        <v>2357</v>
      </c>
      <c r="G959" s="1" t="s">
        <v>900</v>
      </c>
      <c r="H959" s="1" t="s">
        <v>1249</v>
      </c>
      <c r="I959" s="2">
        <v>45119</v>
      </c>
      <c r="J959" s="3">
        <v>0.45555555555555555</v>
      </c>
      <c r="K959" s="1" t="s">
        <v>73</v>
      </c>
      <c r="L959" s="2">
        <v>45119</v>
      </c>
      <c r="M959" s="3">
        <v>0.58611111111111114</v>
      </c>
      <c r="N959" s="19" t="s">
        <v>2358</v>
      </c>
    </row>
    <row r="960" spans="1:14" ht="43.2" hidden="1" x14ac:dyDescent="0.3">
      <c r="A960" s="47">
        <f t="shared" si="42"/>
        <v>2023</v>
      </c>
      <c r="B960" s="46">
        <f t="shared" si="43"/>
        <v>28</v>
      </c>
      <c r="C960" s="46">
        <f t="shared" si="44"/>
        <v>28</v>
      </c>
      <c r="E960" s="1" t="s">
        <v>2359</v>
      </c>
      <c r="F960" s="19" t="s">
        <v>2360</v>
      </c>
      <c r="G960" s="1" t="s">
        <v>900</v>
      </c>
      <c r="H960" s="1" t="s">
        <v>1249</v>
      </c>
      <c r="I960" s="2">
        <v>45119</v>
      </c>
      <c r="J960" s="3">
        <v>0.45694444444444443</v>
      </c>
      <c r="K960" s="1" t="s">
        <v>73</v>
      </c>
      <c r="L960" s="2">
        <v>45119</v>
      </c>
      <c r="M960" s="3">
        <v>0.59097222222222223</v>
      </c>
      <c r="N960" s="19" t="s">
        <v>2361</v>
      </c>
    </row>
    <row r="961" spans="1:14" ht="43.2" hidden="1" x14ac:dyDescent="0.3">
      <c r="A961" s="47">
        <f t="shared" si="42"/>
        <v>2023</v>
      </c>
      <c r="B961" s="46">
        <f t="shared" si="43"/>
        <v>28</v>
      </c>
      <c r="C961" s="46">
        <f t="shared" si="44"/>
        <v>28</v>
      </c>
      <c r="E961" s="1" t="s">
        <v>2363</v>
      </c>
      <c r="F961" s="19" t="s">
        <v>2364</v>
      </c>
      <c r="G961" s="1" t="s">
        <v>900</v>
      </c>
      <c r="H961" s="1" t="s">
        <v>1249</v>
      </c>
      <c r="I961" s="2">
        <v>45119</v>
      </c>
      <c r="J961" s="3">
        <v>0.63888888888888895</v>
      </c>
      <c r="K961" s="1" t="s">
        <v>73</v>
      </c>
      <c r="L961" s="2">
        <v>45120</v>
      </c>
      <c r="M961" s="3">
        <v>0.65902777777777777</v>
      </c>
      <c r="N961" s="19" t="s">
        <v>2365</v>
      </c>
    </row>
    <row r="962" spans="1:14" ht="294.60000000000002" hidden="1" customHeight="1" x14ac:dyDescent="0.3">
      <c r="A962" s="47">
        <f t="shared" si="42"/>
        <v>2023</v>
      </c>
      <c r="B962" s="46">
        <f t="shared" si="43"/>
        <v>34</v>
      </c>
      <c r="C962" s="46">
        <f t="shared" si="44"/>
        <v>34</v>
      </c>
      <c r="E962" s="1" t="s">
        <v>2366</v>
      </c>
      <c r="F962" s="19" t="s">
        <v>2367</v>
      </c>
      <c r="G962" s="1" t="s">
        <v>900</v>
      </c>
      <c r="H962" s="21" t="s">
        <v>2534</v>
      </c>
      <c r="I962" s="34">
        <v>45163</v>
      </c>
      <c r="J962" s="28" t="s">
        <v>2535</v>
      </c>
      <c r="K962" s="1" t="s">
        <v>73</v>
      </c>
      <c r="L962" s="34">
        <v>45163</v>
      </c>
      <c r="M962" s="28" t="s">
        <v>2533</v>
      </c>
      <c r="N962" s="19" t="s">
        <v>2536</v>
      </c>
    </row>
    <row r="963" spans="1:14" ht="42.75" hidden="1" customHeight="1" x14ac:dyDescent="0.3">
      <c r="A963" s="47">
        <f t="shared" ref="A963:A1026" si="45">YEAR(L963)</f>
        <v>2023</v>
      </c>
      <c r="B963" s="46">
        <f t="shared" ref="B963:B1026" si="46">WEEKNUM(I963)</f>
        <v>28</v>
      </c>
      <c r="C963" s="46">
        <f t="shared" ref="C963:C1026" si="47">WEEKNUM(L963)</f>
        <v>29</v>
      </c>
      <c r="E963" s="1" t="s">
        <v>2368</v>
      </c>
      <c r="F963" s="19" t="s">
        <v>2369</v>
      </c>
      <c r="G963" s="1" t="s">
        <v>900</v>
      </c>
      <c r="H963" s="1" t="s">
        <v>1249</v>
      </c>
      <c r="I963" s="2">
        <v>45121</v>
      </c>
      <c r="J963" s="28">
        <v>0.66388888888888886</v>
      </c>
      <c r="K963" s="1" t="s">
        <v>73</v>
      </c>
      <c r="L963" s="2">
        <v>45125</v>
      </c>
      <c r="N963" s="19" t="s">
        <v>2370</v>
      </c>
    </row>
    <row r="964" spans="1:14" ht="43.2" hidden="1" x14ac:dyDescent="0.3">
      <c r="A964" s="47">
        <f t="shared" si="45"/>
        <v>2023</v>
      </c>
      <c r="B964" s="46">
        <f t="shared" si="46"/>
        <v>28</v>
      </c>
      <c r="C964" s="46">
        <f t="shared" si="47"/>
        <v>29</v>
      </c>
      <c r="E964" s="1" t="s">
        <v>2371</v>
      </c>
      <c r="F964" s="19" t="s">
        <v>2372</v>
      </c>
      <c r="G964" s="1" t="s">
        <v>9</v>
      </c>
      <c r="H964" s="1" t="s">
        <v>1249</v>
      </c>
      <c r="I964" s="2">
        <v>45121</v>
      </c>
      <c r="J964" s="3">
        <v>0.47847222222222219</v>
      </c>
      <c r="K964" s="1" t="s">
        <v>88</v>
      </c>
      <c r="L964" s="2">
        <v>45125</v>
      </c>
      <c r="M964" s="3">
        <v>0.28958333333333336</v>
      </c>
      <c r="N964" s="19" t="s">
        <v>2373</v>
      </c>
    </row>
    <row r="965" spans="1:14" ht="57.6" hidden="1" x14ac:dyDescent="0.3">
      <c r="A965" s="47">
        <f t="shared" si="45"/>
        <v>2023</v>
      </c>
      <c r="B965" s="46">
        <f t="shared" si="46"/>
        <v>28</v>
      </c>
      <c r="C965" s="46">
        <f t="shared" si="47"/>
        <v>29</v>
      </c>
      <c r="E965" s="1" t="s">
        <v>2374</v>
      </c>
      <c r="F965" s="19" t="s">
        <v>2375</v>
      </c>
      <c r="G965" s="1" t="s">
        <v>9</v>
      </c>
      <c r="H965" s="1" t="s">
        <v>1249</v>
      </c>
      <c r="I965" s="2">
        <v>45117</v>
      </c>
      <c r="J965" s="3">
        <v>0.71250000000000002</v>
      </c>
      <c r="K965" s="1" t="s">
        <v>88</v>
      </c>
      <c r="L965" s="2">
        <v>45125</v>
      </c>
      <c r="M965" s="3">
        <v>0.31597222222222221</v>
      </c>
      <c r="N965" s="19" t="s">
        <v>2376</v>
      </c>
    </row>
    <row r="966" spans="1:14" ht="72" hidden="1" x14ac:dyDescent="0.3">
      <c r="A966" s="47">
        <f t="shared" si="45"/>
        <v>2023</v>
      </c>
      <c r="B966" s="46">
        <f t="shared" si="46"/>
        <v>28</v>
      </c>
      <c r="C966" s="46">
        <f t="shared" si="47"/>
        <v>29</v>
      </c>
      <c r="E966" s="1" t="s">
        <v>2377</v>
      </c>
      <c r="F966" s="19" t="s">
        <v>2378</v>
      </c>
      <c r="G966" s="1" t="s">
        <v>10</v>
      </c>
      <c r="H966" s="1" t="s">
        <v>1249</v>
      </c>
      <c r="I966" s="2">
        <v>45120</v>
      </c>
      <c r="J966" s="3">
        <v>0.50486111111111109</v>
      </c>
      <c r="K966" s="1" t="s">
        <v>88</v>
      </c>
      <c r="L966" s="2">
        <v>45125</v>
      </c>
      <c r="M966" s="3">
        <v>0.58472222222222225</v>
      </c>
      <c r="N966" s="19" t="s">
        <v>2379</v>
      </c>
    </row>
    <row r="967" spans="1:14" ht="57.6" hidden="1" x14ac:dyDescent="0.3">
      <c r="A967" s="47">
        <f t="shared" si="45"/>
        <v>2023</v>
      </c>
      <c r="B967" s="46">
        <f t="shared" si="46"/>
        <v>28</v>
      </c>
      <c r="C967" s="46">
        <f t="shared" si="47"/>
        <v>29</v>
      </c>
      <c r="E967" s="1" t="s">
        <v>2408</v>
      </c>
      <c r="F967" s="19" t="s">
        <v>2381</v>
      </c>
      <c r="G967" s="1" t="s">
        <v>10</v>
      </c>
      <c r="H967" s="1" t="s">
        <v>1249</v>
      </c>
      <c r="I967" s="2">
        <v>45120</v>
      </c>
      <c r="J967" s="3">
        <v>0.37013888888888885</v>
      </c>
      <c r="K967" s="1" t="s">
        <v>88</v>
      </c>
      <c r="L967" s="2">
        <v>45125</v>
      </c>
      <c r="M967" s="3">
        <v>0.59375</v>
      </c>
      <c r="N967" s="19" t="s">
        <v>2380</v>
      </c>
    </row>
    <row r="968" spans="1:14" ht="57.6" hidden="1" x14ac:dyDescent="0.3">
      <c r="A968" s="47">
        <f t="shared" si="45"/>
        <v>2023</v>
      </c>
      <c r="B968" s="46">
        <f t="shared" si="46"/>
        <v>28</v>
      </c>
      <c r="C968" s="46">
        <f t="shared" si="47"/>
        <v>29</v>
      </c>
      <c r="E968" s="1" t="s">
        <v>2383</v>
      </c>
      <c r="F968" s="19" t="s">
        <v>2382</v>
      </c>
      <c r="G968" s="1" t="s">
        <v>10</v>
      </c>
      <c r="H968" s="1" t="s">
        <v>1249</v>
      </c>
      <c r="I968" s="2">
        <v>45121</v>
      </c>
      <c r="J968" s="3">
        <v>0.40138888888888885</v>
      </c>
      <c r="K968" s="1" t="s">
        <v>88</v>
      </c>
      <c r="L968" s="2">
        <v>45125</v>
      </c>
      <c r="M968" s="3">
        <v>0.62222222222222223</v>
      </c>
      <c r="N968" s="19" t="s">
        <v>2384</v>
      </c>
    </row>
    <row r="969" spans="1:14" ht="129.6" hidden="1" x14ac:dyDescent="0.3">
      <c r="A969" s="47">
        <f t="shared" si="45"/>
        <v>2023</v>
      </c>
      <c r="B969" s="46">
        <f t="shared" si="46"/>
        <v>28</v>
      </c>
      <c r="C969" s="46">
        <f t="shared" si="47"/>
        <v>29</v>
      </c>
      <c r="E969" s="1" t="s">
        <v>2386</v>
      </c>
      <c r="F969" s="19" t="s">
        <v>2387</v>
      </c>
      <c r="G969" s="1" t="s">
        <v>10</v>
      </c>
      <c r="H969" s="1" t="s">
        <v>1249</v>
      </c>
      <c r="I969" s="2">
        <v>45121</v>
      </c>
      <c r="J969" s="3">
        <v>0.4284722222222222</v>
      </c>
      <c r="K969" s="1" t="s">
        <v>88</v>
      </c>
      <c r="L969" s="2">
        <v>45126</v>
      </c>
      <c r="M969" s="3">
        <v>0.49722222222222223</v>
      </c>
      <c r="N969" s="19" t="s">
        <v>2385</v>
      </c>
    </row>
    <row r="970" spans="1:14" ht="72" hidden="1" x14ac:dyDescent="0.3">
      <c r="A970" s="47">
        <f t="shared" si="45"/>
        <v>2023</v>
      </c>
      <c r="B970" s="46">
        <f t="shared" si="46"/>
        <v>28</v>
      </c>
      <c r="C970" s="46">
        <f t="shared" si="47"/>
        <v>29</v>
      </c>
      <c r="E970" s="1" t="s">
        <v>2388</v>
      </c>
      <c r="F970" s="19" t="s">
        <v>2389</v>
      </c>
      <c r="G970" s="1" t="s">
        <v>9</v>
      </c>
      <c r="H970" s="1" t="s">
        <v>1249</v>
      </c>
      <c r="I970" s="2">
        <v>45121</v>
      </c>
      <c r="J970" s="3">
        <v>0.69236111111111109</v>
      </c>
      <c r="K970" s="1" t="s">
        <v>88</v>
      </c>
      <c r="L970" s="2">
        <v>45127</v>
      </c>
      <c r="M970" s="3">
        <v>0.2673611111111111</v>
      </c>
      <c r="N970" s="19" t="s">
        <v>2390</v>
      </c>
    </row>
    <row r="971" spans="1:14" ht="28.8" hidden="1" x14ac:dyDescent="0.3">
      <c r="A971" s="47">
        <f t="shared" si="45"/>
        <v>2023</v>
      </c>
      <c r="B971" s="46">
        <f t="shared" si="46"/>
        <v>29</v>
      </c>
      <c r="C971" s="46">
        <f t="shared" si="47"/>
        <v>29</v>
      </c>
      <c r="E971" s="1" t="s">
        <v>2391</v>
      </c>
      <c r="F971" s="19" t="s">
        <v>118</v>
      </c>
      <c r="G971" s="1" t="s">
        <v>10</v>
      </c>
      <c r="H971" s="1" t="s">
        <v>1249</v>
      </c>
      <c r="I971" s="2">
        <v>45124</v>
      </c>
      <c r="J971" s="3">
        <v>0.33888888888888885</v>
      </c>
      <c r="K971" s="1" t="s">
        <v>88</v>
      </c>
      <c r="L971" s="2">
        <v>45127</v>
      </c>
      <c r="M971" s="3">
        <v>0.28958333333333336</v>
      </c>
      <c r="N971" s="19" t="s">
        <v>2392</v>
      </c>
    </row>
    <row r="972" spans="1:14" ht="57.6" hidden="1" x14ac:dyDescent="0.3">
      <c r="A972" s="47">
        <f t="shared" si="45"/>
        <v>2023</v>
      </c>
      <c r="B972" s="46">
        <f t="shared" si="46"/>
        <v>29</v>
      </c>
      <c r="C972" s="46">
        <f t="shared" si="47"/>
        <v>29</v>
      </c>
      <c r="E972" s="1" t="s">
        <v>2393</v>
      </c>
      <c r="F972" s="19" t="s">
        <v>2394</v>
      </c>
      <c r="G972" s="1" t="s">
        <v>10</v>
      </c>
      <c r="H972" s="1" t="s">
        <v>1249</v>
      </c>
      <c r="I972" s="2">
        <v>45124</v>
      </c>
      <c r="J972" s="3">
        <v>0.63472222222222219</v>
      </c>
      <c r="K972" s="1" t="s">
        <v>88</v>
      </c>
      <c r="L972" s="2">
        <v>45127</v>
      </c>
      <c r="M972" s="3">
        <v>0.42291666666666666</v>
      </c>
      <c r="N972" s="19" t="s">
        <v>2392</v>
      </c>
    </row>
    <row r="973" spans="1:14" ht="57" hidden="1" customHeight="1" x14ac:dyDescent="0.3">
      <c r="A973" s="47">
        <f t="shared" si="45"/>
        <v>2023</v>
      </c>
      <c r="B973" s="46">
        <f t="shared" si="46"/>
        <v>29</v>
      </c>
      <c r="C973" s="46">
        <f t="shared" si="47"/>
        <v>30</v>
      </c>
      <c r="E973" s="1" t="s">
        <v>2395</v>
      </c>
      <c r="F973" s="19" t="s">
        <v>2396</v>
      </c>
      <c r="G973" s="1" t="s">
        <v>900</v>
      </c>
      <c r="H973" s="1" t="s">
        <v>1249</v>
      </c>
      <c r="I973" s="2">
        <v>45128</v>
      </c>
      <c r="J973" s="28">
        <v>0.51388888888888895</v>
      </c>
      <c r="K973" s="1" t="s">
        <v>73</v>
      </c>
      <c r="L973" s="2">
        <v>45131</v>
      </c>
      <c r="M973" s="3">
        <v>0.56041666666666667</v>
      </c>
      <c r="N973" s="19" t="s">
        <v>2397</v>
      </c>
    </row>
    <row r="974" spans="1:14" ht="57.6" hidden="1" x14ac:dyDescent="0.3">
      <c r="A974" s="47">
        <f t="shared" si="45"/>
        <v>2023</v>
      </c>
      <c r="B974" s="46">
        <f t="shared" si="46"/>
        <v>30</v>
      </c>
      <c r="C974" s="46">
        <f t="shared" si="47"/>
        <v>30</v>
      </c>
      <c r="E974" s="1" t="s">
        <v>2400</v>
      </c>
      <c r="F974" s="19" t="s">
        <v>2269</v>
      </c>
      <c r="G974" s="1" t="s">
        <v>900</v>
      </c>
      <c r="H974" s="1" t="s">
        <v>1249</v>
      </c>
      <c r="I974" s="2">
        <v>45131</v>
      </c>
      <c r="J974" s="28">
        <v>0.5625</v>
      </c>
      <c r="K974" s="1" t="s">
        <v>73</v>
      </c>
      <c r="L974" s="2">
        <v>45135</v>
      </c>
      <c r="M974" s="3">
        <v>0.61458333333333337</v>
      </c>
      <c r="N974" s="19" t="s">
        <v>2401</v>
      </c>
    </row>
    <row r="975" spans="1:14" ht="43.2" hidden="1" x14ac:dyDescent="0.3">
      <c r="A975" s="47">
        <f t="shared" si="45"/>
        <v>2023</v>
      </c>
      <c r="B975" s="46">
        <f t="shared" si="46"/>
        <v>30</v>
      </c>
      <c r="C975" s="46">
        <f t="shared" si="47"/>
        <v>30</v>
      </c>
      <c r="E975" s="1" t="s">
        <v>2402</v>
      </c>
      <c r="F975" s="19" t="s">
        <v>2403</v>
      </c>
      <c r="G975" s="1" t="s">
        <v>900</v>
      </c>
      <c r="H975" s="1" t="s">
        <v>1249</v>
      </c>
      <c r="I975" s="2">
        <v>45132</v>
      </c>
      <c r="J975" s="28">
        <v>0.63541666666666663</v>
      </c>
      <c r="K975" s="1" t="s">
        <v>73</v>
      </c>
      <c r="L975" s="2">
        <v>45135</v>
      </c>
      <c r="M975" s="3">
        <v>0.61805555555555558</v>
      </c>
      <c r="N975" s="19" t="s">
        <v>2404</v>
      </c>
    </row>
    <row r="976" spans="1:14" ht="43.2" hidden="1" x14ac:dyDescent="0.3">
      <c r="A976" s="47">
        <f t="shared" si="45"/>
        <v>2023</v>
      </c>
      <c r="B976" s="46">
        <f t="shared" si="46"/>
        <v>30</v>
      </c>
      <c r="C976" s="46">
        <f t="shared" si="47"/>
        <v>30</v>
      </c>
      <c r="E976" s="1" t="s">
        <v>2405</v>
      </c>
      <c r="F976" s="19" t="s">
        <v>2406</v>
      </c>
      <c r="G976" s="1" t="s">
        <v>900</v>
      </c>
      <c r="H976" s="1" t="s">
        <v>1249</v>
      </c>
      <c r="I976" s="2">
        <v>45134</v>
      </c>
      <c r="J976" s="28">
        <v>0.71458333333333324</v>
      </c>
      <c r="K976" s="1" t="s">
        <v>73</v>
      </c>
      <c r="L976" s="2">
        <v>45135</v>
      </c>
      <c r="M976" s="3">
        <v>0.62083333333333335</v>
      </c>
      <c r="N976" s="19" t="s">
        <v>2407</v>
      </c>
    </row>
    <row r="977" spans="1:14" ht="129.6" hidden="1" x14ac:dyDescent="0.3">
      <c r="A977" s="47">
        <f t="shared" si="45"/>
        <v>2023</v>
      </c>
      <c r="B977" s="46">
        <f t="shared" si="46"/>
        <v>28</v>
      </c>
      <c r="C977" s="46">
        <f t="shared" si="47"/>
        <v>30</v>
      </c>
      <c r="E977" s="1" t="s">
        <v>2408</v>
      </c>
      <c r="F977" s="19" t="s">
        <v>2114</v>
      </c>
      <c r="G977" s="1" t="s">
        <v>9</v>
      </c>
      <c r="H977" s="1" t="s">
        <v>1249</v>
      </c>
      <c r="I977" s="2">
        <v>45120</v>
      </c>
      <c r="J977" s="28">
        <v>0.37013888888888885</v>
      </c>
      <c r="K977" s="1" t="s">
        <v>73</v>
      </c>
      <c r="L977" s="2">
        <v>45136</v>
      </c>
      <c r="M977" s="3">
        <v>0.38958333333333334</v>
      </c>
      <c r="N977" s="19" t="s">
        <v>2409</v>
      </c>
    </row>
    <row r="978" spans="1:14" ht="43.2" hidden="1" x14ac:dyDescent="0.3">
      <c r="A978" s="47">
        <f t="shared" si="45"/>
        <v>2023</v>
      </c>
      <c r="B978" s="46">
        <f t="shared" si="46"/>
        <v>28</v>
      </c>
      <c r="C978" s="46">
        <f t="shared" si="47"/>
        <v>30</v>
      </c>
      <c r="E978" s="1" t="s">
        <v>2410</v>
      </c>
      <c r="F978" s="19" t="s">
        <v>2411</v>
      </c>
      <c r="G978" s="1" t="s">
        <v>10</v>
      </c>
      <c r="H978" s="1" t="s">
        <v>1249</v>
      </c>
      <c r="I978" s="2">
        <v>45120</v>
      </c>
      <c r="J978" s="28">
        <v>0.37013888888888885</v>
      </c>
      <c r="K978" s="1" t="s">
        <v>73</v>
      </c>
      <c r="L978" s="2">
        <v>45136</v>
      </c>
      <c r="N978" s="19" t="s">
        <v>2412</v>
      </c>
    </row>
    <row r="979" spans="1:14" ht="57.6" hidden="1" x14ac:dyDescent="0.3">
      <c r="A979" s="47">
        <f t="shared" si="45"/>
        <v>2023</v>
      </c>
      <c r="B979" s="46">
        <f t="shared" si="46"/>
        <v>29</v>
      </c>
      <c r="C979" s="46">
        <f t="shared" si="47"/>
        <v>30</v>
      </c>
      <c r="E979" s="1" t="s">
        <v>2413</v>
      </c>
      <c r="F979" s="19" t="s">
        <v>2414</v>
      </c>
      <c r="G979" s="1" t="s">
        <v>900</v>
      </c>
      <c r="H979" s="1" t="s">
        <v>1249</v>
      </c>
      <c r="I979" s="2">
        <v>45128</v>
      </c>
      <c r="J979" s="28">
        <v>0.52083333333333337</v>
      </c>
      <c r="K979" s="1" t="s">
        <v>73</v>
      </c>
      <c r="L979" s="2">
        <v>45136</v>
      </c>
      <c r="M979" s="3">
        <v>0.49027777777777781</v>
      </c>
      <c r="N979" s="19" t="s">
        <v>2415</v>
      </c>
    </row>
    <row r="980" spans="1:14" ht="43.35" hidden="1" customHeight="1" x14ac:dyDescent="0.3">
      <c r="A980" s="47">
        <f t="shared" si="45"/>
        <v>2023</v>
      </c>
      <c r="B980" s="46">
        <f t="shared" si="46"/>
        <v>30</v>
      </c>
      <c r="C980" s="46">
        <f t="shared" si="47"/>
        <v>30</v>
      </c>
      <c r="E980" s="1" t="s">
        <v>2416</v>
      </c>
      <c r="F980" s="19" t="s">
        <v>2417</v>
      </c>
      <c r="G980" s="1" t="s">
        <v>10</v>
      </c>
      <c r="H980" s="1" t="s">
        <v>1249</v>
      </c>
      <c r="I980" s="34">
        <v>45132</v>
      </c>
      <c r="J980" s="28" t="s">
        <v>2443</v>
      </c>
      <c r="K980" s="1" t="s">
        <v>73</v>
      </c>
      <c r="L980" s="34">
        <v>45136</v>
      </c>
      <c r="M980" s="28" t="s">
        <v>2444</v>
      </c>
      <c r="N980" s="19" t="s">
        <v>2418</v>
      </c>
    </row>
    <row r="981" spans="1:14" ht="43.2" hidden="1" x14ac:dyDescent="0.3">
      <c r="A981" s="47">
        <f t="shared" si="45"/>
        <v>2023</v>
      </c>
      <c r="B981" s="46">
        <f t="shared" si="46"/>
        <v>30</v>
      </c>
      <c r="C981" s="46">
        <f t="shared" si="47"/>
        <v>30</v>
      </c>
      <c r="E981" s="1" t="s">
        <v>2419</v>
      </c>
      <c r="F981" s="19" t="s">
        <v>2420</v>
      </c>
      <c r="G981" s="1" t="s">
        <v>10</v>
      </c>
      <c r="H981" s="1" t="s">
        <v>1249</v>
      </c>
      <c r="I981" s="2">
        <v>45131</v>
      </c>
      <c r="J981" s="28">
        <v>0.38125000000000003</v>
      </c>
      <c r="K981" s="1" t="s">
        <v>73</v>
      </c>
      <c r="L981" s="2">
        <v>45136</v>
      </c>
      <c r="M981" s="3">
        <v>0.52986111111111112</v>
      </c>
      <c r="N981" s="19" t="s">
        <v>2421</v>
      </c>
    </row>
    <row r="982" spans="1:14" ht="43.2" hidden="1" x14ac:dyDescent="0.3">
      <c r="A982" s="47">
        <f t="shared" si="45"/>
        <v>2023</v>
      </c>
      <c r="B982" s="46">
        <f t="shared" si="46"/>
        <v>30</v>
      </c>
      <c r="C982" s="46">
        <f t="shared" si="47"/>
        <v>30</v>
      </c>
      <c r="E982" s="1" t="s">
        <v>2422</v>
      </c>
      <c r="F982" s="19" t="s">
        <v>2423</v>
      </c>
      <c r="G982" s="1" t="s">
        <v>10</v>
      </c>
      <c r="H982" s="1" t="s">
        <v>1249</v>
      </c>
      <c r="I982" s="2">
        <v>45131</v>
      </c>
      <c r="J982" s="28">
        <v>0.38263888888888892</v>
      </c>
      <c r="K982" s="1" t="s">
        <v>73</v>
      </c>
      <c r="L982" s="2">
        <v>45136</v>
      </c>
      <c r="M982" s="1" t="s">
        <v>2425</v>
      </c>
      <c r="N982" s="19" t="s">
        <v>2424</v>
      </c>
    </row>
    <row r="983" spans="1:14" ht="8.5500000000000007" hidden="1" customHeight="1" x14ac:dyDescent="0.3">
      <c r="A983" s="47">
        <f t="shared" si="45"/>
        <v>2023</v>
      </c>
      <c r="B983" s="46">
        <f t="shared" si="46"/>
        <v>30</v>
      </c>
      <c r="C983" s="46">
        <f t="shared" si="47"/>
        <v>30</v>
      </c>
      <c r="E983" s="1" t="s">
        <v>2426</v>
      </c>
      <c r="F983" s="19" t="s">
        <v>2427</v>
      </c>
      <c r="G983" s="1" t="s">
        <v>10</v>
      </c>
      <c r="H983" s="1" t="s">
        <v>1249</v>
      </c>
      <c r="I983" s="2">
        <v>45131</v>
      </c>
      <c r="J983" s="28">
        <v>0.38263888888888892</v>
      </c>
      <c r="K983" s="1" t="s">
        <v>73</v>
      </c>
      <c r="L983" s="2">
        <v>45136</v>
      </c>
      <c r="M983" s="3">
        <v>0.54166666666666663</v>
      </c>
      <c r="N983" s="19" t="s">
        <v>2428</v>
      </c>
    </row>
    <row r="984" spans="1:14" ht="43.2" hidden="1" x14ac:dyDescent="0.3">
      <c r="A984" s="47">
        <f t="shared" si="45"/>
        <v>2023</v>
      </c>
      <c r="B984" s="46">
        <f t="shared" si="46"/>
        <v>30</v>
      </c>
      <c r="C984" s="46">
        <f t="shared" si="47"/>
        <v>30</v>
      </c>
      <c r="E984" s="1" t="s">
        <v>2429</v>
      </c>
      <c r="F984" s="19" t="s">
        <v>2430</v>
      </c>
      <c r="G984" s="1" t="s">
        <v>10</v>
      </c>
      <c r="H984" s="1" t="s">
        <v>1249</v>
      </c>
      <c r="I984" s="2">
        <v>45131</v>
      </c>
      <c r="J984" s="28">
        <v>0.39027777777777778</v>
      </c>
      <c r="K984" s="1" t="s">
        <v>73</v>
      </c>
      <c r="L984" s="2">
        <v>45136</v>
      </c>
      <c r="M984" s="3">
        <v>0.54791666666666672</v>
      </c>
      <c r="N984" s="19" t="s">
        <v>2431</v>
      </c>
    </row>
    <row r="985" spans="1:14" ht="43.2" hidden="1" x14ac:dyDescent="0.3">
      <c r="A985" s="47">
        <f t="shared" si="45"/>
        <v>2023</v>
      </c>
      <c r="B985" s="46">
        <f t="shared" si="46"/>
        <v>30</v>
      </c>
      <c r="C985" s="46">
        <f t="shared" si="47"/>
        <v>30</v>
      </c>
      <c r="E985" s="1" t="s">
        <v>2432</v>
      </c>
      <c r="F985" s="19" t="s">
        <v>2433</v>
      </c>
      <c r="G985" s="1" t="s">
        <v>10</v>
      </c>
      <c r="H985" s="1" t="s">
        <v>1249</v>
      </c>
      <c r="I985" s="2">
        <v>45131</v>
      </c>
      <c r="J985" s="28">
        <v>0.39027777777777778</v>
      </c>
      <c r="K985" s="1" t="s">
        <v>73</v>
      </c>
      <c r="L985" s="2">
        <v>45136</v>
      </c>
      <c r="M985" s="3">
        <v>0.55277777777777781</v>
      </c>
      <c r="N985" s="19" t="s">
        <v>2434</v>
      </c>
    </row>
    <row r="986" spans="1:14" ht="43.2" hidden="1" x14ac:dyDescent="0.3">
      <c r="A986" s="47">
        <f t="shared" si="45"/>
        <v>2023</v>
      </c>
      <c r="B986" s="46">
        <f t="shared" si="46"/>
        <v>30</v>
      </c>
      <c r="C986" s="46">
        <f t="shared" si="47"/>
        <v>30</v>
      </c>
      <c r="E986" s="1" t="s">
        <v>2435</v>
      </c>
      <c r="F986" s="19" t="s">
        <v>2417</v>
      </c>
      <c r="G986" s="1" t="s">
        <v>10</v>
      </c>
      <c r="H986" s="1" t="s">
        <v>1249</v>
      </c>
      <c r="I986" s="2">
        <v>45131</v>
      </c>
      <c r="J986" s="28">
        <v>0.39513888888888887</v>
      </c>
      <c r="K986" s="1" t="s">
        <v>73</v>
      </c>
      <c r="L986" s="2">
        <v>45136</v>
      </c>
      <c r="M986" s="3">
        <v>0.55486111111111114</v>
      </c>
      <c r="N986" s="19" t="s">
        <v>2436</v>
      </c>
    </row>
    <row r="987" spans="1:14" ht="43.2" hidden="1" x14ac:dyDescent="0.3">
      <c r="A987" s="47">
        <f t="shared" si="45"/>
        <v>2023</v>
      </c>
      <c r="B987" s="46">
        <f t="shared" si="46"/>
        <v>30</v>
      </c>
      <c r="C987" s="46">
        <f t="shared" si="47"/>
        <v>30</v>
      </c>
      <c r="E987" s="1" t="s">
        <v>2437</v>
      </c>
      <c r="F987" s="19" t="s">
        <v>2423</v>
      </c>
      <c r="G987" s="1" t="s">
        <v>10</v>
      </c>
      <c r="H987" s="1" t="s">
        <v>1249</v>
      </c>
      <c r="I987" s="2">
        <v>45131</v>
      </c>
      <c r="J987" s="28">
        <v>0.3979166666666667</v>
      </c>
      <c r="K987" s="1" t="s">
        <v>73</v>
      </c>
      <c r="L987" s="2">
        <v>45136</v>
      </c>
      <c r="M987" s="3">
        <v>0.55763888888888891</v>
      </c>
      <c r="N987" s="19" t="s">
        <v>2438</v>
      </c>
    </row>
    <row r="988" spans="1:14" ht="43.2" hidden="1" x14ac:dyDescent="0.3">
      <c r="A988" s="47">
        <f t="shared" si="45"/>
        <v>2023</v>
      </c>
      <c r="B988" s="46">
        <f t="shared" si="46"/>
        <v>30</v>
      </c>
      <c r="C988" s="46">
        <f t="shared" si="47"/>
        <v>30</v>
      </c>
      <c r="E988" s="1" t="s">
        <v>2439</v>
      </c>
      <c r="F988" s="19" t="s">
        <v>2430</v>
      </c>
      <c r="G988" s="1" t="s">
        <v>10</v>
      </c>
      <c r="H988" s="1" t="s">
        <v>1249</v>
      </c>
      <c r="I988" s="2">
        <v>45131</v>
      </c>
      <c r="J988" s="28">
        <v>0.71805555555555556</v>
      </c>
      <c r="K988" s="1" t="s">
        <v>73</v>
      </c>
      <c r="L988" s="2">
        <v>45136</v>
      </c>
      <c r="M988" s="3">
        <v>0.55972222222222223</v>
      </c>
      <c r="N988" s="19" t="s">
        <v>2440</v>
      </c>
    </row>
    <row r="989" spans="1:14" ht="57.6" hidden="1" x14ac:dyDescent="0.3">
      <c r="A989" s="47">
        <f t="shared" si="45"/>
        <v>2023</v>
      </c>
      <c r="B989" s="46">
        <f t="shared" si="46"/>
        <v>30</v>
      </c>
      <c r="C989" s="46">
        <f t="shared" si="47"/>
        <v>30</v>
      </c>
      <c r="E989" s="1" t="s">
        <v>2441</v>
      </c>
      <c r="F989" s="19" t="s">
        <v>2430</v>
      </c>
      <c r="G989" s="1" t="s">
        <v>10</v>
      </c>
      <c r="H989" s="1" t="s">
        <v>1249</v>
      </c>
      <c r="I989" s="2">
        <v>45131</v>
      </c>
      <c r="J989" s="28">
        <v>0.71805555555555556</v>
      </c>
      <c r="K989" s="1" t="s">
        <v>73</v>
      </c>
      <c r="L989" s="2">
        <v>45136</v>
      </c>
      <c r="M989" s="3">
        <v>0.56666666666666665</v>
      </c>
      <c r="N989" s="19" t="s">
        <v>2442</v>
      </c>
    </row>
    <row r="990" spans="1:14" ht="43.2" hidden="1" x14ac:dyDescent="0.3">
      <c r="A990" s="47">
        <f t="shared" si="45"/>
        <v>2023</v>
      </c>
      <c r="B990" s="46">
        <f t="shared" si="46"/>
        <v>30</v>
      </c>
      <c r="C990" s="46">
        <f t="shared" si="47"/>
        <v>30</v>
      </c>
      <c r="E990" s="4" t="s">
        <v>2445</v>
      </c>
      <c r="F990" s="19" t="s">
        <v>2446</v>
      </c>
      <c r="G990" s="1" t="s">
        <v>10</v>
      </c>
      <c r="H990" s="1" t="s">
        <v>1249</v>
      </c>
      <c r="I990" s="2">
        <v>45132</v>
      </c>
      <c r="J990" s="28">
        <v>0.65833333333333333</v>
      </c>
      <c r="K990" s="1" t="s">
        <v>73</v>
      </c>
      <c r="L990" s="2">
        <v>45136</v>
      </c>
      <c r="M990" s="3">
        <v>0.58472222222222225</v>
      </c>
      <c r="N990" s="19" t="s">
        <v>2447</v>
      </c>
    </row>
    <row r="991" spans="1:14" ht="57.6" hidden="1" x14ac:dyDescent="0.3">
      <c r="A991" s="47">
        <f t="shared" si="45"/>
        <v>2023</v>
      </c>
      <c r="B991" s="46">
        <f t="shared" si="46"/>
        <v>30</v>
      </c>
      <c r="C991" s="46">
        <f t="shared" si="47"/>
        <v>30</v>
      </c>
      <c r="E991" s="1" t="s">
        <v>2449</v>
      </c>
      <c r="F991" s="19" t="s">
        <v>2450</v>
      </c>
      <c r="G991" s="1" t="s">
        <v>10</v>
      </c>
      <c r="H991" s="1" t="s">
        <v>1249</v>
      </c>
      <c r="I991" s="2">
        <v>45133</v>
      </c>
      <c r="J991" s="28">
        <v>0.39097222222222222</v>
      </c>
      <c r="K991" s="1" t="s">
        <v>73</v>
      </c>
      <c r="L991" s="2">
        <v>45136</v>
      </c>
      <c r="M991" s="3">
        <v>0.59444444444444444</v>
      </c>
      <c r="N991" s="19" t="s">
        <v>2451</v>
      </c>
    </row>
    <row r="992" spans="1:14" ht="50.1" hidden="1" customHeight="1" x14ac:dyDescent="0.3">
      <c r="A992" s="47">
        <f t="shared" si="45"/>
        <v>2023</v>
      </c>
      <c r="B992" s="46">
        <f t="shared" si="46"/>
        <v>30</v>
      </c>
      <c r="C992" s="46">
        <f t="shared" si="47"/>
        <v>30</v>
      </c>
      <c r="E992" s="1" t="s">
        <v>2452</v>
      </c>
      <c r="F992" s="19" t="s">
        <v>2411</v>
      </c>
      <c r="G992" s="1" t="s">
        <v>10</v>
      </c>
      <c r="H992" s="1" t="s">
        <v>1249</v>
      </c>
      <c r="I992" s="2">
        <v>45133</v>
      </c>
      <c r="J992" s="28">
        <v>0.41111111111111115</v>
      </c>
      <c r="K992" s="1" t="s">
        <v>73</v>
      </c>
      <c r="L992" s="2">
        <v>45136</v>
      </c>
      <c r="M992" s="3">
        <v>0.60833333333333328</v>
      </c>
      <c r="N992" s="19" t="s">
        <v>2453</v>
      </c>
    </row>
    <row r="993" spans="1:14" ht="28.8" hidden="1" x14ac:dyDescent="0.3">
      <c r="A993" s="47">
        <f t="shared" si="45"/>
        <v>2023</v>
      </c>
      <c r="B993" s="46">
        <f t="shared" si="46"/>
        <v>30</v>
      </c>
      <c r="C993" s="46">
        <f t="shared" si="47"/>
        <v>30</v>
      </c>
      <c r="E993" s="1" t="s">
        <v>2454</v>
      </c>
      <c r="F993" s="19" t="s">
        <v>2455</v>
      </c>
      <c r="G993" s="1" t="s">
        <v>10</v>
      </c>
      <c r="H993" s="1" t="s">
        <v>1249</v>
      </c>
      <c r="I993" s="2">
        <v>45134</v>
      </c>
      <c r="J993" s="28">
        <v>0.63888888888888895</v>
      </c>
      <c r="K993" s="1" t="s">
        <v>73</v>
      </c>
      <c r="L993" s="2">
        <v>45136</v>
      </c>
      <c r="M993" s="3">
        <v>0.61249999999999993</v>
      </c>
      <c r="N993" s="19" t="s">
        <v>2456</v>
      </c>
    </row>
    <row r="994" spans="1:14" ht="144" hidden="1" x14ac:dyDescent="0.3">
      <c r="A994" s="47">
        <f t="shared" si="45"/>
        <v>2023</v>
      </c>
      <c r="B994" s="46">
        <f t="shared" si="46"/>
        <v>30</v>
      </c>
      <c r="C994" s="46">
        <f t="shared" si="47"/>
        <v>31</v>
      </c>
      <c r="E994" s="1" t="s">
        <v>2457</v>
      </c>
      <c r="F994" s="19" t="s">
        <v>2458</v>
      </c>
      <c r="G994" s="1" t="s">
        <v>10</v>
      </c>
      <c r="H994" s="1" t="s">
        <v>1249</v>
      </c>
      <c r="I994" s="2">
        <v>45135</v>
      </c>
      <c r="J994" s="28">
        <v>0.3611111111111111</v>
      </c>
      <c r="K994" s="1" t="s">
        <v>73</v>
      </c>
      <c r="L994" s="2">
        <v>45138</v>
      </c>
      <c r="M994" s="3">
        <v>0.46319444444444446</v>
      </c>
      <c r="N994" s="19" t="s">
        <v>2459</v>
      </c>
    </row>
    <row r="995" spans="1:14" ht="72" hidden="1" x14ac:dyDescent="0.3">
      <c r="A995" s="47">
        <f t="shared" si="45"/>
        <v>2023</v>
      </c>
      <c r="B995" s="46">
        <f t="shared" si="46"/>
        <v>30</v>
      </c>
      <c r="C995" s="46">
        <f t="shared" si="47"/>
        <v>31</v>
      </c>
      <c r="E995" s="1" t="s">
        <v>2460</v>
      </c>
      <c r="F995" s="19" t="s">
        <v>2461</v>
      </c>
      <c r="G995" s="1" t="s">
        <v>10</v>
      </c>
      <c r="H995" s="1" t="s">
        <v>1249</v>
      </c>
      <c r="I995" s="2">
        <v>45135</v>
      </c>
      <c r="J995" s="28">
        <v>0.36527777777777781</v>
      </c>
      <c r="K995" s="1" t="s">
        <v>73</v>
      </c>
      <c r="L995" s="2">
        <v>45138</v>
      </c>
      <c r="M995" s="3">
        <v>0.48888888888888887</v>
      </c>
      <c r="N995" s="19" t="s">
        <v>2462</v>
      </c>
    </row>
    <row r="996" spans="1:14" ht="43.2" hidden="1" x14ac:dyDescent="0.3">
      <c r="A996" s="47">
        <f t="shared" si="45"/>
        <v>2023</v>
      </c>
      <c r="B996" s="46">
        <f t="shared" si="46"/>
        <v>30</v>
      </c>
      <c r="C996" s="46">
        <f t="shared" si="47"/>
        <v>31</v>
      </c>
      <c r="E996" s="1" t="s">
        <v>2463</v>
      </c>
      <c r="F996" s="19" t="s">
        <v>2269</v>
      </c>
      <c r="G996" s="1" t="s">
        <v>900</v>
      </c>
      <c r="H996" s="1" t="s">
        <v>1249</v>
      </c>
      <c r="I996" s="2">
        <v>45135</v>
      </c>
      <c r="J996" s="28">
        <v>0.36527777777777781</v>
      </c>
      <c r="K996" s="1" t="s">
        <v>73</v>
      </c>
      <c r="L996" s="2">
        <v>45138</v>
      </c>
      <c r="M996" s="3">
        <v>0.49236111111111108</v>
      </c>
      <c r="N996" s="19" t="s">
        <v>2464</v>
      </c>
    </row>
    <row r="997" spans="1:14" ht="43.2" hidden="1" x14ac:dyDescent="0.3">
      <c r="A997" s="47">
        <f t="shared" si="45"/>
        <v>2023</v>
      </c>
      <c r="B997" s="46">
        <f t="shared" si="46"/>
        <v>30</v>
      </c>
      <c r="C997" s="46">
        <f t="shared" si="47"/>
        <v>31</v>
      </c>
      <c r="E997" s="1" t="s">
        <v>2465</v>
      </c>
      <c r="F997" s="19" t="s">
        <v>2269</v>
      </c>
      <c r="G997" s="1" t="s">
        <v>900</v>
      </c>
      <c r="H997" s="1" t="s">
        <v>1249</v>
      </c>
      <c r="I997" s="2">
        <v>45135</v>
      </c>
      <c r="J997" s="28">
        <v>0.36527777777777781</v>
      </c>
      <c r="K997" s="1" t="s">
        <v>73</v>
      </c>
      <c r="L997" s="2">
        <v>45138</v>
      </c>
      <c r="M997" s="3">
        <v>0.49305555555555558</v>
      </c>
      <c r="N997" s="19" t="s">
        <v>2466</v>
      </c>
    </row>
    <row r="998" spans="1:14" ht="51" hidden="1" customHeight="1" x14ac:dyDescent="0.3">
      <c r="A998" s="47">
        <f t="shared" si="45"/>
        <v>2023</v>
      </c>
      <c r="B998" s="46">
        <f t="shared" si="46"/>
        <v>31</v>
      </c>
      <c r="C998" s="46">
        <f t="shared" si="47"/>
        <v>31</v>
      </c>
      <c r="E998" s="1" t="s">
        <v>2467</v>
      </c>
      <c r="F998" s="19" t="s">
        <v>2468</v>
      </c>
      <c r="G998" s="1" t="s">
        <v>10</v>
      </c>
      <c r="H998" s="1" t="s">
        <v>1249</v>
      </c>
      <c r="I998" s="2">
        <v>45138</v>
      </c>
      <c r="J998" s="28">
        <v>0.39097222222222222</v>
      </c>
      <c r="K998" s="1" t="s">
        <v>73</v>
      </c>
      <c r="L998" s="2">
        <v>45138</v>
      </c>
      <c r="M998" s="3">
        <v>0.54166666666666663</v>
      </c>
      <c r="N998" s="19" t="s">
        <v>2469</v>
      </c>
    </row>
    <row r="999" spans="1:14" ht="57" hidden="1" customHeight="1" x14ac:dyDescent="0.3">
      <c r="A999" s="47">
        <f t="shared" si="45"/>
        <v>2023</v>
      </c>
      <c r="B999" s="46">
        <f t="shared" si="46"/>
        <v>31</v>
      </c>
      <c r="C999" s="46">
        <f t="shared" si="47"/>
        <v>31</v>
      </c>
      <c r="E999" s="1" t="s">
        <v>2470</v>
      </c>
      <c r="F999" s="19" t="s">
        <v>2468</v>
      </c>
      <c r="G999" s="1" t="s">
        <v>10</v>
      </c>
      <c r="H999" s="1" t="s">
        <v>1249</v>
      </c>
      <c r="I999" s="2">
        <v>45138</v>
      </c>
      <c r="J999" s="28">
        <v>0.39513888888888887</v>
      </c>
      <c r="K999" s="1" t="s">
        <v>73</v>
      </c>
      <c r="L999" s="2">
        <v>45138</v>
      </c>
      <c r="M999" s="3">
        <v>0.54375000000000007</v>
      </c>
      <c r="N999" s="19" t="s">
        <v>2471</v>
      </c>
    </row>
    <row r="1000" spans="1:14" ht="144" hidden="1" x14ac:dyDescent="0.3">
      <c r="A1000" s="47">
        <f t="shared" si="45"/>
        <v>2023</v>
      </c>
      <c r="B1000" s="46">
        <f t="shared" si="46"/>
        <v>31</v>
      </c>
      <c r="C1000" s="46">
        <f t="shared" si="47"/>
        <v>31</v>
      </c>
      <c r="E1000" s="1" t="s">
        <v>2472</v>
      </c>
      <c r="F1000" s="19" t="s">
        <v>2473</v>
      </c>
      <c r="G1000" s="1" t="s">
        <v>900</v>
      </c>
      <c r="H1000" s="1" t="s">
        <v>1249</v>
      </c>
      <c r="I1000" s="2">
        <v>45138</v>
      </c>
      <c r="J1000" s="28">
        <v>0.39513888888888887</v>
      </c>
      <c r="K1000" s="1" t="s">
        <v>73</v>
      </c>
      <c r="L1000" s="2">
        <v>45138</v>
      </c>
      <c r="M1000" s="3">
        <v>0.73263888888888884</v>
      </c>
      <c r="N1000" s="19" t="s">
        <v>2474</v>
      </c>
    </row>
    <row r="1001" spans="1:14" ht="331.2" hidden="1" x14ac:dyDescent="0.3">
      <c r="A1001" s="47">
        <f t="shared" si="45"/>
        <v>2023</v>
      </c>
      <c r="B1001" s="46">
        <f t="shared" si="46"/>
        <v>31</v>
      </c>
      <c r="C1001" s="46">
        <f t="shared" si="47"/>
        <v>31</v>
      </c>
      <c r="E1001" s="1" t="s">
        <v>2475</v>
      </c>
      <c r="F1001" s="19" t="s">
        <v>2476</v>
      </c>
      <c r="G1001" s="1" t="s">
        <v>10</v>
      </c>
      <c r="H1001" s="1" t="s">
        <v>1249</v>
      </c>
      <c r="I1001" s="2">
        <v>45139</v>
      </c>
      <c r="J1001" s="28">
        <v>0.3444444444444445</v>
      </c>
      <c r="K1001" s="1" t="s">
        <v>73</v>
      </c>
      <c r="L1001" s="2">
        <v>45140</v>
      </c>
      <c r="M1001" s="3">
        <v>0.36041666666666666</v>
      </c>
      <c r="N1001" s="19" t="s">
        <v>2477</v>
      </c>
    </row>
    <row r="1002" spans="1:14" ht="52.35" hidden="1" customHeight="1" x14ac:dyDescent="0.3">
      <c r="A1002" s="47">
        <f t="shared" si="45"/>
        <v>2023</v>
      </c>
      <c r="B1002" s="46">
        <f t="shared" si="46"/>
        <v>31</v>
      </c>
      <c r="C1002" s="46">
        <f t="shared" si="47"/>
        <v>32</v>
      </c>
      <c r="E1002" s="1" t="s">
        <v>2478</v>
      </c>
      <c r="F1002" s="19" t="s">
        <v>2479</v>
      </c>
      <c r="G1002" s="1" t="s">
        <v>10</v>
      </c>
      <c r="H1002" s="1" t="s">
        <v>1249</v>
      </c>
      <c r="I1002" s="2">
        <v>45139</v>
      </c>
      <c r="J1002" s="28">
        <v>0.37361111111111112</v>
      </c>
      <c r="K1002" s="1" t="s">
        <v>73</v>
      </c>
      <c r="L1002" s="2">
        <v>45146</v>
      </c>
      <c r="M1002" s="3">
        <v>0.32361111111111113</v>
      </c>
      <c r="N1002" s="19" t="s">
        <v>2480</v>
      </c>
    </row>
    <row r="1003" spans="1:14" ht="60.6" hidden="1" customHeight="1" x14ac:dyDescent="0.3">
      <c r="A1003" s="47">
        <f t="shared" si="45"/>
        <v>2023</v>
      </c>
      <c r="B1003" s="46">
        <f t="shared" si="46"/>
        <v>31</v>
      </c>
      <c r="C1003" s="46">
        <f t="shared" si="47"/>
        <v>32</v>
      </c>
      <c r="E1003" s="1" t="s">
        <v>2481</v>
      </c>
      <c r="F1003" s="19" t="s">
        <v>2307</v>
      </c>
      <c r="G1003" s="1" t="s">
        <v>10</v>
      </c>
      <c r="H1003" s="1" t="s">
        <v>1249</v>
      </c>
      <c r="I1003" s="2">
        <v>45141</v>
      </c>
      <c r="J1003" s="28">
        <v>0.6333333333333333</v>
      </c>
      <c r="K1003" s="1" t="s">
        <v>73</v>
      </c>
      <c r="L1003" s="2">
        <v>45146</v>
      </c>
      <c r="M1003" s="3">
        <v>0.56041666666666667</v>
      </c>
      <c r="N1003" s="19" t="s">
        <v>2482</v>
      </c>
    </row>
    <row r="1004" spans="1:14" ht="57.6" hidden="1" customHeight="1" x14ac:dyDescent="0.3">
      <c r="A1004" s="47">
        <f t="shared" si="45"/>
        <v>2023</v>
      </c>
      <c r="B1004" s="46">
        <f t="shared" si="46"/>
        <v>31</v>
      </c>
      <c r="C1004" s="46">
        <f t="shared" si="47"/>
        <v>32</v>
      </c>
      <c r="E1004" s="1" t="s">
        <v>2483</v>
      </c>
      <c r="F1004" s="19" t="s">
        <v>2117</v>
      </c>
      <c r="G1004" s="1" t="s">
        <v>10</v>
      </c>
      <c r="H1004" s="1" t="s">
        <v>1249</v>
      </c>
      <c r="I1004" s="2">
        <v>45141</v>
      </c>
      <c r="J1004" s="28">
        <v>0.64097222222222217</v>
      </c>
      <c r="K1004" s="1" t="s">
        <v>73</v>
      </c>
      <c r="L1004" s="2">
        <v>45146</v>
      </c>
      <c r="M1004" s="3">
        <v>0.5625</v>
      </c>
      <c r="N1004" s="19" t="s">
        <v>2484</v>
      </c>
    </row>
    <row r="1005" spans="1:14" ht="66" hidden="1" customHeight="1" x14ac:dyDescent="0.3">
      <c r="A1005" s="47">
        <f t="shared" si="45"/>
        <v>2023</v>
      </c>
      <c r="B1005" s="46">
        <f t="shared" si="46"/>
        <v>31</v>
      </c>
      <c r="C1005" s="46">
        <f t="shared" si="47"/>
        <v>32</v>
      </c>
      <c r="E1005" s="1" t="s">
        <v>2485</v>
      </c>
      <c r="F1005" s="19" t="s">
        <v>2486</v>
      </c>
      <c r="G1005" s="1" t="s">
        <v>10</v>
      </c>
      <c r="H1005" s="1" t="s">
        <v>1249</v>
      </c>
      <c r="I1005" s="2">
        <v>45141</v>
      </c>
      <c r="J1005" s="28">
        <v>0.64513888888888882</v>
      </c>
      <c r="K1005" s="1" t="s">
        <v>73</v>
      </c>
      <c r="L1005" s="2">
        <v>45146</v>
      </c>
      <c r="M1005" s="3">
        <v>0.56458333333333333</v>
      </c>
      <c r="N1005" s="19" t="s">
        <v>2487</v>
      </c>
    </row>
    <row r="1006" spans="1:14" ht="43.2" hidden="1" x14ac:dyDescent="0.3">
      <c r="A1006" s="47">
        <f t="shared" si="45"/>
        <v>2023</v>
      </c>
      <c r="B1006" s="46">
        <f t="shared" si="46"/>
        <v>32</v>
      </c>
      <c r="C1006" s="46">
        <f t="shared" si="47"/>
        <v>32</v>
      </c>
      <c r="E1006" s="1" t="s">
        <v>2488</v>
      </c>
      <c r="F1006" s="19" t="s">
        <v>2489</v>
      </c>
      <c r="G1006" s="1" t="s">
        <v>9</v>
      </c>
      <c r="H1006" s="1" t="s">
        <v>661</v>
      </c>
      <c r="I1006" s="2">
        <v>45145</v>
      </c>
      <c r="J1006" s="28">
        <v>0.56527777777777777</v>
      </c>
      <c r="K1006" s="1" t="s">
        <v>73</v>
      </c>
      <c r="L1006" s="2">
        <v>45146</v>
      </c>
      <c r="M1006" s="3">
        <v>0.66597222222222219</v>
      </c>
      <c r="N1006" s="19" t="s">
        <v>2490</v>
      </c>
    </row>
    <row r="1007" spans="1:14" ht="43.2" hidden="1" x14ac:dyDescent="0.3">
      <c r="A1007" s="47">
        <f t="shared" si="45"/>
        <v>2023</v>
      </c>
      <c r="B1007" s="46">
        <f t="shared" si="46"/>
        <v>32</v>
      </c>
      <c r="C1007" s="46">
        <f t="shared" si="47"/>
        <v>32</v>
      </c>
      <c r="E1007" s="1" t="s">
        <v>2491</v>
      </c>
      <c r="F1007" s="19" t="s">
        <v>2492</v>
      </c>
      <c r="G1007" s="1" t="s">
        <v>9</v>
      </c>
      <c r="H1007" s="1" t="s">
        <v>661</v>
      </c>
      <c r="I1007" s="2">
        <v>45145</v>
      </c>
      <c r="J1007" s="28">
        <v>0.56805555555555554</v>
      </c>
      <c r="K1007" s="1" t="s">
        <v>73</v>
      </c>
      <c r="L1007" s="2">
        <v>45146</v>
      </c>
      <c r="M1007" s="3">
        <v>0.66875000000000007</v>
      </c>
      <c r="N1007" s="19" t="s">
        <v>2493</v>
      </c>
    </row>
    <row r="1008" spans="1:14" ht="365.55" hidden="1" customHeight="1" x14ac:dyDescent="0.3">
      <c r="A1008" s="47">
        <f t="shared" si="45"/>
        <v>2023</v>
      </c>
      <c r="B1008" s="46">
        <f t="shared" si="46"/>
        <v>31</v>
      </c>
      <c r="C1008" s="46">
        <f t="shared" si="47"/>
        <v>32</v>
      </c>
      <c r="E1008" s="1" t="s">
        <v>2475</v>
      </c>
      <c r="F1008" s="19" t="s">
        <v>2476</v>
      </c>
      <c r="G1008" s="1" t="s">
        <v>10</v>
      </c>
      <c r="H1008" s="1" t="s">
        <v>1249</v>
      </c>
      <c r="I1008" s="2">
        <v>45139</v>
      </c>
      <c r="J1008" s="28">
        <v>0.3444444444444445</v>
      </c>
      <c r="K1008" s="1" t="s">
        <v>73</v>
      </c>
      <c r="L1008" s="2">
        <v>45146</v>
      </c>
      <c r="M1008" s="3">
        <v>0.70416666666666661</v>
      </c>
      <c r="N1008" s="19" t="s">
        <v>2494</v>
      </c>
    </row>
    <row r="1009" spans="1:14" ht="275.39999999999998" hidden="1" x14ac:dyDescent="0.3">
      <c r="A1009" s="47">
        <f t="shared" si="45"/>
        <v>2023</v>
      </c>
      <c r="B1009" s="46">
        <f t="shared" si="46"/>
        <v>31</v>
      </c>
      <c r="C1009" s="46">
        <f t="shared" si="47"/>
        <v>32</v>
      </c>
      <c r="E1009" s="1" t="s">
        <v>2495</v>
      </c>
      <c r="F1009" s="19" t="s">
        <v>2496</v>
      </c>
      <c r="G1009" s="1" t="s">
        <v>10</v>
      </c>
      <c r="H1009" s="1" t="s">
        <v>1249</v>
      </c>
      <c r="I1009" s="2">
        <v>45138</v>
      </c>
      <c r="J1009" s="28">
        <v>0.68125000000000002</v>
      </c>
      <c r="K1009" s="1" t="s">
        <v>73</v>
      </c>
      <c r="L1009" s="2">
        <v>45147</v>
      </c>
      <c r="M1009" s="3">
        <v>0.34236111111111112</v>
      </c>
      <c r="N1009" s="92" t="s">
        <v>2497</v>
      </c>
    </row>
    <row r="1010" spans="1:14" ht="57.6" hidden="1" x14ac:dyDescent="0.3">
      <c r="A1010" s="47">
        <f t="shared" si="45"/>
        <v>2023</v>
      </c>
      <c r="B1010" s="46">
        <f t="shared" si="46"/>
        <v>31</v>
      </c>
      <c r="C1010" s="46">
        <f t="shared" si="47"/>
        <v>32</v>
      </c>
      <c r="E1010" s="1" t="s">
        <v>2498</v>
      </c>
      <c r="F1010" s="19" t="s">
        <v>2114</v>
      </c>
      <c r="G1010" s="1" t="s">
        <v>9</v>
      </c>
      <c r="H1010" s="1" t="s">
        <v>661</v>
      </c>
      <c r="I1010" s="2">
        <v>45142</v>
      </c>
      <c r="J1010" s="3">
        <v>0.37916666666666665</v>
      </c>
      <c r="K1010" s="1" t="s">
        <v>73</v>
      </c>
      <c r="L1010" s="2">
        <v>45147</v>
      </c>
      <c r="M1010" s="3">
        <v>0.3979166666666667</v>
      </c>
      <c r="N1010" s="19" t="s">
        <v>2499</v>
      </c>
    </row>
    <row r="1011" spans="1:14" ht="57.6" hidden="1" x14ac:dyDescent="0.3">
      <c r="A1011" s="47">
        <f t="shared" si="45"/>
        <v>2023</v>
      </c>
      <c r="B1011" s="46">
        <f t="shared" si="46"/>
        <v>31</v>
      </c>
      <c r="C1011" s="46">
        <f t="shared" si="47"/>
        <v>32</v>
      </c>
      <c r="E1011" s="1" t="s">
        <v>2500</v>
      </c>
      <c r="F1011" s="19" t="s">
        <v>2501</v>
      </c>
      <c r="G1011" s="1" t="s">
        <v>9</v>
      </c>
      <c r="H1011" s="1" t="s">
        <v>661</v>
      </c>
      <c r="I1011" s="2">
        <v>45142</v>
      </c>
      <c r="J1011" s="3">
        <v>0.37916666666666665</v>
      </c>
      <c r="K1011" s="1" t="s">
        <v>73</v>
      </c>
      <c r="L1011" s="2">
        <v>45147</v>
      </c>
      <c r="M1011" s="3">
        <v>0.41250000000000003</v>
      </c>
      <c r="N1011" s="19" t="s">
        <v>2502</v>
      </c>
    </row>
    <row r="1012" spans="1:14" ht="72" hidden="1" x14ac:dyDescent="0.3">
      <c r="A1012" s="47">
        <f t="shared" si="45"/>
        <v>2023</v>
      </c>
      <c r="B1012" s="46">
        <f t="shared" si="46"/>
        <v>31</v>
      </c>
      <c r="C1012" s="46">
        <f t="shared" si="47"/>
        <v>32</v>
      </c>
      <c r="E1012" s="1" t="s">
        <v>2503</v>
      </c>
      <c r="F1012" s="19" t="s">
        <v>2504</v>
      </c>
      <c r="G1012" s="1" t="s">
        <v>9</v>
      </c>
      <c r="H1012" s="1" t="s">
        <v>661</v>
      </c>
      <c r="I1012" s="2">
        <v>45142</v>
      </c>
      <c r="J1012" s="3">
        <v>0.37916666666666665</v>
      </c>
      <c r="K1012" s="1" t="s">
        <v>73</v>
      </c>
      <c r="L1012" s="2">
        <v>45147</v>
      </c>
      <c r="M1012" s="3">
        <v>0.61041666666666672</v>
      </c>
      <c r="N1012" s="19" t="s">
        <v>2505</v>
      </c>
    </row>
    <row r="1013" spans="1:14" ht="43.2" hidden="1" x14ac:dyDescent="0.3">
      <c r="A1013" s="47">
        <f t="shared" si="45"/>
        <v>2023</v>
      </c>
      <c r="B1013" s="46">
        <f t="shared" si="46"/>
        <v>32</v>
      </c>
      <c r="C1013" s="46">
        <f t="shared" si="47"/>
        <v>32</v>
      </c>
      <c r="E1013" s="1" t="s">
        <v>2506</v>
      </c>
      <c r="F1013" s="19" t="s">
        <v>2507</v>
      </c>
      <c r="G1013" s="1" t="s">
        <v>9</v>
      </c>
      <c r="H1013" s="1" t="s">
        <v>661</v>
      </c>
      <c r="I1013" s="2">
        <v>45146</v>
      </c>
      <c r="J1013" s="3">
        <v>0.50138888888888888</v>
      </c>
      <c r="K1013" s="1" t="s">
        <v>73</v>
      </c>
      <c r="L1013" s="2">
        <v>45147</v>
      </c>
      <c r="M1013" s="3">
        <v>0.61249999999999993</v>
      </c>
      <c r="N1013" s="19" t="s">
        <v>2508</v>
      </c>
    </row>
    <row r="1014" spans="1:14" ht="43.2" hidden="1" x14ac:dyDescent="0.3">
      <c r="A1014" s="47">
        <f t="shared" si="45"/>
        <v>2023</v>
      </c>
      <c r="B1014" s="46">
        <f t="shared" si="46"/>
        <v>32</v>
      </c>
      <c r="C1014" s="46">
        <f t="shared" si="47"/>
        <v>32</v>
      </c>
      <c r="E1014" s="1" t="s">
        <v>2509</v>
      </c>
      <c r="F1014" s="19" t="s">
        <v>2507</v>
      </c>
      <c r="G1014" s="1" t="s">
        <v>9</v>
      </c>
      <c r="H1014" s="1" t="s">
        <v>661</v>
      </c>
      <c r="I1014" s="2">
        <v>45146</v>
      </c>
      <c r="J1014" s="3">
        <v>0.50416666666666665</v>
      </c>
      <c r="K1014" s="1" t="s">
        <v>73</v>
      </c>
      <c r="L1014" s="2">
        <v>45147</v>
      </c>
      <c r="M1014" s="3">
        <v>0.61527777777777781</v>
      </c>
      <c r="N1014" s="19" t="s">
        <v>2510</v>
      </c>
    </row>
    <row r="1015" spans="1:14" ht="43.2" hidden="1" x14ac:dyDescent="0.3">
      <c r="A1015" s="47">
        <f t="shared" si="45"/>
        <v>2023</v>
      </c>
      <c r="B1015" s="46">
        <f t="shared" si="46"/>
        <v>32</v>
      </c>
      <c r="C1015" s="46">
        <f t="shared" si="47"/>
        <v>32</v>
      </c>
      <c r="E1015" s="1" t="s">
        <v>2511</v>
      </c>
      <c r="F1015" s="19" t="s">
        <v>2492</v>
      </c>
      <c r="G1015" s="1" t="s">
        <v>9</v>
      </c>
      <c r="H1015" s="1" t="s">
        <v>661</v>
      </c>
      <c r="I1015" s="2">
        <v>45145</v>
      </c>
      <c r="J1015" s="3">
        <v>0.72083333333333333</v>
      </c>
      <c r="K1015" s="1" t="s">
        <v>73</v>
      </c>
      <c r="L1015" s="2">
        <v>45147</v>
      </c>
      <c r="M1015" s="3">
        <v>0.68472222222222223</v>
      </c>
      <c r="N1015" s="19" t="s">
        <v>2512</v>
      </c>
    </row>
    <row r="1016" spans="1:14" ht="43.2" hidden="1" x14ac:dyDescent="0.3">
      <c r="A1016" s="47">
        <f t="shared" si="45"/>
        <v>2023</v>
      </c>
      <c r="B1016" s="46">
        <f t="shared" si="46"/>
        <v>32</v>
      </c>
      <c r="C1016" s="46">
        <f t="shared" si="47"/>
        <v>32</v>
      </c>
      <c r="E1016" s="1" t="s">
        <v>2513</v>
      </c>
      <c r="F1016" s="19" t="s">
        <v>2492</v>
      </c>
      <c r="G1016" s="1" t="s">
        <v>9</v>
      </c>
      <c r="H1016" s="1" t="s">
        <v>661</v>
      </c>
      <c r="I1016" s="2">
        <v>45145</v>
      </c>
      <c r="J1016" s="3">
        <v>0.5756944444444444</v>
      </c>
      <c r="K1016" s="1" t="s">
        <v>73</v>
      </c>
      <c r="L1016" s="2">
        <v>45147</v>
      </c>
      <c r="M1016" s="3">
        <v>0.6875</v>
      </c>
      <c r="N1016" s="19" t="s">
        <v>2514</v>
      </c>
    </row>
    <row r="1017" spans="1:14" ht="43.2" hidden="1" x14ac:dyDescent="0.3">
      <c r="A1017" s="47">
        <f t="shared" si="45"/>
        <v>2023</v>
      </c>
      <c r="B1017" s="46">
        <f t="shared" si="46"/>
        <v>32</v>
      </c>
      <c r="C1017" s="46">
        <f t="shared" si="47"/>
        <v>32</v>
      </c>
      <c r="E1017" s="1" t="s">
        <v>2515</v>
      </c>
      <c r="F1017" s="19" t="s">
        <v>2516</v>
      </c>
      <c r="G1017" s="1" t="s">
        <v>10</v>
      </c>
      <c r="H1017" s="1" t="s">
        <v>661</v>
      </c>
      <c r="I1017" s="2">
        <v>45148</v>
      </c>
      <c r="J1017" s="3">
        <v>0.3125</v>
      </c>
      <c r="K1017" s="1" t="s">
        <v>73</v>
      </c>
      <c r="L1017" s="2">
        <v>45148</v>
      </c>
      <c r="M1017" s="3">
        <v>0.51597222222222217</v>
      </c>
      <c r="N1017" s="19" t="s">
        <v>2517</v>
      </c>
    </row>
    <row r="1018" spans="1:14" ht="43.2" hidden="1" x14ac:dyDescent="0.3">
      <c r="A1018" s="47">
        <f t="shared" si="45"/>
        <v>2023</v>
      </c>
      <c r="B1018" s="46">
        <f t="shared" si="46"/>
        <v>33</v>
      </c>
      <c r="C1018" s="46">
        <f t="shared" si="47"/>
        <v>34</v>
      </c>
      <c r="E1018" s="1" t="s">
        <v>2518</v>
      </c>
      <c r="F1018" s="38" t="s">
        <v>2519</v>
      </c>
      <c r="G1018" s="1" t="s">
        <v>900</v>
      </c>
      <c r="H1018" s="1" t="s">
        <v>2520</v>
      </c>
      <c r="I1018" s="2">
        <v>45153</v>
      </c>
      <c r="J1018" s="3">
        <v>0.31319444444444444</v>
      </c>
      <c r="K1018" s="1" t="s">
        <v>73</v>
      </c>
      <c r="L1018" s="2">
        <v>45160</v>
      </c>
      <c r="M1018" s="3">
        <v>0.47430555555555554</v>
      </c>
      <c r="N1018" s="90" t="s">
        <v>2521</v>
      </c>
    </row>
    <row r="1019" spans="1:14" ht="55.35" hidden="1" customHeight="1" x14ac:dyDescent="0.3">
      <c r="A1019" s="47">
        <f t="shared" si="45"/>
        <v>2023</v>
      </c>
      <c r="B1019" s="46">
        <f t="shared" si="46"/>
        <v>33</v>
      </c>
      <c r="C1019" s="46">
        <f t="shared" si="47"/>
        <v>34</v>
      </c>
      <c r="E1019" s="1" t="s">
        <v>2522</v>
      </c>
      <c r="F1019" s="38" t="s">
        <v>2519</v>
      </c>
      <c r="G1019" s="1" t="s">
        <v>900</v>
      </c>
      <c r="H1019" s="1" t="s">
        <v>2520</v>
      </c>
      <c r="I1019" s="2">
        <v>45153</v>
      </c>
      <c r="J1019" s="3">
        <v>0.31319444444444444</v>
      </c>
      <c r="K1019" s="1" t="s">
        <v>73</v>
      </c>
      <c r="L1019" s="2">
        <v>45160</v>
      </c>
      <c r="M1019" s="3">
        <v>0.47430555555555554</v>
      </c>
      <c r="N1019" s="90" t="s">
        <v>2523</v>
      </c>
    </row>
    <row r="1020" spans="1:14" ht="86.4" hidden="1" x14ac:dyDescent="0.3">
      <c r="A1020" s="47">
        <f t="shared" si="45"/>
        <v>2023</v>
      </c>
      <c r="B1020" s="46">
        <f t="shared" si="46"/>
        <v>33</v>
      </c>
      <c r="C1020" s="46">
        <f t="shared" si="47"/>
        <v>34</v>
      </c>
      <c r="E1020" s="1" t="s">
        <v>2524</v>
      </c>
      <c r="F1020" s="38" t="s">
        <v>2525</v>
      </c>
      <c r="G1020" s="1" t="s">
        <v>900</v>
      </c>
      <c r="H1020" s="1" t="s">
        <v>2520</v>
      </c>
      <c r="I1020" s="2">
        <v>45154</v>
      </c>
      <c r="J1020" s="3">
        <v>0.66527777777777775</v>
      </c>
      <c r="K1020" s="1" t="s">
        <v>73</v>
      </c>
      <c r="L1020" s="2">
        <v>45160</v>
      </c>
      <c r="M1020" s="3">
        <v>0.47430555555555554</v>
      </c>
      <c r="N1020" s="90" t="s">
        <v>2526</v>
      </c>
    </row>
    <row r="1021" spans="1:14" ht="44.25" hidden="1" customHeight="1" x14ac:dyDescent="0.3">
      <c r="A1021" s="47">
        <f t="shared" si="45"/>
        <v>2023</v>
      </c>
      <c r="B1021" s="46">
        <f t="shared" si="46"/>
        <v>33</v>
      </c>
      <c r="C1021" s="46">
        <f t="shared" si="47"/>
        <v>34</v>
      </c>
      <c r="E1021" s="38" t="s">
        <v>2527</v>
      </c>
      <c r="F1021" s="19" t="s">
        <v>2528</v>
      </c>
      <c r="G1021" s="1" t="s">
        <v>10</v>
      </c>
      <c r="H1021" s="1" t="s">
        <v>2520</v>
      </c>
      <c r="I1021" s="2">
        <v>45154</v>
      </c>
      <c r="J1021" s="3">
        <v>0.64027777777777783</v>
      </c>
      <c r="K1021" s="1" t="s">
        <v>88</v>
      </c>
      <c r="L1021" s="2">
        <v>45160</v>
      </c>
      <c r="M1021" s="3">
        <v>0.71805555555555556</v>
      </c>
      <c r="N1021" s="19" t="s">
        <v>2529</v>
      </c>
    </row>
    <row r="1022" spans="1:14" ht="60" hidden="1" customHeight="1" x14ac:dyDescent="0.3">
      <c r="A1022" s="47">
        <f t="shared" si="45"/>
        <v>2023</v>
      </c>
      <c r="B1022" s="46">
        <f t="shared" si="46"/>
        <v>32</v>
      </c>
      <c r="C1022" s="46">
        <f t="shared" si="47"/>
        <v>34</v>
      </c>
      <c r="E1022" s="1" t="s">
        <v>2530</v>
      </c>
      <c r="F1022" s="19" t="s">
        <v>2531</v>
      </c>
      <c r="G1022" s="1" t="s">
        <v>10</v>
      </c>
      <c r="H1022" s="1" t="s">
        <v>2520</v>
      </c>
      <c r="I1022" s="2">
        <v>45148</v>
      </c>
      <c r="J1022" s="3">
        <v>0.3347222222222222</v>
      </c>
      <c r="K1022" s="1" t="s">
        <v>88</v>
      </c>
      <c r="L1022" s="2">
        <v>45163</v>
      </c>
      <c r="M1022" s="3">
        <v>0.34930555555555554</v>
      </c>
      <c r="N1022" s="19" t="s">
        <v>2532</v>
      </c>
    </row>
    <row r="1023" spans="1:14" ht="233.25" hidden="1" customHeight="1" x14ac:dyDescent="0.3">
      <c r="A1023" s="47">
        <f t="shared" si="45"/>
        <v>2023</v>
      </c>
      <c r="B1023" s="46">
        <f t="shared" si="46"/>
        <v>33</v>
      </c>
      <c r="C1023" s="46">
        <f t="shared" si="47"/>
        <v>34</v>
      </c>
      <c r="E1023" s="38" t="s">
        <v>2538</v>
      </c>
      <c r="F1023" s="19" t="s">
        <v>2537</v>
      </c>
      <c r="G1023" s="1" t="s">
        <v>9</v>
      </c>
      <c r="H1023" s="1" t="s">
        <v>2520</v>
      </c>
      <c r="I1023" s="2">
        <v>45156</v>
      </c>
      <c r="J1023" s="3">
        <v>0.35833333333333334</v>
      </c>
      <c r="K1023" s="1" t="s">
        <v>88</v>
      </c>
      <c r="L1023" s="2">
        <v>45163</v>
      </c>
      <c r="M1023" s="3">
        <v>0.48888888888888887</v>
      </c>
      <c r="N1023" s="19" t="s">
        <v>2539</v>
      </c>
    </row>
    <row r="1024" spans="1:14" ht="100.8" hidden="1" x14ac:dyDescent="0.3">
      <c r="A1024" s="47">
        <f t="shared" si="45"/>
        <v>2023</v>
      </c>
      <c r="B1024" s="46">
        <f t="shared" si="46"/>
        <v>34</v>
      </c>
      <c r="C1024" s="46">
        <f t="shared" si="47"/>
        <v>35</v>
      </c>
      <c r="E1024" s="1" t="s">
        <v>2540</v>
      </c>
      <c r="F1024" s="19" t="s">
        <v>2269</v>
      </c>
      <c r="G1024" s="1" t="s">
        <v>900</v>
      </c>
      <c r="H1024" s="1" t="s">
        <v>2520</v>
      </c>
      <c r="I1024" s="2">
        <v>45163</v>
      </c>
      <c r="J1024" s="3">
        <v>0.48888888888888887</v>
      </c>
      <c r="K1024" s="1" t="s">
        <v>73</v>
      </c>
      <c r="L1024" s="2">
        <v>45170</v>
      </c>
      <c r="M1024" s="3">
        <v>0.43611111111111112</v>
      </c>
      <c r="N1024" s="19" t="s">
        <v>2541</v>
      </c>
    </row>
    <row r="1025" spans="1:14" ht="28.8" hidden="1" x14ac:dyDescent="0.3">
      <c r="A1025" s="47">
        <f t="shared" si="45"/>
        <v>2023</v>
      </c>
      <c r="B1025" s="46">
        <f t="shared" si="46"/>
        <v>33</v>
      </c>
      <c r="C1025" s="46">
        <f t="shared" si="47"/>
        <v>36</v>
      </c>
      <c r="E1025" s="1" t="s">
        <v>2542</v>
      </c>
      <c r="F1025" s="19" t="s">
        <v>2543</v>
      </c>
      <c r="G1025" s="1" t="s">
        <v>10</v>
      </c>
      <c r="H1025" s="1" t="s">
        <v>2520</v>
      </c>
      <c r="I1025" s="2">
        <v>45156</v>
      </c>
      <c r="J1025" s="3">
        <v>0.65416666666666667</v>
      </c>
      <c r="K1025" s="1" t="s">
        <v>88</v>
      </c>
      <c r="L1025" s="2">
        <v>45173</v>
      </c>
      <c r="M1025" s="3">
        <v>0.68263888888888891</v>
      </c>
      <c r="N1025" s="19" t="s">
        <v>2544</v>
      </c>
    </row>
    <row r="1026" spans="1:14" ht="59.25" hidden="1" customHeight="1" x14ac:dyDescent="0.3">
      <c r="A1026" s="47">
        <f t="shared" si="45"/>
        <v>2023</v>
      </c>
      <c r="B1026" s="46">
        <f t="shared" si="46"/>
        <v>34</v>
      </c>
      <c r="C1026" s="46">
        <f t="shared" si="47"/>
        <v>36</v>
      </c>
      <c r="E1026" s="1" t="s">
        <v>2547</v>
      </c>
      <c r="F1026" s="19" t="s">
        <v>2545</v>
      </c>
      <c r="G1026" s="1" t="s">
        <v>9</v>
      </c>
      <c r="H1026" s="1" t="s">
        <v>2520</v>
      </c>
      <c r="I1026" s="2">
        <v>45159</v>
      </c>
      <c r="J1026" s="3">
        <v>0.56805555555555554</v>
      </c>
      <c r="K1026" s="1" t="s">
        <v>88</v>
      </c>
      <c r="L1026" s="2">
        <v>45174</v>
      </c>
      <c r="M1026" s="3">
        <v>0.38055555555555554</v>
      </c>
      <c r="N1026" s="19" t="s">
        <v>2546</v>
      </c>
    </row>
    <row r="1027" spans="1:14" ht="158.4" hidden="1" x14ac:dyDescent="0.3">
      <c r="A1027" s="47">
        <f t="shared" ref="A1027:A1090" si="48">YEAR(L1027)</f>
        <v>2023</v>
      </c>
      <c r="B1027" s="46">
        <f t="shared" ref="B1027:B1090" si="49">WEEKNUM(I1027)</f>
        <v>33</v>
      </c>
      <c r="C1027" s="46">
        <f t="shared" ref="C1027:C1090" si="50">WEEKNUM(L1027)</f>
        <v>36</v>
      </c>
      <c r="E1027" s="1" t="s">
        <v>2538</v>
      </c>
      <c r="F1027" s="19" t="s">
        <v>2548</v>
      </c>
      <c r="G1027" s="1" t="s">
        <v>9</v>
      </c>
      <c r="H1027" s="1" t="s">
        <v>2520</v>
      </c>
      <c r="I1027" s="2">
        <v>45156</v>
      </c>
      <c r="J1027" s="3">
        <v>0.35833333333333334</v>
      </c>
      <c r="K1027" s="1" t="s">
        <v>88</v>
      </c>
      <c r="L1027" s="2">
        <v>45174</v>
      </c>
      <c r="M1027" s="3">
        <v>0.67222222222222217</v>
      </c>
      <c r="N1027" s="19" t="s">
        <v>2549</v>
      </c>
    </row>
    <row r="1028" spans="1:14" ht="57.6" hidden="1" x14ac:dyDescent="0.3">
      <c r="A1028" s="47">
        <f t="shared" si="48"/>
        <v>2023</v>
      </c>
      <c r="B1028" s="46">
        <f t="shared" si="49"/>
        <v>33</v>
      </c>
      <c r="C1028" s="46">
        <f t="shared" si="50"/>
        <v>36</v>
      </c>
      <c r="E1028" s="1" t="s">
        <v>2551</v>
      </c>
      <c r="F1028" s="19" t="s">
        <v>2550</v>
      </c>
      <c r="G1028" s="1" t="s">
        <v>9</v>
      </c>
      <c r="H1028" s="1" t="s">
        <v>2520</v>
      </c>
      <c r="I1028" s="2">
        <v>45154</v>
      </c>
      <c r="J1028" s="3">
        <v>0.6430555555555556</v>
      </c>
      <c r="K1028" s="1" t="s">
        <v>88</v>
      </c>
      <c r="L1028" s="2">
        <v>45175</v>
      </c>
      <c r="M1028" s="3">
        <v>0.41666666666666669</v>
      </c>
      <c r="N1028" s="19" t="s">
        <v>2554</v>
      </c>
    </row>
    <row r="1029" spans="1:14" ht="158.4" hidden="1" x14ac:dyDescent="0.3">
      <c r="A1029" s="47">
        <f t="shared" si="48"/>
        <v>2023</v>
      </c>
      <c r="B1029" s="46">
        <f t="shared" si="49"/>
        <v>36</v>
      </c>
      <c r="C1029" s="46">
        <f t="shared" si="50"/>
        <v>37</v>
      </c>
      <c r="E1029" s="1" t="s">
        <v>2552</v>
      </c>
      <c r="F1029" s="19" t="s">
        <v>2553</v>
      </c>
      <c r="G1029" s="1" t="s">
        <v>9</v>
      </c>
      <c r="H1029" s="1" t="s">
        <v>2520</v>
      </c>
      <c r="I1029" s="2">
        <v>45177</v>
      </c>
      <c r="J1029" s="3">
        <v>0.68472222222222223</v>
      </c>
      <c r="K1029" s="1" t="s">
        <v>88</v>
      </c>
      <c r="L1029" s="2">
        <v>45183</v>
      </c>
      <c r="M1029" s="3">
        <v>0.75902777777777775</v>
      </c>
      <c r="N1029" s="19" t="s">
        <v>2557</v>
      </c>
    </row>
    <row r="1030" spans="1:14" ht="57.6" hidden="1" x14ac:dyDescent="0.3">
      <c r="A1030" s="47">
        <f t="shared" si="48"/>
        <v>2023</v>
      </c>
      <c r="B1030" s="46">
        <f t="shared" si="49"/>
        <v>38</v>
      </c>
      <c r="C1030" s="46">
        <f t="shared" si="50"/>
        <v>37</v>
      </c>
      <c r="E1030" s="1" t="s">
        <v>2555</v>
      </c>
      <c r="F1030" s="19" t="s">
        <v>2556</v>
      </c>
      <c r="G1030" s="1" t="s">
        <v>10</v>
      </c>
      <c r="H1030" s="1" t="s">
        <v>2520</v>
      </c>
      <c r="I1030" s="2">
        <v>45190</v>
      </c>
      <c r="J1030" s="3">
        <v>0.59375</v>
      </c>
      <c r="K1030" s="1" t="s">
        <v>88</v>
      </c>
      <c r="L1030" s="2">
        <v>45182</v>
      </c>
      <c r="M1030" s="3">
        <v>0.72499999999999998</v>
      </c>
      <c r="N1030" s="19" t="s">
        <v>2572</v>
      </c>
    </row>
    <row r="1031" spans="1:14" ht="72" hidden="1" x14ac:dyDescent="0.3">
      <c r="A1031" s="47">
        <f t="shared" si="48"/>
        <v>2023</v>
      </c>
      <c r="B1031" s="46">
        <f t="shared" si="49"/>
        <v>34</v>
      </c>
      <c r="C1031" s="46">
        <f t="shared" si="50"/>
        <v>37</v>
      </c>
      <c r="E1031" s="38" t="s">
        <v>2558</v>
      </c>
      <c r="F1031" s="19" t="s">
        <v>2569</v>
      </c>
      <c r="G1031" s="1" t="s">
        <v>9</v>
      </c>
      <c r="H1031" s="1" t="s">
        <v>2520</v>
      </c>
      <c r="I1031" s="2">
        <v>45159</v>
      </c>
      <c r="J1031" s="3">
        <v>0.58194444444444449</v>
      </c>
      <c r="K1031" s="1" t="s">
        <v>88</v>
      </c>
      <c r="L1031" s="2">
        <v>45184</v>
      </c>
      <c r="M1031" s="3">
        <v>0.38750000000000001</v>
      </c>
      <c r="N1031" s="19" t="s">
        <v>2568</v>
      </c>
    </row>
    <row r="1032" spans="1:14" ht="57.6" hidden="1" x14ac:dyDescent="0.3">
      <c r="A1032" s="47">
        <f t="shared" si="48"/>
        <v>2023</v>
      </c>
      <c r="B1032" s="46">
        <f t="shared" si="49"/>
        <v>34</v>
      </c>
      <c r="C1032" s="46">
        <f t="shared" si="50"/>
        <v>37</v>
      </c>
      <c r="E1032" s="38" t="s">
        <v>2559</v>
      </c>
      <c r="F1032" s="19" t="s">
        <v>2570</v>
      </c>
      <c r="G1032" s="1" t="s">
        <v>9</v>
      </c>
      <c r="H1032" s="1" t="s">
        <v>2520</v>
      </c>
      <c r="I1032" s="2">
        <v>45159</v>
      </c>
      <c r="J1032" s="3">
        <v>0.5854166666666667</v>
      </c>
      <c r="K1032" s="1" t="s">
        <v>88</v>
      </c>
      <c r="L1032" s="2">
        <v>45184</v>
      </c>
      <c r="M1032" s="3">
        <v>0.38958333333333334</v>
      </c>
      <c r="N1032" s="19" t="s">
        <v>2578</v>
      </c>
    </row>
    <row r="1033" spans="1:14" ht="57.6" hidden="1" x14ac:dyDescent="0.3">
      <c r="A1033" s="47">
        <f t="shared" si="48"/>
        <v>2023</v>
      </c>
      <c r="B1033" s="46">
        <f t="shared" si="49"/>
        <v>34</v>
      </c>
      <c r="C1033" s="46">
        <f t="shared" si="50"/>
        <v>37</v>
      </c>
      <c r="E1033" s="38" t="s">
        <v>2560</v>
      </c>
      <c r="F1033" s="19" t="s">
        <v>2570</v>
      </c>
      <c r="G1033" s="1" t="s">
        <v>9</v>
      </c>
      <c r="H1033" s="1" t="s">
        <v>2520</v>
      </c>
      <c r="I1033" s="2">
        <v>45159</v>
      </c>
      <c r="J1033" s="3">
        <v>0.71875</v>
      </c>
      <c r="K1033" s="1" t="s">
        <v>88</v>
      </c>
      <c r="L1033" s="2">
        <v>45184</v>
      </c>
      <c r="M1033" s="3">
        <v>0.39097222222222222</v>
      </c>
      <c r="N1033" s="19" t="s">
        <v>2578</v>
      </c>
    </row>
    <row r="1034" spans="1:14" ht="57.6" hidden="1" x14ac:dyDescent="0.3">
      <c r="A1034" s="47">
        <f t="shared" si="48"/>
        <v>2023</v>
      </c>
      <c r="B1034" s="46">
        <f t="shared" si="49"/>
        <v>34</v>
      </c>
      <c r="C1034" s="46">
        <f t="shared" si="50"/>
        <v>37</v>
      </c>
      <c r="E1034" s="38" t="s">
        <v>2561</v>
      </c>
      <c r="F1034" s="19" t="s">
        <v>2570</v>
      </c>
      <c r="G1034" s="1" t="s">
        <v>9</v>
      </c>
      <c r="H1034" s="1" t="s">
        <v>2520</v>
      </c>
      <c r="I1034" s="2">
        <v>45160</v>
      </c>
      <c r="J1034" s="3">
        <v>0.70347222222222217</v>
      </c>
      <c r="K1034" s="1" t="s">
        <v>88</v>
      </c>
      <c r="L1034" s="2">
        <v>45184</v>
      </c>
      <c r="M1034" s="3">
        <v>0.3923611111111111</v>
      </c>
      <c r="N1034" s="19" t="s">
        <v>2578</v>
      </c>
    </row>
    <row r="1035" spans="1:14" ht="57.6" hidden="1" x14ac:dyDescent="0.3">
      <c r="A1035" s="47">
        <f t="shared" si="48"/>
        <v>2023</v>
      </c>
      <c r="B1035" s="46">
        <f t="shared" si="49"/>
        <v>34</v>
      </c>
      <c r="C1035" s="46">
        <f t="shared" si="50"/>
        <v>37</v>
      </c>
      <c r="E1035" s="38" t="s">
        <v>2562</v>
      </c>
      <c r="F1035" s="19" t="s">
        <v>2570</v>
      </c>
      <c r="G1035" s="1" t="s">
        <v>9</v>
      </c>
      <c r="H1035" s="1" t="s">
        <v>2520</v>
      </c>
      <c r="I1035" s="2">
        <v>45162</v>
      </c>
      <c r="J1035" s="3">
        <v>0.41180555555555554</v>
      </c>
      <c r="K1035" s="1" t="s">
        <v>88</v>
      </c>
      <c r="L1035" s="2">
        <v>45184</v>
      </c>
      <c r="M1035" s="3">
        <v>0.39583333333333331</v>
      </c>
      <c r="N1035" s="19" t="s">
        <v>2578</v>
      </c>
    </row>
    <row r="1036" spans="1:14" ht="57.6" hidden="1" x14ac:dyDescent="0.3">
      <c r="A1036" s="47">
        <f t="shared" si="48"/>
        <v>2023</v>
      </c>
      <c r="B1036" s="46">
        <f t="shared" si="49"/>
        <v>34</v>
      </c>
      <c r="C1036" s="46">
        <f t="shared" si="50"/>
        <v>37</v>
      </c>
      <c r="E1036" s="38" t="s">
        <v>2563</v>
      </c>
      <c r="F1036" s="19" t="s">
        <v>2570</v>
      </c>
      <c r="G1036" s="1" t="s">
        <v>9</v>
      </c>
      <c r="H1036" s="1" t="s">
        <v>2520</v>
      </c>
      <c r="I1036" s="2">
        <v>45162</v>
      </c>
      <c r="J1036" s="3">
        <v>0.39166666666666666</v>
      </c>
      <c r="K1036" s="1" t="s">
        <v>88</v>
      </c>
      <c r="L1036" s="2">
        <v>45184</v>
      </c>
      <c r="M1036" s="3">
        <v>0.39861111111111108</v>
      </c>
      <c r="N1036" s="19" t="s">
        <v>2578</v>
      </c>
    </row>
    <row r="1037" spans="1:14" ht="57.6" hidden="1" x14ac:dyDescent="0.3">
      <c r="A1037" s="47">
        <f t="shared" si="48"/>
        <v>2023</v>
      </c>
      <c r="B1037" s="46">
        <f t="shared" si="49"/>
        <v>35</v>
      </c>
      <c r="C1037" s="46">
        <f t="shared" si="50"/>
        <v>37</v>
      </c>
      <c r="E1037" s="38" t="s">
        <v>2564</v>
      </c>
      <c r="F1037" s="19" t="s">
        <v>2571</v>
      </c>
      <c r="G1037" s="1" t="s">
        <v>9</v>
      </c>
      <c r="H1037" s="1" t="s">
        <v>2520</v>
      </c>
      <c r="I1037" s="2">
        <v>45170</v>
      </c>
      <c r="J1037" s="3">
        <v>0.69930555555555562</v>
      </c>
      <c r="K1037" s="1" t="s">
        <v>88</v>
      </c>
      <c r="L1037" s="2">
        <v>45184</v>
      </c>
      <c r="M1037" s="3">
        <v>0.39999999999999997</v>
      </c>
      <c r="N1037" s="19" t="s">
        <v>2578</v>
      </c>
    </row>
    <row r="1038" spans="1:14" ht="57.6" hidden="1" x14ac:dyDescent="0.3">
      <c r="A1038" s="47">
        <f t="shared" si="48"/>
        <v>2023</v>
      </c>
      <c r="B1038" s="46">
        <f t="shared" si="49"/>
        <v>35</v>
      </c>
      <c r="C1038" s="46">
        <f t="shared" si="50"/>
        <v>37</v>
      </c>
      <c r="E1038" s="38" t="s">
        <v>2565</v>
      </c>
      <c r="F1038" s="19" t="s">
        <v>2570</v>
      </c>
      <c r="G1038" s="1" t="s">
        <v>9</v>
      </c>
      <c r="H1038" s="1" t="s">
        <v>2520</v>
      </c>
      <c r="I1038" s="2">
        <v>45170</v>
      </c>
      <c r="J1038" s="3">
        <v>0.71180555555555547</v>
      </c>
      <c r="K1038" s="1" t="s">
        <v>88</v>
      </c>
      <c r="L1038" s="2">
        <v>45184</v>
      </c>
      <c r="M1038" s="3">
        <v>0.40138888888888885</v>
      </c>
      <c r="N1038" s="19" t="s">
        <v>2578</v>
      </c>
    </row>
    <row r="1039" spans="1:14" ht="57.6" hidden="1" x14ac:dyDescent="0.3">
      <c r="A1039" s="47">
        <f t="shared" si="48"/>
        <v>2023</v>
      </c>
      <c r="B1039" s="46">
        <f t="shared" si="49"/>
        <v>36</v>
      </c>
      <c r="C1039" s="46">
        <f t="shared" si="50"/>
        <v>37</v>
      </c>
      <c r="E1039" s="38" t="s">
        <v>2566</v>
      </c>
      <c r="F1039" s="19" t="s">
        <v>2570</v>
      </c>
      <c r="G1039" s="1" t="s">
        <v>9</v>
      </c>
      <c r="H1039" s="1" t="s">
        <v>2520</v>
      </c>
      <c r="I1039" s="2">
        <v>45177</v>
      </c>
      <c r="J1039" s="3">
        <v>0.67569444444444438</v>
      </c>
      <c r="K1039" s="1" t="s">
        <v>88</v>
      </c>
      <c r="L1039" s="2">
        <v>45184</v>
      </c>
      <c r="M1039" s="3">
        <v>0.40347222222222223</v>
      </c>
      <c r="N1039" s="19" t="s">
        <v>2578</v>
      </c>
    </row>
    <row r="1040" spans="1:14" ht="57.6" hidden="1" x14ac:dyDescent="0.3">
      <c r="A1040" s="47">
        <f t="shared" si="48"/>
        <v>2023</v>
      </c>
      <c r="B1040" s="46">
        <f t="shared" si="49"/>
        <v>37</v>
      </c>
      <c r="C1040" s="46">
        <f t="shared" si="50"/>
        <v>37</v>
      </c>
      <c r="E1040" s="38" t="s">
        <v>2567</v>
      </c>
      <c r="F1040" s="19" t="s">
        <v>2570</v>
      </c>
      <c r="G1040" s="1" t="s">
        <v>9</v>
      </c>
      <c r="H1040" s="1" t="s">
        <v>2520</v>
      </c>
      <c r="I1040" s="2">
        <v>45180</v>
      </c>
      <c r="J1040" s="3">
        <v>0.6694444444444444</v>
      </c>
      <c r="K1040" s="1" t="s">
        <v>88</v>
      </c>
      <c r="L1040" s="2">
        <v>45184</v>
      </c>
      <c r="M1040" s="3">
        <v>0.40486111111111112</v>
      </c>
      <c r="N1040" s="19" t="s">
        <v>2578</v>
      </c>
    </row>
    <row r="1041" spans="1:15" ht="399" hidden="1" x14ac:dyDescent="0.3">
      <c r="A1041" s="47">
        <f t="shared" si="48"/>
        <v>2023</v>
      </c>
      <c r="B1041" s="46">
        <f t="shared" si="49"/>
        <v>36</v>
      </c>
      <c r="C1041" s="46">
        <f t="shared" si="50"/>
        <v>38</v>
      </c>
      <c r="E1041" s="1" t="s">
        <v>2573</v>
      </c>
      <c r="F1041" s="19" t="s">
        <v>2290</v>
      </c>
      <c r="G1041" s="1" t="s">
        <v>900</v>
      </c>
      <c r="H1041" s="1" t="s">
        <v>2520</v>
      </c>
      <c r="I1041" s="2">
        <v>45175</v>
      </c>
      <c r="J1041" s="3">
        <v>0.65347222222222223</v>
      </c>
      <c r="K1041" s="1" t="s">
        <v>73</v>
      </c>
      <c r="L1041" s="2">
        <v>45187</v>
      </c>
      <c r="N1041" s="19" t="s">
        <v>2591</v>
      </c>
    </row>
    <row r="1042" spans="1:15" ht="57.6" hidden="1" x14ac:dyDescent="0.3">
      <c r="A1042" s="47">
        <f t="shared" si="48"/>
        <v>2023</v>
      </c>
      <c r="B1042" s="46">
        <f t="shared" si="49"/>
        <v>35</v>
      </c>
      <c r="C1042" s="46">
        <f t="shared" si="50"/>
        <v>37</v>
      </c>
      <c r="E1042" s="1" t="s">
        <v>2574</v>
      </c>
      <c r="F1042" s="19" t="s">
        <v>2585</v>
      </c>
      <c r="G1042" s="1" t="s">
        <v>9</v>
      </c>
      <c r="H1042" s="1" t="s">
        <v>2520</v>
      </c>
      <c r="I1042" s="2">
        <v>45169</v>
      </c>
      <c r="J1042" s="3">
        <v>0.42152777777777778</v>
      </c>
      <c r="K1042" s="1" t="s">
        <v>88</v>
      </c>
      <c r="L1042" s="2">
        <v>45184</v>
      </c>
      <c r="N1042" s="19" t="s">
        <v>2584</v>
      </c>
    </row>
    <row r="1043" spans="1:15" ht="57.6" hidden="1" x14ac:dyDescent="0.3">
      <c r="A1043" s="47">
        <f t="shared" si="48"/>
        <v>2023</v>
      </c>
      <c r="B1043" s="46">
        <f t="shared" si="49"/>
        <v>35</v>
      </c>
      <c r="C1043" s="46">
        <f t="shared" si="50"/>
        <v>37</v>
      </c>
      <c r="E1043" s="1" t="s">
        <v>2575</v>
      </c>
      <c r="F1043" s="19" t="s">
        <v>2582</v>
      </c>
      <c r="G1043" s="1" t="s">
        <v>9</v>
      </c>
      <c r="H1043" s="1" t="s">
        <v>2520</v>
      </c>
      <c r="I1043" s="2">
        <v>45169</v>
      </c>
      <c r="J1043" s="3">
        <v>0.42430555555555555</v>
      </c>
      <c r="K1043" s="1" t="s">
        <v>88</v>
      </c>
      <c r="L1043" s="2">
        <v>45184</v>
      </c>
      <c r="M1043" s="3">
        <v>0.58750000000000002</v>
      </c>
      <c r="N1043" s="19" t="s">
        <v>2583</v>
      </c>
    </row>
    <row r="1044" spans="1:15" ht="72" hidden="1" x14ac:dyDescent="0.3">
      <c r="A1044" s="47">
        <f t="shared" si="48"/>
        <v>2023</v>
      </c>
      <c r="B1044" s="46">
        <f t="shared" si="49"/>
        <v>35</v>
      </c>
      <c r="C1044" s="46">
        <f t="shared" si="50"/>
        <v>37</v>
      </c>
      <c r="E1044" s="1" t="s">
        <v>2576</v>
      </c>
      <c r="F1044" s="19" t="s">
        <v>2581</v>
      </c>
      <c r="G1044" s="1" t="s">
        <v>9</v>
      </c>
      <c r="H1044" s="1" t="s">
        <v>2520</v>
      </c>
      <c r="I1044" s="2">
        <v>45169</v>
      </c>
      <c r="J1044" s="3">
        <v>0.42708333333333331</v>
      </c>
      <c r="K1044" s="1" t="s">
        <v>88</v>
      </c>
      <c r="L1044" s="2">
        <v>45184</v>
      </c>
      <c r="M1044" s="3">
        <v>0.59583333333333333</v>
      </c>
      <c r="N1044" s="19" t="s">
        <v>2577</v>
      </c>
    </row>
    <row r="1045" spans="1:15" ht="69" hidden="1" customHeight="1" x14ac:dyDescent="0.3">
      <c r="A1045" s="47">
        <f t="shared" si="48"/>
        <v>2023</v>
      </c>
      <c r="B1045" s="46">
        <f t="shared" si="49"/>
        <v>35</v>
      </c>
      <c r="C1045" s="46">
        <f t="shared" si="50"/>
        <v>37</v>
      </c>
      <c r="E1045" s="4" t="s">
        <v>2588</v>
      </c>
      <c r="F1045" s="19" t="s">
        <v>2587</v>
      </c>
      <c r="G1045" s="1" t="s">
        <v>9</v>
      </c>
      <c r="H1045" s="1" t="s">
        <v>2520</v>
      </c>
      <c r="I1045" s="2">
        <v>45169</v>
      </c>
      <c r="J1045" s="3">
        <v>0.68541666666666667</v>
      </c>
      <c r="K1045" s="1" t="s">
        <v>88</v>
      </c>
      <c r="L1045" s="2">
        <v>45184</v>
      </c>
      <c r="M1045" s="3">
        <v>0.68472222222222223</v>
      </c>
      <c r="N1045" s="19" t="s">
        <v>2586</v>
      </c>
    </row>
    <row r="1046" spans="1:15" ht="43.2" hidden="1" x14ac:dyDescent="0.3">
      <c r="A1046" s="47">
        <f t="shared" si="48"/>
        <v>2023</v>
      </c>
      <c r="B1046" s="46">
        <f t="shared" si="49"/>
        <v>35</v>
      </c>
      <c r="C1046" s="46">
        <f t="shared" si="50"/>
        <v>37</v>
      </c>
      <c r="E1046" s="270" t="s">
        <v>2590</v>
      </c>
      <c r="F1046" s="19" t="s">
        <v>2587</v>
      </c>
      <c r="G1046" s="1" t="s">
        <v>9</v>
      </c>
      <c r="H1046" s="1" t="s">
        <v>2520</v>
      </c>
      <c r="I1046" s="2">
        <v>45169</v>
      </c>
      <c r="J1046" s="3">
        <v>0.68888888888888899</v>
      </c>
      <c r="K1046" s="1" t="s">
        <v>88</v>
      </c>
      <c r="L1046" s="2">
        <v>45184</v>
      </c>
      <c r="M1046" s="3">
        <v>0.69166666666666676</v>
      </c>
      <c r="N1046" s="19" t="s">
        <v>2589</v>
      </c>
    </row>
    <row r="1047" spans="1:15" ht="208.2" hidden="1" x14ac:dyDescent="0.3">
      <c r="A1047" s="47">
        <f t="shared" si="48"/>
        <v>2023</v>
      </c>
      <c r="B1047" s="46">
        <f t="shared" si="49"/>
        <v>36</v>
      </c>
      <c r="C1047" s="46">
        <f t="shared" si="50"/>
        <v>38</v>
      </c>
      <c r="E1047" s="1" t="s">
        <v>2592</v>
      </c>
      <c r="F1047" s="19" t="s">
        <v>2269</v>
      </c>
      <c r="G1047" s="1" t="s">
        <v>900</v>
      </c>
      <c r="H1047" s="1" t="s">
        <v>2520</v>
      </c>
      <c r="I1047" s="2">
        <v>45177</v>
      </c>
      <c r="J1047" s="3">
        <v>0.46875</v>
      </c>
      <c r="K1047" s="1" t="s">
        <v>73</v>
      </c>
      <c r="L1047" s="2">
        <v>45187</v>
      </c>
      <c r="N1047" s="92" t="s">
        <v>2593</v>
      </c>
    </row>
    <row r="1048" spans="1:15" ht="144" hidden="1" x14ac:dyDescent="0.3">
      <c r="A1048" s="47">
        <f t="shared" si="48"/>
        <v>2023</v>
      </c>
      <c r="B1048" s="46">
        <f t="shared" si="49"/>
        <v>35</v>
      </c>
      <c r="C1048" s="46">
        <f t="shared" si="50"/>
        <v>38</v>
      </c>
      <c r="E1048" s="1" t="s">
        <v>2594</v>
      </c>
      <c r="F1048" s="19" t="s">
        <v>2595</v>
      </c>
      <c r="G1048" s="1" t="s">
        <v>900</v>
      </c>
      <c r="H1048" s="1" t="s">
        <v>2520</v>
      </c>
      <c r="I1048" s="2">
        <v>45169</v>
      </c>
      <c r="J1048" s="3">
        <v>0.62291666666666667</v>
      </c>
      <c r="K1048" s="1" t="s">
        <v>73</v>
      </c>
      <c r="L1048" s="2">
        <v>45187</v>
      </c>
      <c r="N1048" s="19" t="s">
        <v>2596</v>
      </c>
    </row>
    <row r="1049" spans="1:15" ht="57.6" hidden="1" x14ac:dyDescent="0.3">
      <c r="A1049" s="47">
        <f t="shared" si="48"/>
        <v>2023</v>
      </c>
      <c r="B1049" s="46">
        <f t="shared" si="49"/>
        <v>35</v>
      </c>
      <c r="C1049" s="46">
        <f t="shared" si="50"/>
        <v>38</v>
      </c>
      <c r="E1049" s="295" t="s">
        <v>2598</v>
      </c>
      <c r="F1049" s="19" t="s">
        <v>2599</v>
      </c>
      <c r="G1049" s="1" t="s">
        <v>10</v>
      </c>
      <c r="H1049" s="1" t="s">
        <v>2520</v>
      </c>
      <c r="I1049" s="2">
        <v>45169</v>
      </c>
      <c r="J1049" s="3">
        <v>0.59930555555555554</v>
      </c>
      <c r="K1049" s="1" t="s">
        <v>88</v>
      </c>
      <c r="L1049" s="2">
        <v>45188</v>
      </c>
      <c r="M1049" s="3">
        <v>0.68333333333333324</v>
      </c>
      <c r="N1049" s="19" t="s">
        <v>2597</v>
      </c>
      <c r="O1049" s="65"/>
    </row>
    <row r="1050" spans="1:15" ht="28.8" hidden="1" x14ac:dyDescent="0.3">
      <c r="A1050" s="47">
        <f t="shared" si="48"/>
        <v>2023</v>
      </c>
      <c r="B1050" s="46">
        <f t="shared" si="49"/>
        <v>35</v>
      </c>
      <c r="C1050" s="46">
        <f t="shared" si="50"/>
        <v>38</v>
      </c>
      <c r="E1050" s="1" t="s">
        <v>2600</v>
      </c>
      <c r="F1050" s="19" t="s">
        <v>2601</v>
      </c>
      <c r="G1050" s="1" t="s">
        <v>900</v>
      </c>
      <c r="H1050" s="1" t="s">
        <v>2520</v>
      </c>
      <c r="I1050" s="2">
        <v>45169</v>
      </c>
      <c r="J1050" s="3">
        <v>0.42986111111111108</v>
      </c>
      <c r="K1050" s="1" t="s">
        <v>73</v>
      </c>
      <c r="L1050" s="2">
        <v>45188</v>
      </c>
      <c r="M1050" s="3">
        <v>0.62777777777777777</v>
      </c>
      <c r="N1050" s="19" t="s">
        <v>2602</v>
      </c>
    </row>
    <row r="1051" spans="1:15" ht="72" hidden="1" x14ac:dyDescent="0.3">
      <c r="A1051" s="47">
        <f t="shared" si="48"/>
        <v>2023</v>
      </c>
      <c r="B1051" s="46">
        <f t="shared" si="49"/>
        <v>35</v>
      </c>
      <c r="C1051" s="46">
        <f t="shared" si="50"/>
        <v>38</v>
      </c>
      <c r="E1051" s="296" t="s">
        <v>2604</v>
      </c>
      <c r="F1051" s="19" t="s">
        <v>2605</v>
      </c>
      <c r="G1051" s="1" t="s">
        <v>10</v>
      </c>
      <c r="H1051" s="1" t="s">
        <v>2520</v>
      </c>
      <c r="I1051" s="2">
        <v>45169</v>
      </c>
      <c r="J1051" s="3">
        <v>0.60833333333333328</v>
      </c>
      <c r="K1051" s="1" t="s">
        <v>88</v>
      </c>
      <c r="L1051" s="2">
        <v>45189</v>
      </c>
      <c r="M1051" s="3">
        <v>0.51597222222222217</v>
      </c>
      <c r="N1051" s="19" t="s">
        <v>2603</v>
      </c>
      <c r="O1051" s="65"/>
    </row>
    <row r="1052" spans="1:15" ht="57.6" hidden="1" x14ac:dyDescent="0.3">
      <c r="A1052" s="47">
        <f t="shared" si="48"/>
        <v>2023</v>
      </c>
      <c r="B1052" s="46">
        <f t="shared" si="49"/>
        <v>35</v>
      </c>
      <c r="C1052" s="46">
        <f t="shared" si="50"/>
        <v>38</v>
      </c>
      <c r="E1052" s="298" t="s">
        <v>2607</v>
      </c>
      <c r="F1052" s="19" t="s">
        <v>2608</v>
      </c>
      <c r="G1052" s="1" t="s">
        <v>10</v>
      </c>
      <c r="H1052" s="1" t="s">
        <v>2520</v>
      </c>
      <c r="I1052" s="2">
        <v>45170</v>
      </c>
      <c r="J1052" s="3">
        <v>0.70972222222222225</v>
      </c>
      <c r="K1052" s="1" t="s">
        <v>88</v>
      </c>
      <c r="L1052" s="2">
        <v>45189</v>
      </c>
      <c r="M1052" s="3">
        <v>0.67013888888888884</v>
      </c>
      <c r="N1052" s="19" t="s">
        <v>2606</v>
      </c>
      <c r="O1052" s="23"/>
    </row>
    <row r="1053" spans="1:15" ht="57.6" hidden="1" x14ac:dyDescent="0.3">
      <c r="A1053" s="47">
        <f t="shared" si="48"/>
        <v>2023</v>
      </c>
      <c r="B1053" s="46">
        <f t="shared" si="49"/>
        <v>36</v>
      </c>
      <c r="C1053" s="46">
        <f t="shared" si="50"/>
        <v>38</v>
      </c>
      <c r="E1053" s="298" t="s">
        <v>2610</v>
      </c>
      <c r="F1053" s="19" t="s">
        <v>2611</v>
      </c>
      <c r="G1053" s="1" t="s">
        <v>10</v>
      </c>
      <c r="H1053" s="1" t="s">
        <v>2520</v>
      </c>
      <c r="I1053" s="2">
        <v>45173</v>
      </c>
      <c r="J1053" s="3">
        <v>0.4291666666666667</v>
      </c>
      <c r="K1053" s="1" t="s">
        <v>88</v>
      </c>
      <c r="L1053" s="2">
        <v>45189</v>
      </c>
      <c r="M1053" s="3">
        <v>0.70486111111111116</v>
      </c>
      <c r="N1053" s="19" t="s">
        <v>2609</v>
      </c>
      <c r="O1053" s="23"/>
    </row>
    <row r="1054" spans="1:15" ht="72" hidden="1" x14ac:dyDescent="0.3">
      <c r="A1054" s="47">
        <f t="shared" si="48"/>
        <v>2023</v>
      </c>
      <c r="B1054" s="46">
        <f t="shared" si="49"/>
        <v>35</v>
      </c>
      <c r="C1054" s="46">
        <f t="shared" si="50"/>
        <v>38</v>
      </c>
      <c r="E1054" s="296" t="s">
        <v>2613</v>
      </c>
      <c r="F1054" s="19" t="s">
        <v>2614</v>
      </c>
      <c r="G1054" s="1" t="s">
        <v>10</v>
      </c>
      <c r="H1054" s="1" t="s">
        <v>2520</v>
      </c>
      <c r="I1054" s="2">
        <v>45169</v>
      </c>
      <c r="J1054" s="3">
        <v>0.4458333333333333</v>
      </c>
      <c r="K1054" s="1" t="s">
        <v>88</v>
      </c>
      <c r="L1054" s="2">
        <v>45190</v>
      </c>
      <c r="M1054" s="3">
        <v>0.50694444444444442</v>
      </c>
      <c r="N1054" s="19" t="s">
        <v>2612</v>
      </c>
      <c r="O1054" s="65"/>
    </row>
    <row r="1055" spans="1:15" ht="57.6" hidden="1" x14ac:dyDescent="0.3">
      <c r="A1055" s="47">
        <f t="shared" si="48"/>
        <v>2023</v>
      </c>
      <c r="B1055" s="46">
        <f t="shared" si="49"/>
        <v>35</v>
      </c>
      <c r="C1055" s="46">
        <f t="shared" si="50"/>
        <v>38</v>
      </c>
      <c r="E1055" s="296" t="s">
        <v>2615</v>
      </c>
      <c r="F1055" s="19" t="s">
        <v>2599</v>
      </c>
      <c r="G1055" s="1" t="s">
        <v>10</v>
      </c>
      <c r="H1055" s="1" t="s">
        <v>2520</v>
      </c>
      <c r="I1055" s="2">
        <v>45169</v>
      </c>
      <c r="J1055" s="3">
        <v>0.69652777777777775</v>
      </c>
      <c r="K1055" s="1" t="s">
        <v>88</v>
      </c>
      <c r="L1055" s="2">
        <v>45190</v>
      </c>
      <c r="M1055" s="3">
        <v>0.63750000000000007</v>
      </c>
      <c r="N1055" s="93" t="s">
        <v>2616</v>
      </c>
    </row>
    <row r="1056" spans="1:15" ht="57.6" hidden="1" x14ac:dyDescent="0.3">
      <c r="A1056" s="47">
        <f t="shared" si="48"/>
        <v>2023</v>
      </c>
      <c r="B1056" s="46">
        <f t="shared" si="49"/>
        <v>38</v>
      </c>
      <c r="C1056" s="46">
        <f t="shared" si="50"/>
        <v>35</v>
      </c>
      <c r="E1056" s="1" t="s">
        <v>2617</v>
      </c>
      <c r="F1056" s="19" t="s">
        <v>2618</v>
      </c>
      <c r="G1056" s="1" t="s">
        <v>10</v>
      </c>
      <c r="H1056" s="1" t="s">
        <v>2520</v>
      </c>
      <c r="I1056" s="2">
        <v>45188</v>
      </c>
      <c r="J1056" s="3">
        <v>0.33194444444444443</v>
      </c>
      <c r="K1056" s="1" t="s">
        <v>88</v>
      </c>
      <c r="L1056" s="2">
        <v>45170</v>
      </c>
      <c r="M1056" s="3">
        <v>0.66041666666666665</v>
      </c>
      <c r="N1056" s="19" t="s">
        <v>2583</v>
      </c>
    </row>
    <row r="1057" spans="1:14" ht="158.4" hidden="1" x14ac:dyDescent="0.3">
      <c r="A1057" s="47">
        <f t="shared" si="48"/>
        <v>2023</v>
      </c>
      <c r="B1057" s="46">
        <f t="shared" si="49"/>
        <v>35</v>
      </c>
      <c r="C1057" s="46">
        <f t="shared" si="50"/>
        <v>39</v>
      </c>
      <c r="E1057" s="1" t="s">
        <v>2619</v>
      </c>
      <c r="F1057" s="19" t="s">
        <v>2620</v>
      </c>
      <c r="G1057" s="1" t="s">
        <v>900</v>
      </c>
      <c r="H1057" s="1" t="s">
        <v>2520</v>
      </c>
      <c r="I1057" s="2">
        <v>45171</v>
      </c>
      <c r="J1057" s="3">
        <v>0.50624999999999998</v>
      </c>
      <c r="K1057" s="1" t="s">
        <v>73</v>
      </c>
      <c r="L1057" s="2">
        <v>45195</v>
      </c>
      <c r="M1057" s="3">
        <v>0.46249999999999997</v>
      </c>
      <c r="N1057" s="19" t="s">
        <v>2621</v>
      </c>
    </row>
    <row r="1058" spans="1:14" ht="43.2" hidden="1" x14ac:dyDescent="0.3">
      <c r="A1058" s="47">
        <f t="shared" si="48"/>
        <v>2023</v>
      </c>
      <c r="B1058" s="46">
        <f t="shared" si="49"/>
        <v>37</v>
      </c>
      <c r="C1058" s="46">
        <f t="shared" si="50"/>
        <v>39</v>
      </c>
      <c r="E1058" s="1" t="s">
        <v>2622</v>
      </c>
      <c r="F1058" s="19" t="s">
        <v>2623</v>
      </c>
      <c r="G1058" s="1" t="s">
        <v>900</v>
      </c>
      <c r="H1058" s="1" t="s">
        <v>2520</v>
      </c>
      <c r="I1058" s="2">
        <v>45183</v>
      </c>
      <c r="J1058" s="3">
        <v>0.45694444444444443</v>
      </c>
      <c r="K1058" s="1" t="s">
        <v>73</v>
      </c>
      <c r="L1058" s="2">
        <v>45195</v>
      </c>
      <c r="M1058" s="3">
        <v>0.60486111111111118</v>
      </c>
      <c r="N1058" s="19" t="s">
        <v>2624</v>
      </c>
    </row>
    <row r="1059" spans="1:14" ht="115.2" hidden="1" x14ac:dyDescent="0.3">
      <c r="A1059" s="47" t="e">
        <f t="shared" si="48"/>
        <v>#VALUE!</v>
      </c>
      <c r="B1059" s="46">
        <f t="shared" si="49"/>
        <v>37</v>
      </c>
      <c r="C1059" s="46" t="e">
        <f t="shared" si="50"/>
        <v>#VALUE!</v>
      </c>
      <c r="E1059" s="1" t="s">
        <v>2625</v>
      </c>
      <c r="F1059" s="19" t="s">
        <v>2626</v>
      </c>
      <c r="G1059" s="1" t="s">
        <v>900</v>
      </c>
      <c r="H1059" s="1" t="s">
        <v>2520</v>
      </c>
      <c r="I1059" s="2">
        <v>45183</v>
      </c>
      <c r="J1059" s="3">
        <v>0.45694444444444443</v>
      </c>
      <c r="K1059" s="1" t="s">
        <v>73</v>
      </c>
      <c r="L1059" s="34" t="s">
        <v>2644</v>
      </c>
      <c r="M1059" s="28" t="s">
        <v>2645</v>
      </c>
      <c r="N1059" s="19" t="s">
        <v>2646</v>
      </c>
    </row>
    <row r="1060" spans="1:14" ht="100.8" hidden="1" x14ac:dyDescent="0.3">
      <c r="A1060" s="47">
        <f t="shared" si="48"/>
        <v>2023</v>
      </c>
      <c r="B1060" s="46">
        <f t="shared" si="49"/>
        <v>38</v>
      </c>
      <c r="C1060" s="46">
        <f t="shared" si="50"/>
        <v>39</v>
      </c>
      <c r="E1060" s="38" t="s">
        <v>2628</v>
      </c>
      <c r="F1060" s="19" t="s">
        <v>2629</v>
      </c>
      <c r="G1060" s="1" t="s">
        <v>9</v>
      </c>
      <c r="H1060" s="1" t="s">
        <v>2520</v>
      </c>
      <c r="I1060" s="2">
        <v>45188</v>
      </c>
      <c r="J1060" s="3">
        <v>0.3444444444444445</v>
      </c>
      <c r="K1060" s="1" t="s">
        <v>88</v>
      </c>
      <c r="L1060" s="2">
        <v>45197</v>
      </c>
      <c r="M1060" s="3">
        <v>0.73819444444444438</v>
      </c>
      <c r="N1060" s="19" t="s">
        <v>2627</v>
      </c>
    </row>
    <row r="1061" spans="1:14" ht="57.6" hidden="1" x14ac:dyDescent="0.3">
      <c r="A1061" s="47">
        <f t="shared" si="48"/>
        <v>2023</v>
      </c>
      <c r="B1061" s="46">
        <f t="shared" si="49"/>
        <v>35</v>
      </c>
      <c r="C1061" s="46">
        <f t="shared" si="50"/>
        <v>39</v>
      </c>
      <c r="E1061" s="1" t="s">
        <v>2630</v>
      </c>
      <c r="F1061" s="19" t="s">
        <v>2632</v>
      </c>
      <c r="G1061" s="1" t="s">
        <v>10</v>
      </c>
      <c r="H1061" s="1" t="s">
        <v>2520</v>
      </c>
      <c r="I1061" s="2">
        <v>45170</v>
      </c>
      <c r="J1061" s="3">
        <v>0.71527777777777779</v>
      </c>
      <c r="K1061" s="1" t="s">
        <v>88</v>
      </c>
      <c r="L1061" s="2">
        <v>45198</v>
      </c>
      <c r="M1061" s="3">
        <v>0.61319444444444449</v>
      </c>
      <c r="N1061" s="19" t="s">
        <v>2631</v>
      </c>
    </row>
    <row r="1062" spans="1:14" ht="86.4" hidden="1" x14ac:dyDescent="0.3">
      <c r="A1062" s="47">
        <f t="shared" si="48"/>
        <v>2023</v>
      </c>
      <c r="B1062" s="46">
        <f t="shared" si="49"/>
        <v>37</v>
      </c>
      <c r="C1062" s="46">
        <f t="shared" si="50"/>
        <v>39</v>
      </c>
      <c r="E1062" s="1" t="s">
        <v>2633</v>
      </c>
      <c r="F1062" s="19" t="s">
        <v>2634</v>
      </c>
      <c r="G1062" s="1" t="s">
        <v>10</v>
      </c>
      <c r="H1062" s="1" t="s">
        <v>2520</v>
      </c>
      <c r="I1062" s="2">
        <v>45183</v>
      </c>
      <c r="J1062" s="3">
        <v>0.41875000000000001</v>
      </c>
      <c r="K1062" s="1" t="s">
        <v>88</v>
      </c>
      <c r="L1062" s="2">
        <v>45198</v>
      </c>
      <c r="M1062" s="3">
        <v>0.61319444444444449</v>
      </c>
      <c r="N1062" s="19" t="s">
        <v>2635</v>
      </c>
    </row>
    <row r="1063" spans="1:14" ht="86.4" hidden="1" x14ac:dyDescent="0.3">
      <c r="A1063" s="47">
        <f t="shared" si="48"/>
        <v>2023</v>
      </c>
      <c r="B1063" s="46">
        <f t="shared" si="49"/>
        <v>37</v>
      </c>
      <c r="C1063" s="46">
        <f t="shared" si="50"/>
        <v>39</v>
      </c>
      <c r="E1063" s="1" t="s">
        <v>2636</v>
      </c>
      <c r="F1063" s="19" t="s">
        <v>2637</v>
      </c>
      <c r="G1063" s="1" t="s">
        <v>10</v>
      </c>
      <c r="H1063" s="1" t="s">
        <v>2520</v>
      </c>
      <c r="I1063" s="2">
        <v>45183</v>
      </c>
      <c r="J1063" s="3">
        <v>0.42569444444444443</v>
      </c>
      <c r="K1063" s="1" t="s">
        <v>88</v>
      </c>
      <c r="L1063" s="2">
        <v>45198</v>
      </c>
      <c r="M1063" s="3">
        <v>0.64097222222222217</v>
      </c>
      <c r="N1063" s="19" t="s">
        <v>2635</v>
      </c>
    </row>
    <row r="1064" spans="1:14" ht="115.2" hidden="1" x14ac:dyDescent="0.3">
      <c r="A1064" s="47">
        <f t="shared" si="48"/>
        <v>2023</v>
      </c>
      <c r="B1064" s="46">
        <f t="shared" si="49"/>
        <v>38</v>
      </c>
      <c r="C1064" s="46">
        <f t="shared" si="50"/>
        <v>40</v>
      </c>
      <c r="E1064" s="38" t="s">
        <v>2638</v>
      </c>
      <c r="F1064" s="19" t="s">
        <v>2639</v>
      </c>
      <c r="G1064" s="1" t="s">
        <v>10</v>
      </c>
      <c r="H1064" s="1" t="s">
        <v>2520</v>
      </c>
      <c r="I1064" s="2">
        <v>45188</v>
      </c>
      <c r="J1064" s="3">
        <v>0.33263888888888887</v>
      </c>
      <c r="K1064" s="1" t="s">
        <v>88</v>
      </c>
      <c r="L1064" s="2">
        <v>45201</v>
      </c>
      <c r="M1064" s="3">
        <v>0.49861111111111112</v>
      </c>
      <c r="N1064" s="19" t="s">
        <v>2640</v>
      </c>
    </row>
    <row r="1065" spans="1:14" ht="115.2" hidden="1" x14ac:dyDescent="0.3">
      <c r="A1065" s="47">
        <f t="shared" si="48"/>
        <v>2023</v>
      </c>
      <c r="B1065" s="46">
        <f t="shared" si="49"/>
        <v>37</v>
      </c>
      <c r="C1065" s="46">
        <f t="shared" si="50"/>
        <v>40</v>
      </c>
      <c r="E1065" s="1" t="s">
        <v>2641</v>
      </c>
      <c r="F1065" s="19" t="s">
        <v>2642</v>
      </c>
      <c r="G1065" s="1" t="s">
        <v>900</v>
      </c>
      <c r="H1065" s="1" t="s">
        <v>2520</v>
      </c>
      <c r="I1065" s="2">
        <v>45184</v>
      </c>
      <c r="J1065" s="3">
        <v>0.46249999999999997</v>
      </c>
      <c r="K1065" s="1" t="s">
        <v>73</v>
      </c>
      <c r="L1065" s="2">
        <v>45202</v>
      </c>
      <c r="M1065" s="3">
        <v>0.62083333333333335</v>
      </c>
      <c r="N1065" s="19" t="s">
        <v>2643</v>
      </c>
    </row>
    <row r="1066" spans="1:14" ht="43.2" hidden="1" x14ac:dyDescent="0.3">
      <c r="A1066" s="47">
        <f t="shared" si="48"/>
        <v>2023</v>
      </c>
      <c r="B1066" s="46">
        <f t="shared" si="49"/>
        <v>37</v>
      </c>
      <c r="C1066" s="46">
        <f t="shared" si="50"/>
        <v>40</v>
      </c>
      <c r="E1066" s="1" t="s">
        <v>2647</v>
      </c>
      <c r="F1066" s="19" t="s">
        <v>2648</v>
      </c>
      <c r="G1066" s="1" t="s">
        <v>900</v>
      </c>
      <c r="H1066" s="1" t="s">
        <v>2520</v>
      </c>
      <c r="I1066" s="2">
        <v>45184</v>
      </c>
      <c r="J1066" s="3">
        <v>0.46249999999999997</v>
      </c>
      <c r="K1066" s="1" t="s">
        <v>73</v>
      </c>
      <c r="L1066" s="2">
        <v>45203</v>
      </c>
      <c r="M1066" s="3">
        <v>0.22569444444444445</v>
      </c>
      <c r="N1066" s="19" t="s">
        <v>2649</v>
      </c>
    </row>
    <row r="1067" spans="1:14" ht="72" hidden="1" x14ac:dyDescent="0.3">
      <c r="A1067" s="47">
        <f t="shared" si="48"/>
        <v>2023</v>
      </c>
      <c r="B1067" s="46">
        <f t="shared" si="49"/>
        <v>37</v>
      </c>
      <c r="C1067" s="46">
        <f t="shared" si="50"/>
        <v>40</v>
      </c>
      <c r="E1067" s="1" t="s">
        <v>2650</v>
      </c>
      <c r="F1067" s="19" t="s">
        <v>2186</v>
      </c>
      <c r="G1067" s="1" t="s">
        <v>900</v>
      </c>
      <c r="H1067" s="1" t="s">
        <v>2520</v>
      </c>
      <c r="I1067" s="2">
        <v>45184</v>
      </c>
      <c r="J1067" s="3">
        <v>0.46249999999999997</v>
      </c>
      <c r="K1067" s="1" t="s">
        <v>73</v>
      </c>
      <c r="L1067" s="2">
        <v>45203</v>
      </c>
      <c r="M1067" s="3">
        <v>0.37291666666666662</v>
      </c>
      <c r="N1067" s="19" t="s">
        <v>2651</v>
      </c>
    </row>
    <row r="1068" spans="1:14" ht="100.8" hidden="1" x14ac:dyDescent="0.3">
      <c r="A1068" s="47">
        <f t="shared" si="48"/>
        <v>2023</v>
      </c>
      <c r="B1068" s="46">
        <f t="shared" si="49"/>
        <v>39</v>
      </c>
      <c r="C1068" s="46">
        <f t="shared" si="50"/>
        <v>40</v>
      </c>
      <c r="E1068" s="1" t="s">
        <v>2653</v>
      </c>
      <c r="F1068" s="19" t="s">
        <v>2652</v>
      </c>
      <c r="G1068" s="1" t="s">
        <v>10</v>
      </c>
      <c r="H1068" s="1" t="s">
        <v>2520</v>
      </c>
      <c r="I1068" s="2">
        <v>45197</v>
      </c>
      <c r="J1068" s="3">
        <v>0.3833333333333333</v>
      </c>
      <c r="K1068" s="1" t="s">
        <v>88</v>
      </c>
      <c r="L1068" s="2">
        <v>45203</v>
      </c>
      <c r="M1068" s="3">
        <v>0.63055555555555554</v>
      </c>
      <c r="N1068" s="19" t="s">
        <v>2654</v>
      </c>
    </row>
    <row r="1069" spans="1:14" ht="100.8" hidden="1" x14ac:dyDescent="0.3">
      <c r="A1069" s="47">
        <f t="shared" si="48"/>
        <v>2023</v>
      </c>
      <c r="B1069" s="46">
        <f t="shared" si="49"/>
        <v>38</v>
      </c>
      <c r="C1069" s="46">
        <f t="shared" si="50"/>
        <v>41</v>
      </c>
      <c r="E1069" s="38" t="s">
        <v>2655</v>
      </c>
      <c r="F1069" s="19" t="s">
        <v>2659</v>
      </c>
      <c r="G1069" s="1" t="s">
        <v>10</v>
      </c>
      <c r="H1069" s="1" t="s">
        <v>2520</v>
      </c>
      <c r="I1069" s="2">
        <v>45188</v>
      </c>
      <c r="J1069" s="3">
        <v>0.33333333333333331</v>
      </c>
      <c r="K1069" s="1" t="s">
        <v>88</v>
      </c>
      <c r="L1069" s="2">
        <v>45208</v>
      </c>
      <c r="M1069" s="3">
        <v>0.54722222222222217</v>
      </c>
      <c r="N1069" s="19" t="s">
        <v>2656</v>
      </c>
    </row>
    <row r="1070" spans="1:14" ht="115.2" hidden="1" x14ac:dyDescent="0.3">
      <c r="A1070" s="47">
        <f t="shared" si="48"/>
        <v>2023</v>
      </c>
      <c r="B1070" s="46">
        <f t="shared" si="49"/>
        <v>38</v>
      </c>
      <c r="C1070" s="46">
        <f t="shared" si="50"/>
        <v>41</v>
      </c>
      <c r="E1070" s="38" t="s">
        <v>2660</v>
      </c>
      <c r="F1070" s="19" t="s">
        <v>2658</v>
      </c>
      <c r="G1070" s="1" t="s">
        <v>10</v>
      </c>
      <c r="H1070" s="1" t="s">
        <v>2520</v>
      </c>
      <c r="I1070" s="2">
        <v>45188</v>
      </c>
      <c r="J1070" s="3">
        <v>0.33333333333333331</v>
      </c>
      <c r="K1070" s="1" t="s">
        <v>88</v>
      </c>
      <c r="L1070" s="2">
        <v>45208</v>
      </c>
      <c r="M1070" s="3">
        <v>0.6791666666666667</v>
      </c>
      <c r="N1070" s="19" t="s">
        <v>2657</v>
      </c>
    </row>
    <row r="1071" spans="1:14" ht="100.8" hidden="1" x14ac:dyDescent="0.3">
      <c r="A1071" s="47">
        <f t="shared" si="48"/>
        <v>2023</v>
      </c>
      <c r="B1071" s="46">
        <f t="shared" si="49"/>
        <v>39</v>
      </c>
      <c r="C1071" s="46">
        <f t="shared" si="50"/>
        <v>41</v>
      </c>
      <c r="E1071" s="1" t="s">
        <v>2662</v>
      </c>
      <c r="F1071" s="19" t="s">
        <v>2661</v>
      </c>
      <c r="G1071" s="1" t="s">
        <v>10</v>
      </c>
      <c r="H1071" s="1" t="s">
        <v>2520</v>
      </c>
      <c r="I1071" s="2">
        <v>45198</v>
      </c>
      <c r="J1071" s="3">
        <v>0.50416666666666665</v>
      </c>
      <c r="K1071" s="1" t="s">
        <v>88</v>
      </c>
      <c r="L1071" s="2">
        <v>45208</v>
      </c>
      <c r="M1071" s="3">
        <v>0.75763888888888886</v>
      </c>
      <c r="N1071" s="19" t="s">
        <v>2669</v>
      </c>
    </row>
    <row r="1072" spans="1:14" ht="144" hidden="1" x14ac:dyDescent="0.3">
      <c r="A1072" s="47">
        <f t="shared" si="48"/>
        <v>2023</v>
      </c>
      <c r="B1072" s="46">
        <f t="shared" si="49"/>
        <v>39</v>
      </c>
      <c r="C1072" s="46">
        <f t="shared" si="50"/>
        <v>41</v>
      </c>
      <c r="E1072" s="38" t="s">
        <v>2665</v>
      </c>
      <c r="F1072" s="19" t="s">
        <v>2664</v>
      </c>
      <c r="G1072" s="1" t="s">
        <v>10</v>
      </c>
      <c r="H1072" s="1" t="s">
        <v>2520</v>
      </c>
      <c r="I1072" s="2">
        <v>45198</v>
      </c>
      <c r="J1072" s="3">
        <v>0.56319444444444444</v>
      </c>
      <c r="K1072" s="1" t="s">
        <v>88</v>
      </c>
      <c r="L1072" s="2">
        <v>45209</v>
      </c>
      <c r="M1072" s="3">
        <v>0.58124999999999993</v>
      </c>
      <c r="N1072" s="19" t="s">
        <v>2663</v>
      </c>
    </row>
    <row r="1073" spans="1:15" ht="266.25" hidden="1" customHeight="1" x14ac:dyDescent="0.3">
      <c r="A1073" s="47">
        <f t="shared" si="48"/>
        <v>2023</v>
      </c>
      <c r="B1073" s="46">
        <f t="shared" si="49"/>
        <v>40</v>
      </c>
      <c r="C1073" s="46">
        <f t="shared" si="50"/>
        <v>41</v>
      </c>
      <c r="E1073" s="298" t="s">
        <v>2666</v>
      </c>
      <c r="F1073" s="19" t="s">
        <v>2667</v>
      </c>
      <c r="G1073" s="1" t="s">
        <v>10</v>
      </c>
      <c r="H1073" s="1" t="s">
        <v>2520</v>
      </c>
      <c r="I1073" s="2">
        <v>45202</v>
      </c>
      <c r="J1073" s="3">
        <v>0.36805555555555558</v>
      </c>
      <c r="K1073" s="1" t="s">
        <v>88</v>
      </c>
      <c r="L1073" s="2">
        <v>45210</v>
      </c>
      <c r="M1073" s="3">
        <v>0.51944444444444449</v>
      </c>
      <c r="N1073" s="19" t="s">
        <v>2668</v>
      </c>
      <c r="O1073" s="23"/>
    </row>
    <row r="1074" spans="1:15" ht="144" hidden="1" x14ac:dyDescent="0.3">
      <c r="A1074" s="47">
        <f t="shared" si="48"/>
        <v>2023</v>
      </c>
      <c r="B1074" s="46">
        <f t="shared" si="49"/>
        <v>40</v>
      </c>
      <c r="C1074" s="46">
        <f t="shared" si="50"/>
        <v>41</v>
      </c>
      <c r="E1074" s="99" t="s">
        <v>2671</v>
      </c>
      <c r="F1074" s="19" t="s">
        <v>2672</v>
      </c>
      <c r="G1074" s="1" t="s">
        <v>10</v>
      </c>
      <c r="H1074" s="1" t="s">
        <v>2520</v>
      </c>
      <c r="I1074" s="2">
        <v>45202</v>
      </c>
      <c r="J1074" s="3">
        <v>0.36944444444444446</v>
      </c>
      <c r="K1074" s="1" t="s">
        <v>88</v>
      </c>
      <c r="L1074" s="2">
        <v>45210</v>
      </c>
      <c r="M1074" s="3">
        <v>0.74652777777777779</v>
      </c>
      <c r="N1074" s="19" t="s">
        <v>2670</v>
      </c>
      <c r="O1074" s="65"/>
    </row>
    <row r="1075" spans="1:15" ht="152.55000000000001" hidden="1" customHeight="1" x14ac:dyDescent="0.3">
      <c r="A1075" s="47">
        <f t="shared" si="48"/>
        <v>2023</v>
      </c>
      <c r="B1075" s="46">
        <f t="shared" si="49"/>
        <v>40</v>
      </c>
      <c r="C1075" s="46">
        <f t="shared" si="50"/>
        <v>42</v>
      </c>
      <c r="E1075" s="1" t="s">
        <v>2677</v>
      </c>
      <c r="F1075" s="19" t="s">
        <v>2678</v>
      </c>
      <c r="G1075" s="1" t="s">
        <v>900</v>
      </c>
      <c r="H1075" s="1" t="s">
        <v>2520</v>
      </c>
      <c r="I1075" s="2">
        <v>45203</v>
      </c>
      <c r="J1075" s="3">
        <v>0.71875</v>
      </c>
      <c r="K1075" s="1" t="s">
        <v>73</v>
      </c>
      <c r="L1075" s="2">
        <v>45216</v>
      </c>
      <c r="M1075" s="3">
        <v>0.38055555555555554</v>
      </c>
      <c r="N1075" s="19" t="s">
        <v>2679</v>
      </c>
    </row>
    <row r="1076" spans="1:15" ht="86.4" hidden="1" x14ac:dyDescent="0.3">
      <c r="A1076" s="47">
        <f t="shared" si="48"/>
        <v>2023</v>
      </c>
      <c r="B1076" s="46">
        <f t="shared" si="49"/>
        <v>41</v>
      </c>
      <c r="C1076" s="46">
        <f t="shared" si="50"/>
        <v>42</v>
      </c>
      <c r="E1076" s="4" t="s">
        <v>2680</v>
      </c>
      <c r="F1076" s="286" t="s">
        <v>2681</v>
      </c>
      <c r="G1076" s="1" t="s">
        <v>900</v>
      </c>
      <c r="H1076" s="1" t="s">
        <v>2682</v>
      </c>
      <c r="I1076" s="2">
        <v>45209</v>
      </c>
      <c r="J1076" s="3">
        <v>0.36388888888888887</v>
      </c>
      <c r="K1076" s="1" t="s">
        <v>73</v>
      </c>
      <c r="L1076" s="2">
        <v>45216</v>
      </c>
      <c r="M1076" s="3">
        <v>0.43888888888888888</v>
      </c>
      <c r="N1076" s="19" t="s">
        <v>2683</v>
      </c>
    </row>
    <row r="1077" spans="1:15" ht="28.8" hidden="1" x14ac:dyDescent="0.3">
      <c r="A1077" s="47">
        <f t="shared" si="48"/>
        <v>2023</v>
      </c>
      <c r="B1077" s="46">
        <f t="shared" si="49"/>
        <v>41</v>
      </c>
      <c r="C1077" s="46">
        <f t="shared" si="50"/>
        <v>42</v>
      </c>
      <c r="E1077" s="1" t="s">
        <v>2684</v>
      </c>
      <c r="F1077" s="19" t="s">
        <v>2685</v>
      </c>
      <c r="G1077" s="1" t="s">
        <v>900</v>
      </c>
      <c r="H1077" s="1" t="s">
        <v>2520</v>
      </c>
      <c r="I1077" s="2">
        <v>45210</v>
      </c>
      <c r="J1077" s="3">
        <v>0.32777777777777778</v>
      </c>
      <c r="K1077" s="1" t="s">
        <v>73</v>
      </c>
      <c r="L1077" s="2">
        <v>45216</v>
      </c>
      <c r="M1077" s="3">
        <v>0.4597222222222222</v>
      </c>
      <c r="N1077" s="19" t="s">
        <v>2686</v>
      </c>
    </row>
    <row r="1078" spans="1:15" ht="28.8" hidden="1" x14ac:dyDescent="0.3">
      <c r="A1078" s="47">
        <f t="shared" si="48"/>
        <v>2023</v>
      </c>
      <c r="B1078" s="46">
        <f t="shared" si="49"/>
        <v>39</v>
      </c>
      <c r="C1078" s="46">
        <f t="shared" si="50"/>
        <v>42</v>
      </c>
      <c r="E1078" s="1" t="s">
        <v>2687</v>
      </c>
      <c r="F1078" s="19" t="s">
        <v>2290</v>
      </c>
      <c r="G1078" s="1" t="s">
        <v>900</v>
      </c>
      <c r="H1078" s="1" t="s">
        <v>2520</v>
      </c>
      <c r="I1078" s="2">
        <v>45197</v>
      </c>
      <c r="J1078" s="3">
        <v>0.37013888888888885</v>
      </c>
      <c r="K1078" s="1" t="s">
        <v>73</v>
      </c>
      <c r="L1078" s="2">
        <v>45216</v>
      </c>
      <c r="M1078" s="3">
        <v>0.4993055555555555</v>
      </c>
      <c r="N1078" s="19" t="s">
        <v>2688</v>
      </c>
    </row>
    <row r="1079" spans="1:15" ht="129.6" hidden="1" x14ac:dyDescent="0.3">
      <c r="A1079" s="47">
        <f t="shared" si="48"/>
        <v>2023</v>
      </c>
      <c r="B1079" s="46">
        <f t="shared" si="49"/>
        <v>39</v>
      </c>
      <c r="C1079" s="46">
        <f t="shared" si="50"/>
        <v>42</v>
      </c>
      <c r="E1079" s="1" t="s">
        <v>2689</v>
      </c>
      <c r="F1079" s="19" t="s">
        <v>2690</v>
      </c>
      <c r="G1079" s="1" t="s">
        <v>900</v>
      </c>
      <c r="H1079" s="1" t="s">
        <v>2520</v>
      </c>
      <c r="I1079" s="2">
        <v>45198</v>
      </c>
      <c r="J1079" s="3">
        <v>0.46388888888888885</v>
      </c>
      <c r="K1079" s="1" t="s">
        <v>73</v>
      </c>
      <c r="L1079" s="2">
        <v>45216</v>
      </c>
      <c r="M1079" s="3">
        <v>0.51944444444444449</v>
      </c>
      <c r="N1079" s="19" t="s">
        <v>2691</v>
      </c>
    </row>
    <row r="1080" spans="1:15" ht="28.8" hidden="1" x14ac:dyDescent="0.3">
      <c r="A1080" s="47">
        <f t="shared" si="48"/>
        <v>2023</v>
      </c>
      <c r="B1080" s="46">
        <f t="shared" si="49"/>
        <v>39</v>
      </c>
      <c r="C1080" s="46">
        <f t="shared" si="50"/>
        <v>42</v>
      </c>
      <c r="E1080" s="1" t="s">
        <v>2692</v>
      </c>
      <c r="F1080" s="19" t="s">
        <v>2269</v>
      </c>
      <c r="G1080" s="1" t="s">
        <v>900</v>
      </c>
      <c r="H1080" s="1" t="s">
        <v>2520</v>
      </c>
      <c r="I1080" s="2">
        <v>45198</v>
      </c>
      <c r="J1080" s="3">
        <v>0.49027777777777781</v>
      </c>
      <c r="K1080" s="1" t="s">
        <v>73</v>
      </c>
      <c r="L1080" s="2">
        <v>45216</v>
      </c>
      <c r="M1080" s="3">
        <v>0.5229166666666667</v>
      </c>
      <c r="N1080" s="19" t="s">
        <v>2693</v>
      </c>
    </row>
    <row r="1081" spans="1:15" ht="57.6" hidden="1" x14ac:dyDescent="0.3">
      <c r="A1081" s="47">
        <f t="shared" si="48"/>
        <v>2023</v>
      </c>
      <c r="B1081" s="46">
        <f t="shared" si="49"/>
        <v>40</v>
      </c>
      <c r="C1081" s="46">
        <f t="shared" si="50"/>
        <v>42</v>
      </c>
      <c r="E1081" s="1" t="s">
        <v>2694</v>
      </c>
      <c r="F1081" s="19" t="s">
        <v>2695</v>
      </c>
      <c r="G1081" s="1" t="s">
        <v>10</v>
      </c>
      <c r="H1081" s="1" t="s">
        <v>2520</v>
      </c>
      <c r="I1081" s="2">
        <v>45205</v>
      </c>
      <c r="J1081" s="3">
        <v>0.69861111111111107</v>
      </c>
      <c r="K1081" s="1" t="s">
        <v>88</v>
      </c>
      <c r="L1081" s="2">
        <v>45219</v>
      </c>
      <c r="M1081" s="3">
        <v>0.60763888888888895</v>
      </c>
      <c r="N1081" s="19" t="s">
        <v>2696</v>
      </c>
    </row>
    <row r="1082" spans="1:15" ht="57.6" hidden="1" x14ac:dyDescent="0.3">
      <c r="A1082" s="47">
        <f t="shared" si="48"/>
        <v>2023</v>
      </c>
      <c r="B1082" s="46">
        <f t="shared" si="49"/>
        <v>41</v>
      </c>
      <c r="C1082" s="46">
        <f t="shared" si="50"/>
        <v>42</v>
      </c>
      <c r="E1082" s="1" t="s">
        <v>2699</v>
      </c>
      <c r="F1082" s="19" t="s">
        <v>2698</v>
      </c>
      <c r="G1082" s="1" t="s">
        <v>10</v>
      </c>
      <c r="H1082" s="1" t="s">
        <v>2520</v>
      </c>
      <c r="I1082" s="2">
        <v>45210</v>
      </c>
      <c r="J1082" s="3">
        <v>0.69861111111111107</v>
      </c>
      <c r="K1082" s="1" t="s">
        <v>88</v>
      </c>
      <c r="L1082" s="2">
        <v>45219</v>
      </c>
      <c r="M1082" s="3">
        <v>0.64166666666666672</v>
      </c>
      <c r="N1082" s="19" t="s">
        <v>2697</v>
      </c>
    </row>
    <row r="1083" spans="1:15" ht="86.4" hidden="1" x14ac:dyDescent="0.3">
      <c r="A1083" s="47">
        <f t="shared" si="48"/>
        <v>2023</v>
      </c>
      <c r="B1083" s="46">
        <f t="shared" si="49"/>
        <v>40</v>
      </c>
      <c r="C1083" s="46">
        <f t="shared" si="50"/>
        <v>42</v>
      </c>
      <c r="E1083" s="1" t="s">
        <v>2700</v>
      </c>
      <c r="F1083" s="19" t="s">
        <v>2701</v>
      </c>
      <c r="G1083" s="1" t="s">
        <v>10</v>
      </c>
      <c r="H1083" s="1" t="s">
        <v>2520</v>
      </c>
      <c r="I1083" s="2">
        <v>45205</v>
      </c>
      <c r="J1083" s="3">
        <v>0.69305555555555554</v>
      </c>
      <c r="K1083" s="1" t="s">
        <v>88</v>
      </c>
      <c r="L1083" s="2">
        <v>45219</v>
      </c>
      <c r="M1083" s="3">
        <v>0.65416666666666667</v>
      </c>
      <c r="N1083" s="19" t="s">
        <v>2702</v>
      </c>
    </row>
    <row r="1084" spans="1:15" ht="129.6" hidden="1" x14ac:dyDescent="0.3">
      <c r="A1084" s="47">
        <f t="shared" si="48"/>
        <v>2023</v>
      </c>
      <c r="B1084" s="46">
        <f t="shared" si="49"/>
        <v>42</v>
      </c>
      <c r="C1084" s="46">
        <f t="shared" si="50"/>
        <v>42</v>
      </c>
      <c r="E1084" s="271" t="s">
        <v>2704</v>
      </c>
      <c r="F1084" s="19" t="s">
        <v>2705</v>
      </c>
      <c r="G1084" s="1" t="s">
        <v>10</v>
      </c>
      <c r="H1084" s="1" t="s">
        <v>2520</v>
      </c>
      <c r="I1084" s="2">
        <v>45217</v>
      </c>
      <c r="J1084" s="3">
        <v>0.36388888888888887</v>
      </c>
      <c r="K1084" s="1" t="s">
        <v>88</v>
      </c>
      <c r="L1084" s="2">
        <v>45220</v>
      </c>
      <c r="M1084" s="3">
        <v>0.4680555555555555</v>
      </c>
      <c r="N1084" s="19" t="s">
        <v>2703</v>
      </c>
      <c r="O1084" s="23"/>
    </row>
    <row r="1085" spans="1:15" ht="86.4" hidden="1" x14ac:dyDescent="0.3">
      <c r="A1085" s="47">
        <f t="shared" si="48"/>
        <v>2023</v>
      </c>
      <c r="B1085" s="46">
        <f t="shared" si="49"/>
        <v>42</v>
      </c>
      <c r="C1085" s="46">
        <f t="shared" si="50"/>
        <v>42</v>
      </c>
      <c r="E1085" s="271" t="s">
        <v>2708</v>
      </c>
      <c r="F1085" s="19" t="s">
        <v>2707</v>
      </c>
      <c r="G1085" s="1" t="s">
        <v>10</v>
      </c>
      <c r="H1085" s="1" t="s">
        <v>2520</v>
      </c>
      <c r="I1085" s="2">
        <v>45217</v>
      </c>
      <c r="J1085" s="3">
        <v>0.37152777777777773</v>
      </c>
      <c r="K1085" s="1" t="s">
        <v>88</v>
      </c>
      <c r="L1085" s="2">
        <v>45220</v>
      </c>
      <c r="M1085" s="3">
        <v>0.57708333333333328</v>
      </c>
      <c r="N1085" s="19" t="s">
        <v>2706</v>
      </c>
      <c r="O1085" s="23"/>
    </row>
    <row r="1086" spans="1:15" ht="129.6" hidden="1" x14ac:dyDescent="0.3">
      <c r="A1086" s="47">
        <f t="shared" si="48"/>
        <v>2023</v>
      </c>
      <c r="B1086" s="46">
        <f t="shared" si="49"/>
        <v>38</v>
      </c>
      <c r="C1086" s="46">
        <f t="shared" si="50"/>
        <v>42</v>
      </c>
      <c r="E1086" s="38" t="s">
        <v>2710</v>
      </c>
      <c r="F1086" s="19" t="s">
        <v>2711</v>
      </c>
      <c r="G1086" s="1" t="s">
        <v>10</v>
      </c>
      <c r="H1086" s="1" t="s">
        <v>2520</v>
      </c>
      <c r="I1086" s="2">
        <v>45188</v>
      </c>
      <c r="J1086" s="3">
        <v>0.33402777777777781</v>
      </c>
      <c r="K1086" s="1" t="s">
        <v>88</v>
      </c>
      <c r="L1086" s="2">
        <v>45220</v>
      </c>
      <c r="M1086" s="3">
        <v>0.65763888888888888</v>
      </c>
      <c r="N1086" s="19" t="s">
        <v>2709</v>
      </c>
    </row>
    <row r="1087" spans="1:15" ht="115.2" hidden="1" x14ac:dyDescent="0.3">
      <c r="A1087" s="47">
        <f t="shared" si="48"/>
        <v>2023</v>
      </c>
      <c r="B1087" s="46">
        <f t="shared" si="49"/>
        <v>38</v>
      </c>
      <c r="C1087" s="46">
        <f t="shared" si="50"/>
        <v>42</v>
      </c>
      <c r="E1087" s="38" t="s">
        <v>2713</v>
      </c>
      <c r="F1087" s="19" t="s">
        <v>2714</v>
      </c>
      <c r="G1087" s="1" t="s">
        <v>10</v>
      </c>
      <c r="H1087" s="1" t="s">
        <v>2520</v>
      </c>
      <c r="I1087" s="2">
        <v>45188</v>
      </c>
      <c r="J1087" s="3">
        <v>0.33402777777777781</v>
      </c>
      <c r="K1087" s="1" t="s">
        <v>88</v>
      </c>
      <c r="L1087" s="2">
        <v>45220</v>
      </c>
      <c r="M1087" s="3">
        <v>0.67361111111111116</v>
      </c>
      <c r="N1087" s="19" t="s">
        <v>2712</v>
      </c>
    </row>
    <row r="1088" spans="1:15" ht="57.6" hidden="1" x14ac:dyDescent="0.3">
      <c r="A1088" s="47">
        <f t="shared" si="48"/>
        <v>2023</v>
      </c>
      <c r="B1088" s="46">
        <f t="shared" si="49"/>
        <v>42</v>
      </c>
      <c r="C1088" s="46">
        <f t="shared" si="50"/>
        <v>43</v>
      </c>
      <c r="E1088" s="1" t="s">
        <v>2716</v>
      </c>
      <c r="F1088" s="19" t="s">
        <v>2715</v>
      </c>
      <c r="G1088" s="1" t="s">
        <v>9</v>
      </c>
      <c r="H1088" s="1" t="s">
        <v>2520</v>
      </c>
      <c r="I1088" s="2">
        <v>45215</v>
      </c>
      <c r="J1088" s="3">
        <v>0.41319444444444442</v>
      </c>
      <c r="K1088" s="1" t="s">
        <v>88</v>
      </c>
      <c r="L1088" s="2">
        <v>45222</v>
      </c>
      <c r="M1088" s="3">
        <v>0.77013888888888893</v>
      </c>
      <c r="N1088" s="19" t="s">
        <v>2717</v>
      </c>
    </row>
    <row r="1089" spans="1:15" ht="100.8" hidden="1" x14ac:dyDescent="0.3">
      <c r="A1089" s="47">
        <f t="shared" si="48"/>
        <v>2023</v>
      </c>
      <c r="B1089" s="46">
        <f t="shared" si="49"/>
        <v>38</v>
      </c>
      <c r="C1089" s="46">
        <f t="shared" si="50"/>
        <v>43</v>
      </c>
      <c r="E1089" s="38" t="s">
        <v>2719</v>
      </c>
      <c r="F1089" s="19" t="s">
        <v>2720</v>
      </c>
      <c r="G1089" s="1" t="s">
        <v>10</v>
      </c>
      <c r="H1089" s="1" t="s">
        <v>2520</v>
      </c>
      <c r="I1089" s="2">
        <v>45188</v>
      </c>
      <c r="J1089" s="3">
        <v>0.33402777777777781</v>
      </c>
      <c r="K1089" s="1" t="s">
        <v>88</v>
      </c>
      <c r="L1089" s="2">
        <v>45224</v>
      </c>
      <c r="M1089" s="3">
        <v>0.51527777777777783</v>
      </c>
      <c r="N1089" s="19" t="s">
        <v>2718</v>
      </c>
    </row>
    <row r="1090" spans="1:15" ht="57.6" hidden="1" x14ac:dyDescent="0.3">
      <c r="A1090" s="47">
        <f t="shared" si="48"/>
        <v>2023</v>
      </c>
      <c r="B1090" s="46">
        <f t="shared" si="49"/>
        <v>42</v>
      </c>
      <c r="C1090" s="46">
        <f t="shared" si="50"/>
        <v>43</v>
      </c>
      <c r="E1090" s="1" t="s">
        <v>2722</v>
      </c>
      <c r="F1090" s="19" t="s">
        <v>2723</v>
      </c>
      <c r="G1090" s="1" t="s">
        <v>9</v>
      </c>
      <c r="H1090" s="1" t="s">
        <v>2520</v>
      </c>
      <c r="I1090" s="2">
        <v>45215</v>
      </c>
      <c r="J1090" s="3">
        <v>0.41597222222222219</v>
      </c>
      <c r="K1090" s="1" t="s">
        <v>88</v>
      </c>
      <c r="L1090" s="2">
        <v>45224</v>
      </c>
      <c r="M1090" s="3">
        <v>0.62222222222222223</v>
      </c>
      <c r="N1090" s="19" t="s">
        <v>2721</v>
      </c>
    </row>
    <row r="1091" spans="1:15" ht="86.4" hidden="1" x14ac:dyDescent="0.3">
      <c r="A1091" s="47">
        <f t="shared" ref="A1091:A1154" si="51">YEAR(L1091)</f>
        <v>2023</v>
      </c>
      <c r="B1091" s="46">
        <f t="shared" ref="B1091:B1154" si="52">WEEKNUM(I1091)</f>
        <v>42</v>
      </c>
      <c r="C1091" s="46">
        <f t="shared" ref="C1091:C1154" si="53">WEEKNUM(L1091)</f>
        <v>43</v>
      </c>
      <c r="E1091" s="38" t="s">
        <v>3093</v>
      </c>
      <c r="F1091" s="19" t="s">
        <v>3094</v>
      </c>
      <c r="G1091" s="1" t="s">
        <v>10</v>
      </c>
      <c r="H1091" s="65" t="s">
        <v>2520</v>
      </c>
      <c r="I1091" s="2">
        <v>45217</v>
      </c>
      <c r="J1091" s="3">
        <v>0.6694444444444444</v>
      </c>
      <c r="K1091" s="1" t="s">
        <v>88</v>
      </c>
      <c r="L1091" s="2">
        <v>45226</v>
      </c>
      <c r="M1091" s="3">
        <v>0.42638888888888887</v>
      </c>
      <c r="N1091" s="19" t="s">
        <v>3095</v>
      </c>
    </row>
    <row r="1092" spans="1:15" ht="100.8" hidden="1" x14ac:dyDescent="0.3">
      <c r="A1092" s="47">
        <f t="shared" si="51"/>
        <v>2023</v>
      </c>
      <c r="B1092" s="46">
        <f t="shared" si="52"/>
        <v>42</v>
      </c>
      <c r="C1092" s="46">
        <f t="shared" si="53"/>
        <v>43</v>
      </c>
      <c r="E1092" s="297" t="s">
        <v>2725</v>
      </c>
      <c r="F1092" s="19" t="s">
        <v>2726</v>
      </c>
      <c r="G1092" s="1" t="s">
        <v>10</v>
      </c>
      <c r="H1092" s="1" t="s">
        <v>2520</v>
      </c>
      <c r="I1092" s="2">
        <v>45217</v>
      </c>
      <c r="J1092" s="3">
        <v>0.67222222222222217</v>
      </c>
      <c r="K1092" s="1" t="s">
        <v>88</v>
      </c>
      <c r="L1092" s="2">
        <v>45226</v>
      </c>
      <c r="M1092" s="3">
        <v>0.53194444444444444</v>
      </c>
      <c r="N1092" s="19" t="s">
        <v>2727</v>
      </c>
      <c r="O1092" s="23"/>
    </row>
    <row r="1093" spans="1:15" ht="86.4" hidden="1" x14ac:dyDescent="0.3">
      <c r="A1093" s="47">
        <f t="shared" si="51"/>
        <v>2023</v>
      </c>
      <c r="B1093" s="46">
        <f t="shared" si="52"/>
        <v>42</v>
      </c>
      <c r="C1093" s="46">
        <f t="shared" si="53"/>
        <v>43</v>
      </c>
      <c r="E1093" s="294" t="s">
        <v>2728</v>
      </c>
      <c r="F1093" s="19" t="s">
        <v>2729</v>
      </c>
      <c r="G1093" s="1" t="s">
        <v>10</v>
      </c>
      <c r="H1093" s="1" t="s">
        <v>2520</v>
      </c>
      <c r="I1093" s="2">
        <v>45217</v>
      </c>
      <c r="J1093" s="3">
        <v>0.67708333333333337</v>
      </c>
      <c r="K1093" s="1" t="s">
        <v>88</v>
      </c>
      <c r="L1093" s="2">
        <v>45226</v>
      </c>
      <c r="M1093" s="3">
        <v>0.60972222222222217</v>
      </c>
      <c r="N1093" s="19" t="s">
        <v>2730</v>
      </c>
      <c r="O1093" s="23"/>
    </row>
    <row r="1094" spans="1:15" ht="86.4" hidden="1" x14ac:dyDescent="0.3">
      <c r="A1094" s="47">
        <f t="shared" si="51"/>
        <v>2023</v>
      </c>
      <c r="B1094" s="46">
        <f t="shared" si="52"/>
        <v>42</v>
      </c>
      <c r="C1094" s="46">
        <f t="shared" si="53"/>
        <v>43</v>
      </c>
      <c r="E1094" s="294" t="s">
        <v>2731</v>
      </c>
      <c r="F1094" s="19" t="s">
        <v>2732</v>
      </c>
      <c r="G1094" s="1" t="s">
        <v>10</v>
      </c>
      <c r="H1094" s="1" t="s">
        <v>2520</v>
      </c>
      <c r="I1094" s="2">
        <v>45217</v>
      </c>
      <c r="J1094" s="3">
        <v>0.68472222222222223</v>
      </c>
      <c r="K1094" s="1" t="s">
        <v>88</v>
      </c>
      <c r="L1094" s="2">
        <v>45226</v>
      </c>
      <c r="M1094" s="3">
        <v>0.71527777777777779</v>
      </c>
      <c r="N1094" s="19" t="s">
        <v>2733</v>
      </c>
      <c r="O1094" s="23"/>
    </row>
    <row r="1095" spans="1:15" ht="72" hidden="1" x14ac:dyDescent="0.3">
      <c r="A1095" s="47">
        <f t="shared" si="51"/>
        <v>2023</v>
      </c>
      <c r="B1095" s="46">
        <f t="shared" si="52"/>
        <v>42</v>
      </c>
      <c r="C1095" s="46">
        <f t="shared" si="53"/>
        <v>43</v>
      </c>
      <c r="E1095" s="1" t="s">
        <v>2735</v>
      </c>
      <c r="F1095" s="19" t="s">
        <v>2734</v>
      </c>
      <c r="G1095" s="1" t="s">
        <v>10</v>
      </c>
      <c r="H1095" s="1" t="s">
        <v>2520</v>
      </c>
      <c r="I1095" s="2">
        <v>45218</v>
      </c>
      <c r="J1095" s="3">
        <v>0.3430555555555555</v>
      </c>
      <c r="K1095" s="1" t="s">
        <v>88</v>
      </c>
      <c r="L1095" s="2">
        <v>45227</v>
      </c>
      <c r="M1095" s="3">
        <v>0.3430555555555555</v>
      </c>
      <c r="N1095" s="19" t="s">
        <v>2736</v>
      </c>
    </row>
    <row r="1096" spans="1:15" ht="86.4" hidden="1" x14ac:dyDescent="0.3">
      <c r="A1096" s="47">
        <f t="shared" si="51"/>
        <v>2023</v>
      </c>
      <c r="B1096" s="46">
        <f t="shared" si="52"/>
        <v>42</v>
      </c>
      <c r="C1096" s="46">
        <f t="shared" si="53"/>
        <v>43</v>
      </c>
      <c r="E1096" s="1" t="s">
        <v>2738</v>
      </c>
      <c r="F1096" s="19" t="s">
        <v>2739</v>
      </c>
      <c r="G1096" s="1" t="s">
        <v>10</v>
      </c>
      <c r="H1096" s="1" t="s">
        <v>2520</v>
      </c>
      <c r="I1096" s="2">
        <v>45218</v>
      </c>
      <c r="J1096" s="3">
        <v>0.70277777777777783</v>
      </c>
      <c r="K1096" s="1" t="s">
        <v>88</v>
      </c>
      <c r="L1096" s="2">
        <v>45227</v>
      </c>
      <c r="M1096" s="3">
        <v>0.3527777777777778</v>
      </c>
      <c r="N1096" s="19" t="s">
        <v>2737</v>
      </c>
    </row>
    <row r="1097" spans="1:15" ht="100.8" hidden="1" x14ac:dyDescent="0.3">
      <c r="A1097" s="47">
        <f t="shared" si="51"/>
        <v>2023</v>
      </c>
      <c r="B1097" s="46">
        <f t="shared" si="52"/>
        <v>42</v>
      </c>
      <c r="C1097" s="46">
        <f t="shared" si="53"/>
        <v>43</v>
      </c>
      <c r="E1097" s="1" t="s">
        <v>2741</v>
      </c>
      <c r="F1097" s="19" t="s">
        <v>2742</v>
      </c>
      <c r="G1097" s="1" t="s">
        <v>9</v>
      </c>
      <c r="H1097" s="1" t="s">
        <v>2520</v>
      </c>
      <c r="I1097" s="2">
        <v>45217</v>
      </c>
      <c r="J1097" s="3">
        <v>0.68819444444444444</v>
      </c>
      <c r="K1097" s="1" t="s">
        <v>88</v>
      </c>
      <c r="L1097" s="2">
        <v>45227</v>
      </c>
      <c r="M1097" s="3">
        <v>0.59444444444444444</v>
      </c>
      <c r="N1097" s="19" t="s">
        <v>2740</v>
      </c>
    </row>
    <row r="1098" spans="1:15" ht="57.6" hidden="1" x14ac:dyDescent="0.3">
      <c r="A1098" s="47">
        <f t="shared" si="51"/>
        <v>2023</v>
      </c>
      <c r="B1098" s="46">
        <f t="shared" si="52"/>
        <v>42</v>
      </c>
      <c r="C1098" s="46">
        <f t="shared" si="53"/>
        <v>43</v>
      </c>
      <c r="E1098" s="1" t="s">
        <v>2744</v>
      </c>
      <c r="F1098" s="19" t="s">
        <v>2745</v>
      </c>
      <c r="G1098" s="1" t="s">
        <v>9</v>
      </c>
      <c r="H1098" s="1" t="s">
        <v>2520</v>
      </c>
      <c r="I1098" s="2">
        <v>45218</v>
      </c>
      <c r="J1098" s="3">
        <v>0.6958333333333333</v>
      </c>
      <c r="K1098" s="1" t="s">
        <v>88</v>
      </c>
      <c r="L1098" s="2">
        <v>45227</v>
      </c>
      <c r="M1098" s="3">
        <v>0.61458333333333337</v>
      </c>
      <c r="N1098" s="19" t="s">
        <v>2743</v>
      </c>
    </row>
    <row r="1099" spans="1:15" ht="130.5" hidden="1" customHeight="1" x14ac:dyDescent="0.3">
      <c r="A1099" s="47">
        <f t="shared" si="51"/>
        <v>2023</v>
      </c>
      <c r="B1099" s="46">
        <f t="shared" si="52"/>
        <v>38</v>
      </c>
      <c r="C1099" s="46">
        <f t="shared" si="53"/>
        <v>44</v>
      </c>
      <c r="E1099" s="38" t="s">
        <v>2735</v>
      </c>
      <c r="F1099" s="19" t="s">
        <v>2639</v>
      </c>
      <c r="G1099" s="1" t="s">
        <v>10</v>
      </c>
      <c r="H1099" s="1" t="s">
        <v>2520</v>
      </c>
      <c r="I1099" s="2">
        <v>45188</v>
      </c>
      <c r="J1099" s="3">
        <v>0.3347222222222222</v>
      </c>
      <c r="K1099" s="1" t="s">
        <v>88</v>
      </c>
      <c r="L1099" s="2">
        <v>45230</v>
      </c>
      <c r="M1099" s="3">
        <v>0.4993055555555555</v>
      </c>
      <c r="N1099" s="19" t="s">
        <v>2746</v>
      </c>
    </row>
    <row r="1100" spans="1:15" ht="72" hidden="1" x14ac:dyDescent="0.3">
      <c r="A1100" s="47">
        <f t="shared" si="51"/>
        <v>2023</v>
      </c>
      <c r="B1100" s="46">
        <f t="shared" si="52"/>
        <v>43</v>
      </c>
      <c r="C1100" s="46">
        <f t="shared" si="53"/>
        <v>44</v>
      </c>
      <c r="E1100" s="1" t="s">
        <v>2747</v>
      </c>
      <c r="F1100" s="19" t="s">
        <v>2748</v>
      </c>
      <c r="G1100" s="1" t="s">
        <v>10</v>
      </c>
      <c r="H1100" s="1" t="s">
        <v>2520</v>
      </c>
      <c r="I1100" s="2">
        <v>45222</v>
      </c>
      <c r="J1100" s="3">
        <v>0.3923611111111111</v>
      </c>
      <c r="K1100" s="1" t="s">
        <v>88</v>
      </c>
      <c r="L1100" s="2">
        <v>45230</v>
      </c>
      <c r="M1100" s="3">
        <v>0.72222222222222221</v>
      </c>
      <c r="N1100" s="19" t="s">
        <v>2749</v>
      </c>
    </row>
    <row r="1101" spans="1:15" ht="115.2" hidden="1" x14ac:dyDescent="0.3">
      <c r="A1101" s="47" t="e">
        <f t="shared" si="51"/>
        <v>#VALUE!</v>
      </c>
      <c r="B1101" s="46">
        <f t="shared" si="52"/>
        <v>41</v>
      </c>
      <c r="C1101" s="46" t="e">
        <f t="shared" si="53"/>
        <v>#VALUE!</v>
      </c>
      <c r="D1101" s="21"/>
      <c r="E1101" s="21" t="s">
        <v>2750</v>
      </c>
      <c r="F1101" s="19" t="s">
        <v>2751</v>
      </c>
      <c r="G1101" s="21" t="s">
        <v>900</v>
      </c>
      <c r="H1101" s="21" t="s">
        <v>2520</v>
      </c>
      <c r="I1101" s="34">
        <v>45210</v>
      </c>
      <c r="J1101" s="28">
        <v>0.7006944444444444</v>
      </c>
      <c r="K1101" s="21" t="s">
        <v>73</v>
      </c>
      <c r="L1101" s="34" t="s">
        <v>2753</v>
      </c>
      <c r="M1101" s="28" t="s">
        <v>2754</v>
      </c>
      <c r="N1101" s="19" t="s">
        <v>2752</v>
      </c>
    </row>
    <row r="1102" spans="1:15" ht="57.6" hidden="1" x14ac:dyDescent="0.3">
      <c r="A1102" s="47">
        <f t="shared" si="51"/>
        <v>2023</v>
      </c>
      <c r="B1102" s="46">
        <f t="shared" si="52"/>
        <v>41</v>
      </c>
      <c r="C1102" s="46">
        <f t="shared" si="53"/>
        <v>45</v>
      </c>
      <c r="E1102" s="1" t="s">
        <v>2755</v>
      </c>
      <c r="F1102" s="19" t="s">
        <v>2756</v>
      </c>
      <c r="G1102" s="1" t="s">
        <v>900</v>
      </c>
      <c r="H1102" s="21" t="s">
        <v>2520</v>
      </c>
      <c r="I1102" s="34">
        <v>45210</v>
      </c>
      <c r="J1102" s="28">
        <v>0.7006944444444444</v>
      </c>
      <c r="K1102" s="21" t="s">
        <v>73</v>
      </c>
      <c r="L1102" s="34">
        <v>45238</v>
      </c>
      <c r="M1102" s="3">
        <v>0.31458333333333333</v>
      </c>
      <c r="N1102" s="19" t="s">
        <v>2757</v>
      </c>
    </row>
    <row r="1103" spans="1:15" ht="92.1" hidden="1" customHeight="1" x14ac:dyDescent="0.3">
      <c r="A1103" s="47">
        <f t="shared" si="51"/>
        <v>2023</v>
      </c>
      <c r="B1103" s="46">
        <f t="shared" si="52"/>
        <v>42</v>
      </c>
      <c r="C1103" s="46">
        <f t="shared" si="53"/>
        <v>45</v>
      </c>
      <c r="E1103" s="1" t="s">
        <v>2758</v>
      </c>
      <c r="F1103" s="19" t="s">
        <v>2759</v>
      </c>
      <c r="G1103" s="1" t="s">
        <v>900</v>
      </c>
      <c r="H1103" s="21" t="s">
        <v>2520</v>
      </c>
      <c r="I1103" s="34">
        <v>45218</v>
      </c>
      <c r="J1103" s="28">
        <v>0.64097222222222217</v>
      </c>
      <c r="K1103" s="21" t="s">
        <v>73</v>
      </c>
      <c r="L1103" s="34">
        <v>45238</v>
      </c>
      <c r="M1103" s="3">
        <v>0.3833333333333333</v>
      </c>
      <c r="N1103" s="19" t="s">
        <v>2760</v>
      </c>
    </row>
    <row r="1104" spans="1:15" ht="57.6" hidden="1" x14ac:dyDescent="0.3">
      <c r="A1104" s="47">
        <f t="shared" si="51"/>
        <v>2023</v>
      </c>
      <c r="B1104" s="46">
        <f t="shared" si="52"/>
        <v>42</v>
      </c>
      <c r="C1104" s="46">
        <f t="shared" si="53"/>
        <v>45</v>
      </c>
      <c r="E1104" s="1" t="s">
        <v>2761</v>
      </c>
      <c r="F1104" s="19" t="s">
        <v>2762</v>
      </c>
      <c r="G1104" s="1" t="s">
        <v>900</v>
      </c>
      <c r="H1104" s="21" t="s">
        <v>2520</v>
      </c>
      <c r="I1104" s="34">
        <v>45218</v>
      </c>
      <c r="J1104" s="28">
        <v>0.69930555555555562</v>
      </c>
      <c r="K1104" s="21" t="s">
        <v>73</v>
      </c>
      <c r="L1104" s="34">
        <v>45238</v>
      </c>
      <c r="M1104" s="3">
        <v>0.39027777777777778</v>
      </c>
      <c r="N1104" s="19" t="s">
        <v>2763</v>
      </c>
    </row>
    <row r="1105" spans="1:14" ht="57.6" hidden="1" x14ac:dyDescent="0.3">
      <c r="A1105" s="47">
        <f t="shared" si="51"/>
        <v>2023</v>
      </c>
      <c r="B1105" s="46">
        <f t="shared" si="52"/>
        <v>43</v>
      </c>
      <c r="C1105" s="46">
        <f t="shared" si="53"/>
        <v>45</v>
      </c>
      <c r="E1105" s="1" t="s">
        <v>2764</v>
      </c>
      <c r="F1105" s="19" t="s">
        <v>2765</v>
      </c>
      <c r="G1105" s="1" t="s">
        <v>900</v>
      </c>
      <c r="H1105" s="21" t="s">
        <v>2520</v>
      </c>
      <c r="I1105" s="34">
        <v>45224</v>
      </c>
      <c r="J1105" s="28">
        <v>0.59652777777777777</v>
      </c>
      <c r="K1105" s="21" t="s">
        <v>73</v>
      </c>
      <c r="L1105" s="34">
        <v>45238</v>
      </c>
      <c r="M1105" s="3">
        <v>0.42986111111111108</v>
      </c>
      <c r="N1105" s="19" t="s">
        <v>2766</v>
      </c>
    </row>
    <row r="1106" spans="1:14" ht="72" hidden="1" x14ac:dyDescent="0.3">
      <c r="A1106" s="47">
        <f t="shared" si="51"/>
        <v>2023</v>
      </c>
      <c r="B1106" s="46">
        <f t="shared" si="52"/>
        <v>44</v>
      </c>
      <c r="C1106" s="46">
        <f t="shared" si="53"/>
        <v>45</v>
      </c>
      <c r="E1106" s="1" t="s">
        <v>2767</v>
      </c>
      <c r="F1106" s="19" t="s">
        <v>2768</v>
      </c>
      <c r="G1106" s="1" t="s">
        <v>900</v>
      </c>
      <c r="H1106" s="21" t="s">
        <v>2520</v>
      </c>
      <c r="I1106" s="34">
        <v>45230</v>
      </c>
      <c r="J1106" s="28">
        <v>0.6777777777777777</v>
      </c>
      <c r="K1106" s="21" t="s">
        <v>73</v>
      </c>
      <c r="L1106" s="34">
        <v>45238</v>
      </c>
      <c r="M1106" s="3">
        <v>0.43402777777777773</v>
      </c>
      <c r="N1106" s="19" t="s">
        <v>2769</v>
      </c>
    </row>
    <row r="1107" spans="1:14" ht="57.6" hidden="1" x14ac:dyDescent="0.3">
      <c r="A1107" s="47">
        <f t="shared" si="51"/>
        <v>2023</v>
      </c>
      <c r="B1107" s="46">
        <f t="shared" si="52"/>
        <v>43</v>
      </c>
      <c r="C1107" s="46">
        <f t="shared" si="53"/>
        <v>45</v>
      </c>
      <c r="E1107" s="1" t="s">
        <v>2770</v>
      </c>
      <c r="F1107" s="19" t="s">
        <v>2771</v>
      </c>
      <c r="G1107" s="1" t="s">
        <v>9</v>
      </c>
      <c r="H1107" s="21" t="s">
        <v>2520</v>
      </c>
      <c r="I1107" s="2">
        <v>45224</v>
      </c>
      <c r="J1107" s="3">
        <v>0.58958333333333335</v>
      </c>
      <c r="K1107" s="1" t="s">
        <v>88</v>
      </c>
      <c r="L1107" s="2">
        <v>45241</v>
      </c>
      <c r="M1107" s="3">
        <v>0.31388888888888888</v>
      </c>
      <c r="N1107" s="19" t="s">
        <v>2772</v>
      </c>
    </row>
    <row r="1108" spans="1:14" ht="86.4" hidden="1" x14ac:dyDescent="0.3">
      <c r="A1108" s="47">
        <f t="shared" si="51"/>
        <v>2023</v>
      </c>
      <c r="B1108" s="46">
        <f t="shared" si="52"/>
        <v>43</v>
      </c>
      <c r="C1108" s="46">
        <f t="shared" si="53"/>
        <v>45</v>
      </c>
      <c r="E1108" s="1" t="s">
        <v>2774</v>
      </c>
      <c r="F1108" s="19" t="s">
        <v>2775</v>
      </c>
      <c r="G1108" s="1" t="s">
        <v>9</v>
      </c>
      <c r="H1108" s="21" t="s">
        <v>2520</v>
      </c>
      <c r="I1108" s="2">
        <v>45224</v>
      </c>
      <c r="J1108" s="3">
        <v>0.59305555555555556</v>
      </c>
      <c r="K1108" s="1" t="s">
        <v>88</v>
      </c>
      <c r="L1108" s="2">
        <v>45241</v>
      </c>
      <c r="M1108" s="3">
        <v>0.40416666666666662</v>
      </c>
      <c r="N1108" s="19" t="s">
        <v>2773</v>
      </c>
    </row>
    <row r="1109" spans="1:14" ht="86.4" hidden="1" x14ac:dyDescent="0.3">
      <c r="A1109" s="47">
        <f t="shared" si="51"/>
        <v>2023</v>
      </c>
      <c r="B1109" s="46">
        <f t="shared" si="52"/>
        <v>43</v>
      </c>
      <c r="C1109" s="46">
        <f t="shared" si="53"/>
        <v>45</v>
      </c>
      <c r="E1109" s="1" t="s">
        <v>2778</v>
      </c>
      <c r="F1109" s="19" t="s">
        <v>2777</v>
      </c>
      <c r="G1109" s="1" t="s">
        <v>10</v>
      </c>
      <c r="H1109" s="21" t="s">
        <v>2520</v>
      </c>
      <c r="I1109" s="2">
        <v>45225</v>
      </c>
      <c r="J1109" s="3">
        <v>0.59305555555555556</v>
      </c>
      <c r="K1109" s="1" t="s">
        <v>88</v>
      </c>
      <c r="L1109" s="2">
        <v>45241</v>
      </c>
      <c r="M1109" s="3">
        <v>0.43194444444444446</v>
      </c>
      <c r="N1109" s="19" t="s">
        <v>2776</v>
      </c>
    </row>
    <row r="1110" spans="1:14" ht="86.4" hidden="1" x14ac:dyDescent="0.3">
      <c r="A1110" s="47">
        <f t="shared" si="51"/>
        <v>2023</v>
      </c>
      <c r="B1110" s="46">
        <f t="shared" si="52"/>
        <v>43</v>
      </c>
      <c r="C1110" s="46">
        <f t="shared" si="53"/>
        <v>45</v>
      </c>
      <c r="E1110" s="38" t="s">
        <v>2779</v>
      </c>
      <c r="F1110" s="19" t="s">
        <v>2780</v>
      </c>
      <c r="G1110" s="1" t="s">
        <v>9</v>
      </c>
      <c r="H1110" s="21" t="s">
        <v>2520</v>
      </c>
      <c r="I1110" s="2">
        <v>45225</v>
      </c>
      <c r="J1110" s="3">
        <v>0.60416666666666663</v>
      </c>
      <c r="K1110" s="1" t="s">
        <v>88</v>
      </c>
      <c r="L1110" s="2">
        <v>45241</v>
      </c>
      <c r="N1110" s="19" t="s">
        <v>2781</v>
      </c>
    </row>
    <row r="1111" spans="1:14" ht="57.6" hidden="1" x14ac:dyDescent="0.3">
      <c r="A1111" s="47">
        <f t="shared" si="51"/>
        <v>2023</v>
      </c>
      <c r="B1111" s="46">
        <f t="shared" si="52"/>
        <v>45</v>
      </c>
      <c r="C1111" s="46">
        <f t="shared" si="53"/>
        <v>45</v>
      </c>
      <c r="E1111" s="1" t="s">
        <v>2783</v>
      </c>
      <c r="F1111" s="19" t="s">
        <v>2782</v>
      </c>
      <c r="G1111" s="1" t="s">
        <v>9</v>
      </c>
      <c r="H1111" s="21" t="s">
        <v>2520</v>
      </c>
      <c r="I1111" s="2">
        <v>45236</v>
      </c>
      <c r="J1111" s="3">
        <v>0.60972222222222217</v>
      </c>
      <c r="K1111" s="1" t="s">
        <v>88</v>
      </c>
      <c r="L1111" s="2">
        <v>45241</v>
      </c>
      <c r="M1111" s="3">
        <v>0.61041666666666672</v>
      </c>
      <c r="N1111" s="19" t="s">
        <v>2784</v>
      </c>
    </row>
    <row r="1112" spans="1:14" ht="57.6" hidden="1" x14ac:dyDescent="0.3">
      <c r="A1112" s="47">
        <f t="shared" si="51"/>
        <v>2023</v>
      </c>
      <c r="B1112" s="46">
        <f t="shared" si="52"/>
        <v>45</v>
      </c>
      <c r="C1112" s="46">
        <f t="shared" si="53"/>
        <v>46</v>
      </c>
      <c r="E1112" s="1" t="s">
        <v>2785</v>
      </c>
      <c r="F1112" s="19" t="s">
        <v>2786</v>
      </c>
      <c r="G1112" s="1" t="s">
        <v>900</v>
      </c>
      <c r="H1112" s="21" t="s">
        <v>2520</v>
      </c>
      <c r="I1112" s="34">
        <v>45240</v>
      </c>
      <c r="J1112" s="28">
        <v>0.4770833333333333</v>
      </c>
      <c r="K1112" s="21" t="s">
        <v>73</v>
      </c>
      <c r="L1112" s="64">
        <v>45246</v>
      </c>
      <c r="M1112" s="3">
        <v>0.57361111111111118</v>
      </c>
      <c r="N1112" s="19" t="s">
        <v>2789</v>
      </c>
    </row>
    <row r="1113" spans="1:14" ht="115.2" hidden="1" x14ac:dyDescent="0.3">
      <c r="A1113" s="47">
        <f t="shared" si="51"/>
        <v>2023</v>
      </c>
      <c r="B1113" s="46">
        <f t="shared" si="52"/>
        <v>43</v>
      </c>
      <c r="C1113" s="46">
        <f t="shared" si="53"/>
        <v>46</v>
      </c>
      <c r="E1113" s="38" t="s">
        <v>2779</v>
      </c>
      <c r="F1113" s="19" t="s">
        <v>2787</v>
      </c>
      <c r="G1113" s="1" t="s">
        <v>10</v>
      </c>
      <c r="H1113" s="1" t="s">
        <v>661</v>
      </c>
      <c r="I1113" s="2">
        <v>45225</v>
      </c>
      <c r="J1113" s="3">
        <v>0.60416666666666663</v>
      </c>
      <c r="K1113" s="1" t="s">
        <v>88</v>
      </c>
      <c r="L1113" s="2">
        <v>45244</v>
      </c>
      <c r="M1113" s="3">
        <v>0.63541666666666663</v>
      </c>
      <c r="N1113" s="19" t="s">
        <v>2788</v>
      </c>
    </row>
    <row r="1114" spans="1:14" ht="57.6" hidden="1" x14ac:dyDescent="0.3">
      <c r="A1114" s="47">
        <f t="shared" si="51"/>
        <v>2023</v>
      </c>
      <c r="B1114" s="46">
        <f t="shared" si="52"/>
        <v>45</v>
      </c>
      <c r="C1114" s="46">
        <f t="shared" si="53"/>
        <v>47</v>
      </c>
      <c r="E1114" s="1" t="s">
        <v>2790</v>
      </c>
      <c r="F1114" s="19" t="s">
        <v>2791</v>
      </c>
      <c r="G1114" s="1" t="s">
        <v>900</v>
      </c>
      <c r="H1114" s="21" t="s">
        <v>2520</v>
      </c>
      <c r="I1114" s="34">
        <v>45238</v>
      </c>
      <c r="J1114" s="28">
        <v>0.68541666666666667</v>
      </c>
      <c r="K1114" s="21" t="s">
        <v>73</v>
      </c>
      <c r="L1114" s="64">
        <v>45251</v>
      </c>
      <c r="M1114" s="3">
        <v>0.37708333333333338</v>
      </c>
      <c r="N1114" s="19" t="s">
        <v>2792</v>
      </c>
    </row>
    <row r="1115" spans="1:14" ht="72" hidden="1" x14ac:dyDescent="0.3">
      <c r="A1115" s="47">
        <f t="shared" si="51"/>
        <v>2023</v>
      </c>
      <c r="B1115" s="46">
        <f t="shared" si="52"/>
        <v>46</v>
      </c>
      <c r="C1115" s="46">
        <f t="shared" si="53"/>
        <v>47</v>
      </c>
      <c r="E1115" s="1" t="s">
        <v>2793</v>
      </c>
      <c r="F1115" s="19" t="s">
        <v>2794</v>
      </c>
      <c r="G1115" s="1" t="s">
        <v>900</v>
      </c>
      <c r="H1115" s="21" t="s">
        <v>2520</v>
      </c>
      <c r="I1115" s="34">
        <v>45244</v>
      </c>
      <c r="J1115" s="28">
        <v>0.35625000000000001</v>
      </c>
      <c r="K1115" s="21" t="s">
        <v>73</v>
      </c>
      <c r="L1115" s="64">
        <v>45251</v>
      </c>
      <c r="M1115" s="3">
        <v>0.53125</v>
      </c>
      <c r="N1115" s="19" t="s">
        <v>2795</v>
      </c>
    </row>
    <row r="1116" spans="1:14" ht="100.8" hidden="1" x14ac:dyDescent="0.3">
      <c r="A1116" s="47">
        <f t="shared" si="51"/>
        <v>2023</v>
      </c>
      <c r="B1116" s="46">
        <f t="shared" si="52"/>
        <v>46</v>
      </c>
      <c r="C1116" s="46">
        <f t="shared" si="53"/>
        <v>48</v>
      </c>
      <c r="E1116" s="1" t="s">
        <v>2796</v>
      </c>
      <c r="F1116" s="19" t="s">
        <v>2797</v>
      </c>
      <c r="G1116" s="1" t="s">
        <v>900</v>
      </c>
      <c r="H1116" s="21" t="s">
        <v>2520</v>
      </c>
      <c r="I1116" s="34">
        <v>45244</v>
      </c>
      <c r="J1116" s="28">
        <v>0.35625000000000001</v>
      </c>
      <c r="K1116" s="21" t="s">
        <v>73</v>
      </c>
      <c r="L1116" s="64">
        <v>45257</v>
      </c>
      <c r="M1116" s="3">
        <v>0.39305555555555555</v>
      </c>
      <c r="N1116" s="19" t="s">
        <v>2798</v>
      </c>
    </row>
    <row r="1117" spans="1:14" ht="60.6" hidden="1" customHeight="1" x14ac:dyDescent="0.3">
      <c r="A1117" s="47">
        <f t="shared" si="51"/>
        <v>2023</v>
      </c>
      <c r="B1117" s="46">
        <f t="shared" si="52"/>
        <v>46</v>
      </c>
      <c r="C1117" s="46">
        <f t="shared" si="53"/>
        <v>48</v>
      </c>
      <c r="E1117" s="1" t="s">
        <v>2799</v>
      </c>
      <c r="F1117" s="19" t="s">
        <v>2800</v>
      </c>
      <c r="G1117" s="1" t="s">
        <v>900</v>
      </c>
      <c r="H1117" s="21" t="s">
        <v>2520</v>
      </c>
      <c r="I1117" s="34">
        <v>45244</v>
      </c>
      <c r="J1117" s="28">
        <v>0.72013888888888899</v>
      </c>
      <c r="K1117" s="21" t="s">
        <v>73</v>
      </c>
      <c r="L1117" s="64">
        <v>45257</v>
      </c>
      <c r="M1117" s="3">
        <v>0.4201388888888889</v>
      </c>
      <c r="N1117" s="19" t="s">
        <v>2801</v>
      </c>
    </row>
    <row r="1118" spans="1:14" ht="246" hidden="1" customHeight="1" x14ac:dyDescent="0.3">
      <c r="A1118" s="47">
        <f t="shared" si="51"/>
        <v>2023</v>
      </c>
      <c r="B1118" s="46">
        <f t="shared" si="52"/>
        <v>46</v>
      </c>
      <c r="C1118" s="46">
        <f t="shared" si="53"/>
        <v>48</v>
      </c>
      <c r="E1118" s="38" t="s">
        <v>2802</v>
      </c>
      <c r="F1118" s="19" t="s">
        <v>2803</v>
      </c>
      <c r="G1118" s="1" t="s">
        <v>900</v>
      </c>
      <c r="H1118" s="21" t="s">
        <v>2520</v>
      </c>
      <c r="I1118" s="34">
        <v>45247</v>
      </c>
      <c r="J1118" s="28" t="s">
        <v>1013</v>
      </c>
      <c r="K1118" s="21" t="s">
        <v>73</v>
      </c>
      <c r="L1118" s="64">
        <v>45257</v>
      </c>
      <c r="M1118" s="3">
        <v>0.4604166666666667</v>
      </c>
      <c r="N1118" s="19" t="s">
        <v>2804</v>
      </c>
    </row>
    <row r="1119" spans="1:14" ht="43.2" hidden="1" x14ac:dyDescent="0.3">
      <c r="A1119" s="47">
        <f t="shared" si="51"/>
        <v>2023</v>
      </c>
      <c r="B1119" s="46">
        <f t="shared" si="52"/>
        <v>46</v>
      </c>
      <c r="C1119" s="46">
        <f t="shared" si="53"/>
        <v>48</v>
      </c>
      <c r="E1119" s="1" t="s">
        <v>2806</v>
      </c>
      <c r="F1119" s="19" t="s">
        <v>2805</v>
      </c>
      <c r="G1119" s="1" t="s">
        <v>9</v>
      </c>
      <c r="H1119" s="1" t="s">
        <v>2520</v>
      </c>
      <c r="I1119" s="2">
        <v>45246</v>
      </c>
      <c r="J1119" s="3">
        <v>0.65833333333333333</v>
      </c>
      <c r="K1119" s="1" t="s">
        <v>88</v>
      </c>
      <c r="L1119" s="2">
        <v>45259</v>
      </c>
      <c r="M1119" s="3">
        <v>0.50763888888888886</v>
      </c>
      <c r="N1119" s="19" t="s">
        <v>2807</v>
      </c>
    </row>
    <row r="1120" spans="1:14" ht="100.8" hidden="1" x14ac:dyDescent="0.3">
      <c r="A1120" s="47">
        <f t="shared" si="51"/>
        <v>2023</v>
      </c>
      <c r="B1120" s="46">
        <f t="shared" si="52"/>
        <v>48</v>
      </c>
      <c r="C1120" s="46">
        <f t="shared" si="53"/>
        <v>48</v>
      </c>
      <c r="E1120" s="1" t="s">
        <v>2808</v>
      </c>
      <c r="F1120" s="19" t="s">
        <v>2809</v>
      </c>
      <c r="G1120" s="1" t="s">
        <v>900</v>
      </c>
      <c r="H1120" s="21" t="s">
        <v>2520</v>
      </c>
      <c r="I1120" s="34">
        <v>45257</v>
      </c>
      <c r="J1120" s="28">
        <v>0.70833333333333337</v>
      </c>
      <c r="K1120" s="21" t="s">
        <v>73</v>
      </c>
      <c r="L1120" s="64">
        <v>45259</v>
      </c>
      <c r="M1120" s="3">
        <v>0.63750000000000007</v>
      </c>
      <c r="N1120" s="19" t="s">
        <v>2810</v>
      </c>
    </row>
    <row r="1121" spans="1:14" ht="360" hidden="1" x14ac:dyDescent="0.3">
      <c r="A1121" s="47">
        <f t="shared" si="51"/>
        <v>2023</v>
      </c>
      <c r="B1121" s="46">
        <f t="shared" si="52"/>
        <v>45</v>
      </c>
      <c r="C1121" s="46">
        <f t="shared" si="53"/>
        <v>48</v>
      </c>
      <c r="E1121" s="1" t="s">
        <v>2811</v>
      </c>
      <c r="F1121" s="19" t="s">
        <v>2812</v>
      </c>
      <c r="G1121" s="1" t="s">
        <v>2813</v>
      </c>
      <c r="H1121" s="21" t="s">
        <v>2520</v>
      </c>
      <c r="I1121" s="2">
        <v>45240</v>
      </c>
      <c r="J1121" s="3">
        <v>0.51736111111111105</v>
      </c>
      <c r="K1121" s="1" t="s">
        <v>88</v>
      </c>
      <c r="L1121" s="2">
        <v>45261</v>
      </c>
      <c r="M1121" s="3">
        <v>0.5180555555555556</v>
      </c>
      <c r="N1121" s="19" t="s">
        <v>2949</v>
      </c>
    </row>
    <row r="1122" spans="1:14" ht="57.6" hidden="1" x14ac:dyDescent="0.3">
      <c r="A1122" s="47">
        <f t="shared" si="51"/>
        <v>2023</v>
      </c>
      <c r="B1122" s="46">
        <f t="shared" si="52"/>
        <v>48</v>
      </c>
      <c r="C1122" s="46">
        <f t="shared" si="53"/>
        <v>48</v>
      </c>
      <c r="E1122" s="1" t="s">
        <v>2814</v>
      </c>
      <c r="F1122" s="19" t="s">
        <v>2815</v>
      </c>
      <c r="G1122" s="1" t="s">
        <v>900</v>
      </c>
      <c r="H1122" s="21" t="s">
        <v>2816</v>
      </c>
      <c r="I1122" s="34">
        <v>45260</v>
      </c>
      <c r="J1122" s="28">
        <v>0.34652777777777777</v>
      </c>
      <c r="K1122" s="21" t="s">
        <v>73</v>
      </c>
      <c r="L1122" s="2">
        <v>45261</v>
      </c>
      <c r="M1122" s="3">
        <v>0.34791666666666665</v>
      </c>
      <c r="N1122" s="19" t="s">
        <v>2817</v>
      </c>
    </row>
    <row r="1123" spans="1:14" ht="57.6" hidden="1" x14ac:dyDescent="0.3">
      <c r="A1123" s="47">
        <f t="shared" si="51"/>
        <v>2023</v>
      </c>
      <c r="B1123" s="46">
        <f t="shared" si="52"/>
        <v>48</v>
      </c>
      <c r="C1123" s="46">
        <f t="shared" si="53"/>
        <v>48</v>
      </c>
      <c r="E1123" s="1" t="s">
        <v>2818</v>
      </c>
      <c r="F1123" s="19" t="s">
        <v>2819</v>
      </c>
      <c r="G1123" s="1" t="s">
        <v>900</v>
      </c>
      <c r="H1123" s="21" t="s">
        <v>2816</v>
      </c>
      <c r="I1123" s="34">
        <v>45260</v>
      </c>
      <c r="J1123" s="28">
        <v>0.35069444444444442</v>
      </c>
      <c r="K1123" s="21" t="s">
        <v>73</v>
      </c>
      <c r="L1123" s="2">
        <v>45261</v>
      </c>
      <c r="M1123" s="3">
        <v>0.34930555555555554</v>
      </c>
      <c r="N1123" s="19" t="s">
        <v>2820</v>
      </c>
    </row>
    <row r="1124" spans="1:14" ht="57.6" hidden="1" x14ac:dyDescent="0.3">
      <c r="A1124" s="47">
        <f t="shared" si="51"/>
        <v>2023</v>
      </c>
      <c r="B1124" s="46">
        <f t="shared" si="52"/>
        <v>48</v>
      </c>
      <c r="C1124" s="46">
        <f t="shared" si="53"/>
        <v>48</v>
      </c>
      <c r="E1124" s="1" t="s">
        <v>2821</v>
      </c>
      <c r="F1124" s="19" t="s">
        <v>2822</v>
      </c>
      <c r="G1124" s="1" t="s">
        <v>900</v>
      </c>
      <c r="H1124" s="21" t="s">
        <v>2816</v>
      </c>
      <c r="I1124" s="34">
        <v>45260</v>
      </c>
      <c r="J1124" s="28">
        <v>0.35416666666666669</v>
      </c>
      <c r="K1124" s="21" t="s">
        <v>73</v>
      </c>
      <c r="L1124" s="2">
        <v>45261</v>
      </c>
      <c r="M1124" s="3">
        <v>0.35069444444444442</v>
      </c>
      <c r="N1124" s="19" t="s">
        <v>2823</v>
      </c>
    </row>
    <row r="1125" spans="1:14" ht="57.6" hidden="1" x14ac:dyDescent="0.3">
      <c r="A1125" s="47">
        <f t="shared" si="51"/>
        <v>2023</v>
      </c>
      <c r="B1125" s="46">
        <f t="shared" si="52"/>
        <v>48</v>
      </c>
      <c r="C1125" s="46">
        <f t="shared" si="53"/>
        <v>48</v>
      </c>
      <c r="E1125" s="1" t="s">
        <v>2824</v>
      </c>
      <c r="F1125" s="19" t="s">
        <v>2825</v>
      </c>
      <c r="G1125" s="1" t="s">
        <v>900</v>
      </c>
      <c r="H1125" s="21" t="s">
        <v>2816</v>
      </c>
      <c r="I1125" s="34">
        <v>45260</v>
      </c>
      <c r="J1125" s="28">
        <v>0.35694444444444445</v>
      </c>
      <c r="K1125" s="21" t="s">
        <v>73</v>
      </c>
      <c r="L1125" s="2">
        <v>45261</v>
      </c>
      <c r="M1125" s="3">
        <v>0.3520833333333333</v>
      </c>
      <c r="N1125" s="19" t="s">
        <v>2826</v>
      </c>
    </row>
    <row r="1126" spans="1:14" ht="57.6" hidden="1" x14ac:dyDescent="0.3">
      <c r="A1126" s="47">
        <f t="shared" si="51"/>
        <v>2023</v>
      </c>
      <c r="B1126" s="46">
        <f t="shared" si="52"/>
        <v>48</v>
      </c>
      <c r="C1126" s="46">
        <f t="shared" si="53"/>
        <v>48</v>
      </c>
      <c r="E1126" s="1" t="s">
        <v>2827</v>
      </c>
      <c r="F1126" s="19" t="s">
        <v>2828</v>
      </c>
      <c r="G1126" s="1" t="s">
        <v>900</v>
      </c>
      <c r="H1126" s="21" t="s">
        <v>2816</v>
      </c>
      <c r="I1126" s="34">
        <v>45260</v>
      </c>
      <c r="J1126" s="28">
        <v>0.35972222222222222</v>
      </c>
      <c r="K1126" s="21" t="s">
        <v>73</v>
      </c>
      <c r="L1126" s="2">
        <v>45261</v>
      </c>
      <c r="M1126" s="3">
        <v>0.35347222222222219</v>
      </c>
      <c r="N1126" s="19" t="s">
        <v>2829</v>
      </c>
    </row>
    <row r="1127" spans="1:14" ht="57.6" hidden="1" x14ac:dyDescent="0.3">
      <c r="A1127" s="47">
        <f t="shared" si="51"/>
        <v>2023</v>
      </c>
      <c r="B1127" s="46">
        <f t="shared" si="52"/>
        <v>48</v>
      </c>
      <c r="C1127" s="46">
        <f t="shared" si="53"/>
        <v>48</v>
      </c>
      <c r="E1127" s="1" t="s">
        <v>2830</v>
      </c>
      <c r="F1127" s="19" t="s">
        <v>2831</v>
      </c>
      <c r="G1127" s="1" t="s">
        <v>900</v>
      </c>
      <c r="H1127" s="21" t="s">
        <v>2816</v>
      </c>
      <c r="I1127" s="34">
        <v>45260</v>
      </c>
      <c r="J1127" s="28">
        <v>0.35972222222222222</v>
      </c>
      <c r="K1127" s="21" t="s">
        <v>73</v>
      </c>
      <c r="L1127" s="2">
        <v>45261</v>
      </c>
      <c r="M1127" s="3">
        <v>0.35416666666666669</v>
      </c>
      <c r="N1127" s="19" t="s">
        <v>2832</v>
      </c>
    </row>
    <row r="1128" spans="1:14" ht="57.6" hidden="1" x14ac:dyDescent="0.3">
      <c r="A1128" s="47">
        <f t="shared" si="51"/>
        <v>2023</v>
      </c>
      <c r="B1128" s="46">
        <f t="shared" si="52"/>
        <v>48</v>
      </c>
      <c r="C1128" s="46">
        <f t="shared" si="53"/>
        <v>48</v>
      </c>
      <c r="E1128" s="1" t="s">
        <v>2833</v>
      </c>
      <c r="F1128" s="19" t="s">
        <v>2834</v>
      </c>
      <c r="G1128" s="1" t="s">
        <v>900</v>
      </c>
      <c r="H1128" s="21" t="s">
        <v>2816</v>
      </c>
      <c r="I1128" s="34">
        <v>45260</v>
      </c>
      <c r="J1128" s="28">
        <v>0.35972222222222222</v>
      </c>
      <c r="K1128" s="21" t="s">
        <v>73</v>
      </c>
      <c r="L1128" s="2">
        <v>45261</v>
      </c>
      <c r="M1128" s="3">
        <v>0.3576388888888889</v>
      </c>
      <c r="N1128" s="19" t="s">
        <v>2835</v>
      </c>
    </row>
    <row r="1129" spans="1:14" ht="57.6" hidden="1" x14ac:dyDescent="0.3">
      <c r="A1129" s="47">
        <f t="shared" si="51"/>
        <v>2023</v>
      </c>
      <c r="B1129" s="46">
        <f t="shared" si="52"/>
        <v>48</v>
      </c>
      <c r="C1129" s="46">
        <f t="shared" si="53"/>
        <v>48</v>
      </c>
      <c r="E1129" s="1" t="s">
        <v>2836</v>
      </c>
      <c r="F1129" s="19" t="s">
        <v>2837</v>
      </c>
      <c r="G1129" s="1" t="s">
        <v>900</v>
      </c>
      <c r="H1129" s="21" t="s">
        <v>2816</v>
      </c>
      <c r="I1129" s="34">
        <v>45260</v>
      </c>
      <c r="J1129" s="28">
        <v>0.36874999999999997</v>
      </c>
      <c r="K1129" s="21" t="s">
        <v>73</v>
      </c>
      <c r="L1129" s="2">
        <v>45261</v>
      </c>
      <c r="M1129" s="3">
        <v>0.35902777777777778</v>
      </c>
      <c r="N1129" s="19" t="s">
        <v>2838</v>
      </c>
    </row>
    <row r="1130" spans="1:14" ht="72" hidden="1" x14ac:dyDescent="0.3">
      <c r="A1130" s="47">
        <f t="shared" si="51"/>
        <v>2023</v>
      </c>
      <c r="B1130" s="46">
        <f t="shared" si="52"/>
        <v>48</v>
      </c>
      <c r="C1130" s="46">
        <f t="shared" si="53"/>
        <v>48</v>
      </c>
      <c r="E1130" s="1" t="s">
        <v>2839</v>
      </c>
      <c r="F1130" s="19" t="s">
        <v>2840</v>
      </c>
      <c r="G1130" s="1" t="s">
        <v>900</v>
      </c>
      <c r="H1130" s="21" t="s">
        <v>2816</v>
      </c>
      <c r="I1130" s="34">
        <v>45260</v>
      </c>
      <c r="J1130" s="28">
        <v>0.375</v>
      </c>
      <c r="K1130" s="21" t="s">
        <v>73</v>
      </c>
      <c r="L1130" s="2">
        <v>45261</v>
      </c>
      <c r="M1130" s="3">
        <v>0.35972222222222222</v>
      </c>
      <c r="N1130" s="19" t="s">
        <v>2841</v>
      </c>
    </row>
    <row r="1131" spans="1:14" ht="57.6" hidden="1" x14ac:dyDescent="0.3">
      <c r="A1131" s="47">
        <f t="shared" si="51"/>
        <v>2023</v>
      </c>
      <c r="B1131" s="46">
        <f t="shared" si="52"/>
        <v>48</v>
      </c>
      <c r="C1131" s="46">
        <f t="shared" si="53"/>
        <v>48</v>
      </c>
      <c r="E1131" s="1" t="s">
        <v>2842</v>
      </c>
      <c r="F1131" s="19" t="s">
        <v>2843</v>
      </c>
      <c r="G1131" s="1" t="s">
        <v>900</v>
      </c>
      <c r="H1131" s="21" t="s">
        <v>2816</v>
      </c>
      <c r="I1131" s="34">
        <v>45260</v>
      </c>
      <c r="J1131" s="28">
        <v>0.37916666666666665</v>
      </c>
      <c r="K1131" s="21" t="s">
        <v>73</v>
      </c>
      <c r="L1131" s="2">
        <v>45261</v>
      </c>
      <c r="M1131" s="3">
        <v>0.3611111111111111</v>
      </c>
      <c r="N1131" s="19" t="s">
        <v>2844</v>
      </c>
    </row>
    <row r="1132" spans="1:14" ht="57.6" hidden="1" x14ac:dyDescent="0.3">
      <c r="A1132" s="47">
        <f t="shared" si="51"/>
        <v>2023</v>
      </c>
      <c r="B1132" s="46">
        <f t="shared" si="52"/>
        <v>48</v>
      </c>
      <c r="C1132" s="46">
        <f t="shared" si="53"/>
        <v>48</v>
      </c>
      <c r="E1132" s="1" t="s">
        <v>2845</v>
      </c>
      <c r="F1132" s="19" t="s">
        <v>2846</v>
      </c>
      <c r="G1132" s="1" t="s">
        <v>900</v>
      </c>
      <c r="H1132" s="21" t="s">
        <v>2816</v>
      </c>
      <c r="I1132" s="34">
        <v>45260</v>
      </c>
      <c r="J1132" s="28">
        <v>0.38194444444444442</v>
      </c>
      <c r="K1132" s="21" t="s">
        <v>73</v>
      </c>
      <c r="L1132" s="2">
        <v>45261</v>
      </c>
      <c r="M1132" s="3">
        <v>0.36180555555555555</v>
      </c>
      <c r="N1132" s="19" t="s">
        <v>2847</v>
      </c>
    </row>
    <row r="1133" spans="1:14" ht="57.6" hidden="1" x14ac:dyDescent="0.3">
      <c r="A1133" s="47">
        <f t="shared" si="51"/>
        <v>2023</v>
      </c>
      <c r="B1133" s="46">
        <f t="shared" si="52"/>
        <v>48</v>
      </c>
      <c r="C1133" s="46">
        <f t="shared" si="53"/>
        <v>48</v>
      </c>
      <c r="E1133" s="1" t="s">
        <v>2848</v>
      </c>
      <c r="F1133" s="19" t="s">
        <v>2849</v>
      </c>
      <c r="G1133" s="1" t="s">
        <v>900</v>
      </c>
      <c r="H1133" s="21" t="s">
        <v>2816</v>
      </c>
      <c r="I1133" s="34">
        <v>45260</v>
      </c>
      <c r="J1133" s="28">
        <v>0.38194444444444442</v>
      </c>
      <c r="K1133" s="21" t="s">
        <v>73</v>
      </c>
      <c r="L1133" s="2">
        <v>45261</v>
      </c>
      <c r="M1133" s="3">
        <v>0.36319444444444443</v>
      </c>
      <c r="N1133" s="19" t="s">
        <v>2850</v>
      </c>
    </row>
    <row r="1134" spans="1:14" ht="57.6" hidden="1" x14ac:dyDescent="0.3">
      <c r="A1134" s="47">
        <f t="shared" si="51"/>
        <v>2023</v>
      </c>
      <c r="B1134" s="46">
        <f t="shared" si="52"/>
        <v>48</v>
      </c>
      <c r="C1134" s="46">
        <f t="shared" si="53"/>
        <v>48</v>
      </c>
      <c r="E1134" s="1" t="s">
        <v>2851</v>
      </c>
      <c r="F1134" s="19" t="s">
        <v>2852</v>
      </c>
      <c r="G1134" s="1" t="s">
        <v>900</v>
      </c>
      <c r="H1134" s="21" t="s">
        <v>2816</v>
      </c>
      <c r="I1134" s="34">
        <v>45260</v>
      </c>
      <c r="J1134" s="28">
        <v>0.38750000000000001</v>
      </c>
      <c r="K1134" s="21" t="s">
        <v>73</v>
      </c>
      <c r="L1134" s="2">
        <v>45261</v>
      </c>
      <c r="M1134" s="3">
        <v>0.36388888888888887</v>
      </c>
      <c r="N1134" s="19" t="s">
        <v>2853</v>
      </c>
    </row>
    <row r="1135" spans="1:14" ht="57.6" hidden="1" x14ac:dyDescent="0.3">
      <c r="A1135" s="47">
        <f t="shared" si="51"/>
        <v>2023</v>
      </c>
      <c r="B1135" s="46">
        <f t="shared" si="52"/>
        <v>48</v>
      </c>
      <c r="C1135" s="46">
        <f t="shared" si="53"/>
        <v>48</v>
      </c>
      <c r="E1135" s="1" t="s">
        <v>2854</v>
      </c>
      <c r="F1135" s="19" t="s">
        <v>2855</v>
      </c>
      <c r="G1135" s="1" t="s">
        <v>900</v>
      </c>
      <c r="H1135" s="21" t="s">
        <v>2816</v>
      </c>
      <c r="I1135" s="34">
        <v>45260</v>
      </c>
      <c r="J1135" s="28">
        <v>0.39027777777777778</v>
      </c>
      <c r="K1135" s="21" t="s">
        <v>73</v>
      </c>
      <c r="L1135" s="2">
        <v>45261</v>
      </c>
      <c r="M1135" s="3">
        <v>0.36527777777777781</v>
      </c>
      <c r="N1135" s="19" t="s">
        <v>2856</v>
      </c>
    </row>
    <row r="1136" spans="1:14" ht="57.6" hidden="1" x14ac:dyDescent="0.3">
      <c r="A1136" s="47">
        <f t="shared" si="51"/>
        <v>2023</v>
      </c>
      <c r="B1136" s="46">
        <f t="shared" si="52"/>
        <v>48</v>
      </c>
      <c r="C1136" s="46">
        <f t="shared" si="53"/>
        <v>48</v>
      </c>
      <c r="E1136" s="1" t="s">
        <v>2857</v>
      </c>
      <c r="F1136" s="19" t="s">
        <v>2858</v>
      </c>
      <c r="G1136" s="1" t="s">
        <v>900</v>
      </c>
      <c r="H1136" s="21" t="s">
        <v>2816</v>
      </c>
      <c r="I1136" s="34">
        <v>45260</v>
      </c>
      <c r="J1136" s="28">
        <v>0.3972222222222222</v>
      </c>
      <c r="K1136" s="21" t="s">
        <v>73</v>
      </c>
      <c r="L1136" s="2">
        <v>45261</v>
      </c>
      <c r="M1136" s="3">
        <v>0.3659722222222222</v>
      </c>
      <c r="N1136" s="19" t="s">
        <v>2859</v>
      </c>
    </row>
    <row r="1137" spans="1:14" ht="57.6" hidden="1" x14ac:dyDescent="0.3">
      <c r="A1137" s="47">
        <f t="shared" si="51"/>
        <v>2023</v>
      </c>
      <c r="B1137" s="46">
        <f t="shared" si="52"/>
        <v>48</v>
      </c>
      <c r="C1137" s="46">
        <f t="shared" si="53"/>
        <v>48</v>
      </c>
      <c r="E1137" s="1" t="s">
        <v>2860</v>
      </c>
      <c r="F1137" s="19" t="s">
        <v>2861</v>
      </c>
      <c r="G1137" s="1" t="s">
        <v>900</v>
      </c>
      <c r="H1137" s="21" t="s">
        <v>2816</v>
      </c>
      <c r="I1137" s="34">
        <v>45260</v>
      </c>
      <c r="J1137" s="28">
        <v>0.39930555555555558</v>
      </c>
      <c r="K1137" s="21" t="s">
        <v>73</v>
      </c>
      <c r="L1137" s="2">
        <v>45261</v>
      </c>
      <c r="M1137" s="3">
        <v>0.3666666666666667</v>
      </c>
      <c r="N1137" s="19" t="s">
        <v>2862</v>
      </c>
    </row>
    <row r="1138" spans="1:14" ht="57.6" hidden="1" x14ac:dyDescent="0.3">
      <c r="A1138" s="47">
        <f t="shared" si="51"/>
        <v>2023</v>
      </c>
      <c r="B1138" s="46">
        <f t="shared" si="52"/>
        <v>48</v>
      </c>
      <c r="C1138" s="46">
        <f t="shared" si="53"/>
        <v>48</v>
      </c>
      <c r="E1138" s="1" t="s">
        <v>2863</v>
      </c>
      <c r="F1138" s="19" t="s">
        <v>2864</v>
      </c>
      <c r="G1138" s="1" t="s">
        <v>900</v>
      </c>
      <c r="H1138" s="21" t="s">
        <v>2816</v>
      </c>
      <c r="I1138" s="34">
        <v>45260</v>
      </c>
      <c r="J1138" s="28">
        <v>0.39930555555555558</v>
      </c>
      <c r="K1138" s="21" t="s">
        <v>73</v>
      </c>
      <c r="L1138" s="2">
        <v>45261</v>
      </c>
      <c r="M1138" s="3">
        <v>0.36736111111111108</v>
      </c>
      <c r="N1138" s="19" t="s">
        <v>2865</v>
      </c>
    </row>
    <row r="1139" spans="1:14" ht="86.4" hidden="1" x14ac:dyDescent="0.3">
      <c r="A1139" s="47">
        <f t="shared" si="51"/>
        <v>2023</v>
      </c>
      <c r="B1139" s="46">
        <f t="shared" si="52"/>
        <v>48</v>
      </c>
      <c r="C1139" s="46">
        <f t="shared" si="53"/>
        <v>48</v>
      </c>
      <c r="E1139" s="1" t="s">
        <v>2866</v>
      </c>
      <c r="F1139" s="19" t="s">
        <v>2867</v>
      </c>
      <c r="G1139" s="1" t="s">
        <v>900</v>
      </c>
      <c r="H1139" s="21" t="s">
        <v>2520</v>
      </c>
      <c r="I1139" s="34">
        <v>45261</v>
      </c>
      <c r="J1139" s="28">
        <v>0.45833333333333331</v>
      </c>
      <c r="K1139" s="21" t="s">
        <v>73</v>
      </c>
      <c r="L1139" s="2">
        <v>45262</v>
      </c>
      <c r="M1139" s="3">
        <v>0.21805555555555556</v>
      </c>
      <c r="N1139" s="19" t="s">
        <v>2868</v>
      </c>
    </row>
    <row r="1140" spans="1:14" ht="72" hidden="1" x14ac:dyDescent="0.3">
      <c r="A1140" s="47">
        <f t="shared" si="51"/>
        <v>2023</v>
      </c>
      <c r="B1140" s="46">
        <f t="shared" si="52"/>
        <v>46</v>
      </c>
      <c r="C1140" s="46">
        <f t="shared" si="53"/>
        <v>48</v>
      </c>
      <c r="E1140" s="1" t="s">
        <v>2869</v>
      </c>
      <c r="F1140" s="19" t="s">
        <v>2870</v>
      </c>
      <c r="G1140" s="1" t="s">
        <v>10</v>
      </c>
      <c r="H1140" s="21" t="s">
        <v>2520</v>
      </c>
      <c r="I1140" s="34">
        <v>45246</v>
      </c>
      <c r="J1140" s="28">
        <v>0.36249999999999999</v>
      </c>
      <c r="K1140" s="21" t="s">
        <v>73</v>
      </c>
      <c r="L1140" s="2">
        <v>45262</v>
      </c>
      <c r="M1140" s="3">
        <v>0.30624999999999997</v>
      </c>
      <c r="N1140" s="19" t="s">
        <v>2871</v>
      </c>
    </row>
    <row r="1141" spans="1:14" ht="57.6" hidden="1" x14ac:dyDescent="0.3">
      <c r="A1141" s="47">
        <f t="shared" si="51"/>
        <v>2023</v>
      </c>
      <c r="B1141" s="46">
        <f t="shared" si="52"/>
        <v>47</v>
      </c>
      <c r="C1141" s="46">
        <f t="shared" si="53"/>
        <v>48</v>
      </c>
      <c r="E1141" s="1" t="s">
        <v>2872</v>
      </c>
      <c r="F1141" s="19" t="s">
        <v>2873</v>
      </c>
      <c r="G1141" s="1" t="s">
        <v>10</v>
      </c>
      <c r="H1141" s="21" t="s">
        <v>2520</v>
      </c>
      <c r="I1141" s="34">
        <v>45251</v>
      </c>
      <c r="J1141" s="28">
        <v>0.61041666666666672</v>
      </c>
      <c r="K1141" s="21" t="s">
        <v>73</v>
      </c>
      <c r="L1141" s="2">
        <v>45262</v>
      </c>
      <c r="M1141" s="3">
        <v>0.3923611111111111</v>
      </c>
      <c r="N1141" s="19" t="s">
        <v>2874</v>
      </c>
    </row>
    <row r="1142" spans="1:14" ht="57.6" hidden="1" x14ac:dyDescent="0.3">
      <c r="A1142" s="47">
        <f t="shared" si="51"/>
        <v>2023</v>
      </c>
      <c r="B1142" s="46">
        <f t="shared" si="52"/>
        <v>47</v>
      </c>
      <c r="C1142" s="46">
        <f t="shared" si="53"/>
        <v>48</v>
      </c>
      <c r="E1142" s="1" t="s">
        <v>2875</v>
      </c>
      <c r="F1142" s="19" t="s">
        <v>2876</v>
      </c>
      <c r="G1142" s="1" t="s">
        <v>10</v>
      </c>
      <c r="H1142" s="21" t="s">
        <v>2520</v>
      </c>
      <c r="I1142" s="34">
        <v>45251</v>
      </c>
      <c r="J1142" s="28">
        <v>0.61041666666666672</v>
      </c>
      <c r="K1142" s="21" t="s">
        <v>73</v>
      </c>
      <c r="L1142" s="2">
        <v>45262</v>
      </c>
      <c r="M1142" s="3">
        <v>0.47430555555555554</v>
      </c>
      <c r="N1142" s="19" t="s">
        <v>2877</v>
      </c>
    </row>
    <row r="1143" spans="1:14" ht="57.6" hidden="1" x14ac:dyDescent="0.3">
      <c r="A1143" s="47">
        <f t="shared" si="51"/>
        <v>2023</v>
      </c>
      <c r="B1143" s="46">
        <f t="shared" si="52"/>
        <v>48</v>
      </c>
      <c r="C1143" s="46">
        <f t="shared" si="53"/>
        <v>48</v>
      </c>
      <c r="E1143" s="1" t="s">
        <v>2878</v>
      </c>
      <c r="F1143" s="19" t="s">
        <v>2879</v>
      </c>
      <c r="G1143" s="1" t="s">
        <v>10</v>
      </c>
      <c r="H1143" s="21" t="s">
        <v>2520</v>
      </c>
      <c r="I1143" s="34">
        <v>45257</v>
      </c>
      <c r="J1143" s="28">
        <v>0.70694444444444438</v>
      </c>
      <c r="K1143" s="21" t="s">
        <v>73</v>
      </c>
      <c r="L1143" s="2">
        <v>45262</v>
      </c>
      <c r="M1143" s="1" t="s">
        <v>2881</v>
      </c>
      <c r="N1143" s="19" t="s">
        <v>2880</v>
      </c>
    </row>
    <row r="1144" spans="1:14" ht="86.4" hidden="1" x14ac:dyDescent="0.3">
      <c r="A1144" s="47">
        <f t="shared" si="51"/>
        <v>2023</v>
      </c>
      <c r="B1144" s="46">
        <f t="shared" si="52"/>
        <v>48</v>
      </c>
      <c r="C1144" s="46">
        <f t="shared" si="53"/>
        <v>48</v>
      </c>
      <c r="E1144" s="270" t="s">
        <v>2882</v>
      </c>
      <c r="F1144" s="19" t="s">
        <v>2883</v>
      </c>
      <c r="G1144" s="1" t="s">
        <v>10</v>
      </c>
      <c r="H1144" s="21" t="s">
        <v>2520</v>
      </c>
      <c r="I1144" s="34">
        <v>45257</v>
      </c>
      <c r="J1144" s="28">
        <v>0.70694444444444438</v>
      </c>
      <c r="K1144" s="21" t="s">
        <v>73</v>
      </c>
      <c r="L1144" s="2">
        <v>45262</v>
      </c>
      <c r="M1144" s="3">
        <v>0.62013888888888891</v>
      </c>
      <c r="N1144" s="19" t="s">
        <v>2884</v>
      </c>
    </row>
    <row r="1145" spans="1:14" ht="172.8" hidden="1" x14ac:dyDescent="0.3">
      <c r="A1145" s="47">
        <f t="shared" si="51"/>
        <v>2023</v>
      </c>
      <c r="B1145" s="46">
        <f t="shared" si="52"/>
        <v>48</v>
      </c>
      <c r="C1145" s="46">
        <f t="shared" si="53"/>
        <v>49</v>
      </c>
      <c r="E1145" s="38" t="s">
        <v>3244</v>
      </c>
      <c r="F1145" s="19" t="s">
        <v>3245</v>
      </c>
      <c r="G1145" s="1" t="s">
        <v>10</v>
      </c>
      <c r="H1145" s="21" t="s">
        <v>2520</v>
      </c>
      <c r="I1145" s="34">
        <v>45257</v>
      </c>
      <c r="J1145" s="28">
        <v>0.71805555555555556</v>
      </c>
      <c r="K1145" s="21" t="s">
        <v>73</v>
      </c>
      <c r="L1145" s="2">
        <v>45266</v>
      </c>
      <c r="M1145" s="3">
        <v>0.35902777777777778</v>
      </c>
      <c r="N1145" s="19" t="s">
        <v>3246</v>
      </c>
    </row>
    <row r="1146" spans="1:14" ht="72" hidden="1" x14ac:dyDescent="0.3">
      <c r="A1146" s="47">
        <f t="shared" si="51"/>
        <v>2023</v>
      </c>
      <c r="B1146" s="46">
        <f t="shared" si="52"/>
        <v>49</v>
      </c>
      <c r="C1146" s="46">
        <f t="shared" si="53"/>
        <v>49</v>
      </c>
      <c r="E1146" s="1" t="s">
        <v>2885</v>
      </c>
      <c r="F1146" s="19" t="s">
        <v>2886</v>
      </c>
      <c r="G1146" s="1" t="s">
        <v>900</v>
      </c>
      <c r="H1146" s="21" t="s">
        <v>2816</v>
      </c>
      <c r="I1146" s="34">
        <v>45267</v>
      </c>
      <c r="J1146" s="28">
        <v>0.61458333333333337</v>
      </c>
      <c r="K1146" s="21" t="s">
        <v>73</v>
      </c>
      <c r="L1146" s="2">
        <v>45267</v>
      </c>
      <c r="M1146" s="3">
        <v>0.63402777777777775</v>
      </c>
      <c r="N1146" s="19" t="s">
        <v>2887</v>
      </c>
    </row>
    <row r="1147" spans="1:14" ht="72" hidden="1" x14ac:dyDescent="0.3">
      <c r="A1147" s="47">
        <f t="shared" si="51"/>
        <v>2023</v>
      </c>
      <c r="B1147" s="46">
        <f t="shared" si="52"/>
        <v>43</v>
      </c>
      <c r="C1147" s="46">
        <f t="shared" si="53"/>
        <v>49</v>
      </c>
      <c r="E1147" s="1" t="s">
        <v>2778</v>
      </c>
      <c r="F1147" s="19" t="s">
        <v>2888</v>
      </c>
      <c r="G1147" s="1" t="s">
        <v>10</v>
      </c>
      <c r="H1147" s="21" t="s">
        <v>2520</v>
      </c>
      <c r="I1147" s="2">
        <v>45225</v>
      </c>
      <c r="K1147" s="1" t="s">
        <v>88</v>
      </c>
      <c r="L1147" s="2">
        <v>45267</v>
      </c>
      <c r="M1147" s="3">
        <v>0.72986111111111107</v>
      </c>
      <c r="N1147" s="19" t="s">
        <v>2889</v>
      </c>
    </row>
    <row r="1148" spans="1:14" ht="230.4" hidden="1" x14ac:dyDescent="0.3">
      <c r="A1148" s="47">
        <f t="shared" si="51"/>
        <v>2023</v>
      </c>
      <c r="B1148" s="46">
        <f t="shared" si="52"/>
        <v>46</v>
      </c>
      <c r="C1148" s="46">
        <f t="shared" si="53"/>
        <v>49</v>
      </c>
      <c r="E1148" s="38" t="s">
        <v>2890</v>
      </c>
      <c r="F1148" s="19" t="s">
        <v>2891</v>
      </c>
      <c r="G1148" s="1" t="s">
        <v>10</v>
      </c>
      <c r="H1148" s="21" t="s">
        <v>2520</v>
      </c>
      <c r="I1148" s="2">
        <v>45246</v>
      </c>
      <c r="J1148" s="3">
        <v>0.40277777777777773</v>
      </c>
      <c r="K1148" s="1" t="s">
        <v>88</v>
      </c>
      <c r="L1148" s="2">
        <v>45265</v>
      </c>
      <c r="M1148" s="3">
        <v>0.65069444444444446</v>
      </c>
      <c r="N1148" s="19" t="s">
        <v>2892</v>
      </c>
    </row>
    <row r="1149" spans="1:14" ht="57.6" hidden="1" x14ac:dyDescent="0.3">
      <c r="A1149" s="47">
        <f t="shared" si="51"/>
        <v>2023</v>
      </c>
      <c r="B1149" s="46">
        <f t="shared" si="52"/>
        <v>46</v>
      </c>
      <c r="C1149" s="46">
        <f t="shared" si="53"/>
        <v>49</v>
      </c>
      <c r="E1149" s="1" t="s">
        <v>2893</v>
      </c>
      <c r="F1149" s="19" t="s">
        <v>2548</v>
      </c>
      <c r="G1149" s="1" t="s">
        <v>9</v>
      </c>
      <c r="H1149" s="21" t="s">
        <v>2520</v>
      </c>
      <c r="I1149" s="2">
        <v>45246</v>
      </c>
      <c r="J1149" s="3">
        <v>0.68125000000000002</v>
      </c>
      <c r="K1149" s="1" t="s">
        <v>88</v>
      </c>
      <c r="L1149" s="2">
        <v>45268</v>
      </c>
      <c r="M1149" s="3">
        <v>0.60347222222222219</v>
      </c>
      <c r="N1149" s="19" t="s">
        <v>2894</v>
      </c>
    </row>
    <row r="1150" spans="1:14" ht="57.6" hidden="1" x14ac:dyDescent="0.3">
      <c r="A1150" s="47">
        <f t="shared" si="51"/>
        <v>2023</v>
      </c>
      <c r="B1150" s="46">
        <f t="shared" si="52"/>
        <v>48</v>
      </c>
      <c r="C1150" s="46">
        <f t="shared" si="53"/>
        <v>49</v>
      </c>
      <c r="E1150" s="1" t="s">
        <v>2897</v>
      </c>
      <c r="F1150" s="19" t="s">
        <v>2896</v>
      </c>
      <c r="G1150" s="1" t="s">
        <v>9</v>
      </c>
      <c r="H1150" s="1" t="s">
        <v>2816</v>
      </c>
      <c r="I1150" s="2">
        <v>45260</v>
      </c>
      <c r="J1150" s="3">
        <v>0.41666666666666669</v>
      </c>
      <c r="K1150" s="1" t="s">
        <v>88</v>
      </c>
      <c r="L1150" s="2">
        <v>45268</v>
      </c>
      <c r="M1150" s="3">
        <v>0.64166666666666672</v>
      </c>
      <c r="N1150" s="19" t="s">
        <v>2895</v>
      </c>
    </row>
    <row r="1151" spans="1:14" ht="57.6" hidden="1" x14ac:dyDescent="0.3">
      <c r="A1151" s="47">
        <f t="shared" si="51"/>
        <v>2023</v>
      </c>
      <c r="B1151" s="46">
        <f t="shared" si="52"/>
        <v>47</v>
      </c>
      <c r="C1151" s="46">
        <f t="shared" si="53"/>
        <v>50</v>
      </c>
      <c r="E1151" s="1" t="s">
        <v>2945</v>
      </c>
      <c r="F1151" s="19" t="s">
        <v>2780</v>
      </c>
      <c r="G1151" s="1" t="s">
        <v>9</v>
      </c>
      <c r="H1151" s="21" t="s">
        <v>2520</v>
      </c>
      <c r="I1151" s="2">
        <v>45251</v>
      </c>
      <c r="J1151" s="3">
        <v>0.62152777777777779</v>
      </c>
      <c r="K1151" s="1" t="s">
        <v>88</v>
      </c>
      <c r="L1151" s="2">
        <v>45271</v>
      </c>
      <c r="M1151" s="3">
        <v>0.35972222222222222</v>
      </c>
      <c r="N1151" s="19" t="s">
        <v>2946</v>
      </c>
    </row>
    <row r="1152" spans="1:14" ht="57.6" hidden="1" x14ac:dyDescent="0.3">
      <c r="A1152" s="47">
        <f t="shared" si="51"/>
        <v>2023</v>
      </c>
      <c r="B1152" s="46">
        <f t="shared" si="52"/>
        <v>46</v>
      </c>
      <c r="C1152" s="46">
        <f t="shared" si="53"/>
        <v>49</v>
      </c>
      <c r="E1152" s="1" t="s">
        <v>2947</v>
      </c>
      <c r="F1152" s="19" t="s">
        <v>2548</v>
      </c>
      <c r="G1152" s="1" t="s">
        <v>9</v>
      </c>
      <c r="H1152" s="21" t="s">
        <v>2520</v>
      </c>
      <c r="I1152" s="2">
        <v>45246</v>
      </c>
      <c r="J1152" s="3">
        <v>0.68125000000000002</v>
      </c>
      <c r="K1152" s="1" t="s">
        <v>88</v>
      </c>
      <c r="L1152" s="2">
        <v>45268</v>
      </c>
      <c r="M1152" s="3">
        <v>0.60486111111111118</v>
      </c>
      <c r="N1152" s="90" t="s">
        <v>2948</v>
      </c>
    </row>
    <row r="1153" spans="1:14" ht="86.4" hidden="1" x14ac:dyDescent="0.3">
      <c r="A1153" s="47">
        <f t="shared" si="51"/>
        <v>2023</v>
      </c>
      <c r="B1153" s="46">
        <f t="shared" si="52"/>
        <v>43</v>
      </c>
      <c r="C1153" s="46">
        <f t="shared" si="53"/>
        <v>49</v>
      </c>
      <c r="E1153" s="1" t="s">
        <v>2950</v>
      </c>
      <c r="F1153" s="19" t="s">
        <v>2888</v>
      </c>
      <c r="G1153" s="1" t="s">
        <v>10</v>
      </c>
      <c r="H1153" s="21" t="s">
        <v>2520</v>
      </c>
      <c r="I1153" s="2">
        <v>45225</v>
      </c>
      <c r="J1153" s="3">
        <v>0.22569444444444445</v>
      </c>
      <c r="K1153" s="1" t="s">
        <v>88</v>
      </c>
      <c r="L1153" s="2">
        <v>45267</v>
      </c>
      <c r="M1153" s="3">
        <v>0.73125000000000007</v>
      </c>
      <c r="N1153" s="19" t="s">
        <v>2951</v>
      </c>
    </row>
    <row r="1154" spans="1:14" ht="57.6" hidden="1" x14ac:dyDescent="0.3">
      <c r="A1154" s="47">
        <f t="shared" si="51"/>
        <v>2023</v>
      </c>
      <c r="B1154" s="46">
        <f t="shared" si="52"/>
        <v>48</v>
      </c>
      <c r="C1154" s="46">
        <f t="shared" si="53"/>
        <v>50</v>
      </c>
      <c r="E1154" s="1" t="s">
        <v>2953</v>
      </c>
      <c r="F1154" s="19" t="s">
        <v>2954</v>
      </c>
      <c r="G1154" s="1" t="s">
        <v>10</v>
      </c>
      <c r="H1154" s="21" t="s">
        <v>2520</v>
      </c>
      <c r="I1154" s="2">
        <v>45259</v>
      </c>
      <c r="K1154" s="1" t="s">
        <v>88</v>
      </c>
      <c r="L1154" s="2">
        <v>45273</v>
      </c>
      <c r="M1154" s="3">
        <v>0.35694444444444445</v>
      </c>
      <c r="N1154" s="19" t="s">
        <v>2952</v>
      </c>
    </row>
    <row r="1155" spans="1:14" ht="100.8" hidden="1" x14ac:dyDescent="0.3">
      <c r="A1155" s="47">
        <f t="shared" ref="A1155:A1218" si="54">YEAR(L1155)</f>
        <v>2023</v>
      </c>
      <c r="B1155" s="46">
        <f t="shared" ref="B1155:B1218" si="55">WEEKNUM(I1155)</f>
        <v>49</v>
      </c>
      <c r="C1155" s="46">
        <f t="shared" ref="C1155:C1218" si="56">WEEKNUM(L1155)</f>
        <v>50</v>
      </c>
      <c r="E1155" s="1" t="s">
        <v>2960</v>
      </c>
      <c r="F1155" s="19" t="s">
        <v>2961</v>
      </c>
      <c r="G1155" s="1" t="s">
        <v>900</v>
      </c>
      <c r="H1155" s="21" t="s">
        <v>2520</v>
      </c>
      <c r="I1155" s="2">
        <v>45267</v>
      </c>
      <c r="J1155" s="3">
        <v>0.61111111111111105</v>
      </c>
      <c r="K1155" s="1" t="s">
        <v>73</v>
      </c>
      <c r="L1155" s="2">
        <v>45273</v>
      </c>
      <c r="M1155" s="3">
        <v>0.7090277777777777</v>
      </c>
      <c r="N1155" s="19" t="s">
        <v>2962</v>
      </c>
    </row>
    <row r="1156" spans="1:14" ht="409.6" hidden="1" x14ac:dyDescent="0.3">
      <c r="A1156" s="47">
        <f t="shared" si="54"/>
        <v>2023</v>
      </c>
      <c r="B1156" s="46">
        <f t="shared" si="55"/>
        <v>48</v>
      </c>
      <c r="C1156" s="46">
        <f t="shared" si="56"/>
        <v>51</v>
      </c>
      <c r="E1156" s="296" t="s">
        <v>2964</v>
      </c>
      <c r="F1156" s="99" t="s">
        <v>2963</v>
      </c>
      <c r="G1156" s="95" t="s">
        <v>10</v>
      </c>
      <c r="H1156" s="65" t="s">
        <v>2520</v>
      </c>
      <c r="I1156" s="96">
        <v>45260</v>
      </c>
      <c r="J1156" s="97">
        <v>0.71111111111111114</v>
      </c>
      <c r="K1156" s="95" t="s">
        <v>88</v>
      </c>
      <c r="L1156" s="96">
        <v>45278</v>
      </c>
      <c r="M1156" s="97">
        <v>0.53749999999999998</v>
      </c>
      <c r="N1156" s="99" t="s">
        <v>3096</v>
      </c>
    </row>
    <row r="1157" spans="1:14" ht="86.4" hidden="1" x14ac:dyDescent="0.3">
      <c r="A1157" s="47">
        <f t="shared" si="54"/>
        <v>2023</v>
      </c>
      <c r="B1157" s="46">
        <f t="shared" si="55"/>
        <v>48</v>
      </c>
      <c r="C1157" s="46">
        <f t="shared" si="56"/>
        <v>50</v>
      </c>
      <c r="E1157" s="1" t="s">
        <v>2965</v>
      </c>
      <c r="F1157" s="19" t="s">
        <v>2966</v>
      </c>
      <c r="G1157" s="1" t="s">
        <v>10</v>
      </c>
      <c r="H1157" s="21" t="s">
        <v>2520</v>
      </c>
      <c r="I1157" s="2">
        <v>45260</v>
      </c>
      <c r="J1157" s="3">
        <v>0.71944444444444444</v>
      </c>
      <c r="K1157" s="1" t="s">
        <v>88</v>
      </c>
      <c r="L1157" s="2">
        <v>45274</v>
      </c>
      <c r="M1157" s="3">
        <v>0.5180555555555556</v>
      </c>
      <c r="N1157" s="19" t="s">
        <v>2967</v>
      </c>
    </row>
    <row r="1158" spans="1:14" ht="187.2" hidden="1" x14ac:dyDescent="0.3">
      <c r="A1158" s="47">
        <f t="shared" si="54"/>
        <v>2023</v>
      </c>
      <c r="B1158" s="46">
        <f t="shared" si="55"/>
        <v>48</v>
      </c>
      <c r="C1158" s="46">
        <f t="shared" si="56"/>
        <v>51</v>
      </c>
      <c r="E1158" s="1" t="s">
        <v>2898</v>
      </c>
      <c r="F1158" s="19" t="s">
        <v>2968</v>
      </c>
      <c r="G1158" s="1" t="s">
        <v>10</v>
      </c>
      <c r="H1158" s="21" t="s">
        <v>2520</v>
      </c>
      <c r="I1158" s="2">
        <v>45259</v>
      </c>
      <c r="J1158" s="3">
        <v>0.59166666666666667</v>
      </c>
      <c r="K1158" s="1" t="s">
        <v>88</v>
      </c>
      <c r="L1158" s="2">
        <v>45278</v>
      </c>
      <c r="M1158" s="3">
        <v>0.5083333333333333</v>
      </c>
      <c r="N1158" s="19" t="s">
        <v>2969</v>
      </c>
    </row>
    <row r="1159" spans="1:14" ht="345.6" hidden="1" x14ac:dyDescent="0.3">
      <c r="A1159" s="47">
        <f t="shared" si="54"/>
        <v>2023</v>
      </c>
      <c r="B1159" s="46">
        <f t="shared" si="55"/>
        <v>48</v>
      </c>
      <c r="C1159" s="46">
        <f t="shared" si="56"/>
        <v>51</v>
      </c>
      <c r="E1159" s="296" t="s">
        <v>2971</v>
      </c>
      <c r="F1159" s="19" t="s">
        <v>2970</v>
      </c>
      <c r="H1159" s="21" t="s">
        <v>2520</v>
      </c>
      <c r="I1159" s="2">
        <v>45261</v>
      </c>
      <c r="J1159" s="3">
        <v>0.45416666666666666</v>
      </c>
      <c r="K1159" s="1" t="s">
        <v>88</v>
      </c>
      <c r="L1159" s="2">
        <v>45279</v>
      </c>
      <c r="M1159" s="3">
        <v>0.61875000000000002</v>
      </c>
      <c r="N1159" s="19" t="s">
        <v>3022</v>
      </c>
    </row>
    <row r="1160" spans="1:14" ht="72" hidden="1" x14ac:dyDescent="0.3">
      <c r="A1160" s="47">
        <f t="shared" si="54"/>
        <v>2023</v>
      </c>
      <c r="B1160" s="46">
        <f t="shared" si="55"/>
        <v>51</v>
      </c>
      <c r="C1160" s="46">
        <f t="shared" si="56"/>
        <v>51</v>
      </c>
      <c r="E1160" s="1" t="s">
        <v>2972</v>
      </c>
      <c r="F1160" s="19" t="s">
        <v>2973</v>
      </c>
      <c r="G1160" s="1" t="s">
        <v>900</v>
      </c>
      <c r="H1160" s="1" t="s">
        <v>2520</v>
      </c>
      <c r="I1160" s="2">
        <v>45279</v>
      </c>
      <c r="J1160" s="3">
        <v>0.61319444444444449</v>
      </c>
      <c r="K1160" s="1" t="s">
        <v>73</v>
      </c>
      <c r="L1160" s="2">
        <v>45280</v>
      </c>
      <c r="M1160" s="3">
        <v>0.66249999999999998</v>
      </c>
      <c r="N1160" s="19" t="s">
        <v>2974</v>
      </c>
    </row>
    <row r="1161" spans="1:14" ht="72" hidden="1" x14ac:dyDescent="0.3">
      <c r="A1161" s="47">
        <f t="shared" si="54"/>
        <v>2023</v>
      </c>
      <c r="B1161" s="46">
        <f t="shared" si="55"/>
        <v>51</v>
      </c>
      <c r="C1161" s="46">
        <f t="shared" si="56"/>
        <v>51</v>
      </c>
      <c r="E1161" s="1" t="s">
        <v>2975</v>
      </c>
      <c r="F1161" s="19" t="s">
        <v>2976</v>
      </c>
      <c r="G1161" s="1" t="s">
        <v>900</v>
      </c>
      <c r="H1161" s="1" t="s">
        <v>2520</v>
      </c>
      <c r="I1161" s="2">
        <v>45279</v>
      </c>
      <c r="J1161" s="3">
        <v>0.6166666666666667</v>
      </c>
      <c r="K1161" s="1" t="s">
        <v>73</v>
      </c>
      <c r="L1161" s="2">
        <v>45280</v>
      </c>
      <c r="M1161" s="3">
        <v>0.64583333333333337</v>
      </c>
      <c r="N1161" s="19" t="s">
        <v>2977</v>
      </c>
    </row>
    <row r="1162" spans="1:14" ht="57.6" hidden="1" x14ac:dyDescent="0.3">
      <c r="A1162" s="47">
        <f t="shared" si="54"/>
        <v>2023</v>
      </c>
      <c r="B1162" s="46">
        <f t="shared" si="55"/>
        <v>51</v>
      </c>
      <c r="C1162" s="46">
        <f t="shared" si="56"/>
        <v>51</v>
      </c>
      <c r="E1162" s="1" t="s">
        <v>2978</v>
      </c>
      <c r="F1162" s="19" t="s">
        <v>2979</v>
      </c>
      <c r="G1162" s="1" t="s">
        <v>900</v>
      </c>
      <c r="H1162" s="1" t="s">
        <v>2520</v>
      </c>
      <c r="I1162" s="2">
        <v>45279</v>
      </c>
      <c r="J1162" s="3">
        <v>0.6166666666666667</v>
      </c>
      <c r="K1162" s="1" t="s">
        <v>73</v>
      </c>
      <c r="L1162" s="2">
        <v>45280</v>
      </c>
      <c r="M1162" s="3">
        <v>0.66527777777777775</v>
      </c>
      <c r="N1162" s="19" t="s">
        <v>2980</v>
      </c>
    </row>
    <row r="1163" spans="1:14" ht="57.6" hidden="1" x14ac:dyDescent="0.3">
      <c r="A1163" s="47">
        <f t="shared" si="54"/>
        <v>2023</v>
      </c>
      <c r="B1163" s="46">
        <f t="shared" si="55"/>
        <v>49</v>
      </c>
      <c r="C1163" s="46">
        <f t="shared" si="56"/>
        <v>51</v>
      </c>
      <c r="E1163" s="1" t="s">
        <v>2981</v>
      </c>
      <c r="F1163" s="19" t="s">
        <v>2982</v>
      </c>
      <c r="G1163" s="1" t="s">
        <v>900</v>
      </c>
      <c r="H1163" s="1" t="s">
        <v>2520</v>
      </c>
      <c r="I1163" s="2">
        <v>45267</v>
      </c>
      <c r="J1163" s="3">
        <v>0.60277777777777775</v>
      </c>
      <c r="K1163" s="1" t="s">
        <v>73</v>
      </c>
      <c r="L1163" s="2">
        <v>45280</v>
      </c>
      <c r="M1163" s="3">
        <v>0.70416666666666661</v>
      </c>
      <c r="N1163" s="19" t="s">
        <v>2983</v>
      </c>
    </row>
    <row r="1164" spans="1:14" ht="57.6" hidden="1" x14ac:dyDescent="0.3">
      <c r="A1164" s="47">
        <f t="shared" si="54"/>
        <v>2023</v>
      </c>
      <c r="B1164" s="46">
        <f t="shared" si="55"/>
        <v>49</v>
      </c>
      <c r="C1164" s="46">
        <f t="shared" si="56"/>
        <v>51</v>
      </c>
      <c r="E1164" s="1" t="s">
        <v>2984</v>
      </c>
      <c r="F1164" s="19" t="s">
        <v>2985</v>
      </c>
      <c r="G1164" s="1" t="s">
        <v>900</v>
      </c>
      <c r="H1164" s="1" t="s">
        <v>2520</v>
      </c>
      <c r="I1164" s="2">
        <v>45267</v>
      </c>
      <c r="J1164" s="3">
        <v>0.61736111111111114</v>
      </c>
      <c r="K1164" s="1" t="s">
        <v>73</v>
      </c>
      <c r="L1164" s="2">
        <v>45280</v>
      </c>
      <c r="M1164" s="3">
        <v>0.7055555555555556</v>
      </c>
      <c r="N1164" s="19" t="s">
        <v>2986</v>
      </c>
    </row>
    <row r="1165" spans="1:14" ht="57.6" hidden="1" x14ac:dyDescent="0.3">
      <c r="A1165" s="47">
        <f t="shared" si="54"/>
        <v>2023</v>
      </c>
      <c r="B1165" s="46">
        <f t="shared" si="55"/>
        <v>49</v>
      </c>
      <c r="C1165" s="46">
        <f t="shared" si="56"/>
        <v>51</v>
      </c>
      <c r="E1165" s="1" t="s">
        <v>2987</v>
      </c>
      <c r="F1165" s="19" t="s">
        <v>2988</v>
      </c>
      <c r="G1165" s="1" t="s">
        <v>900</v>
      </c>
      <c r="H1165" s="1" t="s">
        <v>2520</v>
      </c>
      <c r="I1165" s="2">
        <v>45267</v>
      </c>
      <c r="J1165" s="3">
        <v>0.62291666666666667</v>
      </c>
      <c r="K1165" s="1" t="s">
        <v>73</v>
      </c>
      <c r="L1165" s="2">
        <v>45280</v>
      </c>
      <c r="M1165" s="3">
        <v>0.70694444444444438</v>
      </c>
      <c r="N1165" s="19" t="s">
        <v>2989</v>
      </c>
    </row>
    <row r="1166" spans="1:14" ht="388.8" hidden="1" x14ac:dyDescent="0.3">
      <c r="A1166" s="47">
        <f t="shared" si="54"/>
        <v>2023</v>
      </c>
      <c r="B1166" s="46">
        <f t="shared" si="55"/>
        <v>50</v>
      </c>
      <c r="C1166" s="46">
        <f t="shared" si="56"/>
        <v>51</v>
      </c>
      <c r="E1166" s="296" t="s">
        <v>2990</v>
      </c>
      <c r="F1166" s="19" t="s">
        <v>2991</v>
      </c>
      <c r="G1166" s="1" t="s">
        <v>10</v>
      </c>
      <c r="H1166" s="1" t="s">
        <v>2520</v>
      </c>
      <c r="I1166" s="2">
        <v>45271</v>
      </c>
      <c r="J1166" s="3">
        <v>0.48194444444444445</v>
      </c>
      <c r="K1166" s="1" t="s">
        <v>88</v>
      </c>
      <c r="L1166" s="2">
        <v>45282</v>
      </c>
      <c r="M1166" s="3">
        <v>0.53819444444444442</v>
      </c>
      <c r="N1166" s="19" t="s">
        <v>3097</v>
      </c>
    </row>
    <row r="1167" spans="1:14" ht="86.4" hidden="1" x14ac:dyDescent="0.3">
      <c r="A1167" s="47">
        <f t="shared" si="54"/>
        <v>2023</v>
      </c>
      <c r="B1167" s="46">
        <f t="shared" si="55"/>
        <v>50</v>
      </c>
      <c r="C1167" s="46">
        <f t="shared" si="56"/>
        <v>51</v>
      </c>
      <c r="E1167" s="1" t="s">
        <v>2992</v>
      </c>
      <c r="F1167" s="19" t="s">
        <v>2993</v>
      </c>
      <c r="G1167" s="1" t="s">
        <v>10</v>
      </c>
      <c r="H1167" s="1" t="s">
        <v>2520</v>
      </c>
      <c r="I1167" s="2">
        <v>45271</v>
      </c>
      <c r="J1167" s="3">
        <v>0.44722222222222219</v>
      </c>
      <c r="K1167" s="1" t="s">
        <v>88</v>
      </c>
      <c r="L1167" s="2">
        <v>45282</v>
      </c>
      <c r="M1167" s="3">
        <v>0.5625</v>
      </c>
      <c r="N1167" s="19" t="s">
        <v>2994</v>
      </c>
    </row>
    <row r="1168" spans="1:14" ht="57.6" hidden="1" x14ac:dyDescent="0.3">
      <c r="A1168" s="47">
        <f t="shared" si="54"/>
        <v>2023</v>
      </c>
      <c r="B1168" s="46">
        <f t="shared" si="55"/>
        <v>50</v>
      </c>
      <c r="C1168" s="46">
        <f t="shared" si="56"/>
        <v>51</v>
      </c>
      <c r="E1168" s="1" t="s">
        <v>2995</v>
      </c>
      <c r="F1168" s="19" t="s">
        <v>2997</v>
      </c>
      <c r="G1168" s="1" t="s">
        <v>10</v>
      </c>
      <c r="H1168" s="1" t="s">
        <v>2520</v>
      </c>
      <c r="I1168" s="2">
        <v>45271</v>
      </c>
      <c r="J1168" s="3">
        <v>0.44930555555555557</v>
      </c>
      <c r="K1168" s="1" t="s">
        <v>88</v>
      </c>
      <c r="L1168" s="2">
        <v>45282</v>
      </c>
      <c r="M1168" s="3">
        <v>0.59791666666666665</v>
      </c>
      <c r="N1168" s="19" t="s">
        <v>2996</v>
      </c>
    </row>
    <row r="1169" spans="1:14" ht="57.6" hidden="1" x14ac:dyDescent="0.3">
      <c r="A1169" s="47">
        <f t="shared" si="54"/>
        <v>2023</v>
      </c>
      <c r="B1169" s="46">
        <f t="shared" si="55"/>
        <v>50</v>
      </c>
      <c r="C1169" s="46">
        <f t="shared" si="56"/>
        <v>51</v>
      </c>
      <c r="E1169" s="1" t="s">
        <v>2999</v>
      </c>
      <c r="F1169" s="19" t="s">
        <v>2998</v>
      </c>
      <c r="G1169" s="1" t="s">
        <v>10</v>
      </c>
      <c r="H1169" s="1" t="s">
        <v>2520</v>
      </c>
      <c r="I1169" s="2">
        <v>45271</v>
      </c>
      <c r="J1169" s="3">
        <v>0.45416666666666666</v>
      </c>
      <c r="K1169" s="1" t="s">
        <v>88</v>
      </c>
      <c r="L1169" s="2">
        <v>45282</v>
      </c>
      <c r="M1169" s="3">
        <v>0.60902777777777783</v>
      </c>
      <c r="N1169" s="19" t="s">
        <v>3000</v>
      </c>
    </row>
    <row r="1170" spans="1:14" ht="72" hidden="1" x14ac:dyDescent="0.3">
      <c r="A1170" s="47">
        <f t="shared" si="54"/>
        <v>2023</v>
      </c>
      <c r="B1170" s="46">
        <f t="shared" si="55"/>
        <v>50</v>
      </c>
      <c r="C1170" s="46">
        <f t="shared" si="56"/>
        <v>51</v>
      </c>
      <c r="E1170" s="1" t="s">
        <v>3001</v>
      </c>
      <c r="F1170" s="19" t="s">
        <v>3003</v>
      </c>
      <c r="G1170" s="1" t="s">
        <v>10</v>
      </c>
      <c r="H1170" s="1" t="s">
        <v>2520</v>
      </c>
      <c r="I1170" s="2">
        <v>45271</v>
      </c>
      <c r="J1170" s="3">
        <v>0.45555555555555555</v>
      </c>
      <c r="K1170" s="1" t="s">
        <v>88</v>
      </c>
      <c r="L1170" s="2">
        <v>45282</v>
      </c>
      <c r="M1170" s="3">
        <v>0.61527777777777781</v>
      </c>
      <c r="N1170" s="19" t="s">
        <v>3002</v>
      </c>
    </row>
    <row r="1171" spans="1:14" ht="57.6" hidden="1" x14ac:dyDescent="0.3">
      <c r="A1171" s="47">
        <f t="shared" si="54"/>
        <v>2023</v>
      </c>
      <c r="B1171" s="46">
        <f t="shared" si="55"/>
        <v>50</v>
      </c>
      <c r="C1171" s="46">
        <f t="shared" si="56"/>
        <v>52</v>
      </c>
      <c r="E1171" s="1" t="s">
        <v>3005</v>
      </c>
      <c r="F1171" s="19" t="s">
        <v>3006</v>
      </c>
      <c r="G1171" s="1" t="s">
        <v>10</v>
      </c>
      <c r="H1171" s="1" t="s">
        <v>2520</v>
      </c>
      <c r="I1171" s="2">
        <v>45273</v>
      </c>
      <c r="J1171" s="3">
        <v>0.68125000000000002</v>
      </c>
      <c r="K1171" s="1" t="s">
        <v>88</v>
      </c>
      <c r="L1171" s="2">
        <v>45289</v>
      </c>
      <c r="M1171" s="3">
        <v>0.60069444444444442</v>
      </c>
      <c r="N1171" s="19" t="s">
        <v>3004</v>
      </c>
    </row>
    <row r="1172" spans="1:14" ht="57.6" hidden="1" x14ac:dyDescent="0.3">
      <c r="A1172" s="47">
        <f t="shared" si="54"/>
        <v>2023</v>
      </c>
      <c r="B1172" s="46">
        <f t="shared" si="55"/>
        <v>50</v>
      </c>
      <c r="C1172" s="46">
        <f t="shared" si="56"/>
        <v>52</v>
      </c>
      <c r="E1172" s="1" t="s">
        <v>3008</v>
      </c>
      <c r="F1172" s="19" t="s">
        <v>3009</v>
      </c>
      <c r="G1172" s="1" t="s">
        <v>10</v>
      </c>
      <c r="H1172" s="1" t="s">
        <v>2520</v>
      </c>
      <c r="I1172" s="2">
        <v>45273</v>
      </c>
      <c r="J1172" s="3">
        <v>0.68333333333333324</v>
      </c>
      <c r="K1172" s="1" t="s">
        <v>88</v>
      </c>
      <c r="L1172" s="2">
        <v>45289</v>
      </c>
      <c r="M1172" s="3">
        <v>0.62222222222222223</v>
      </c>
      <c r="N1172" s="19" t="s">
        <v>3007</v>
      </c>
    </row>
    <row r="1173" spans="1:14" ht="158.4" hidden="1" x14ac:dyDescent="0.3">
      <c r="A1173" s="47">
        <f t="shared" si="54"/>
        <v>2024</v>
      </c>
      <c r="B1173" s="46">
        <f t="shared" si="55"/>
        <v>50</v>
      </c>
      <c r="C1173" s="46">
        <f t="shared" si="56"/>
        <v>1</v>
      </c>
      <c r="E1173" s="1" t="s">
        <v>3011</v>
      </c>
      <c r="F1173" s="19" t="s">
        <v>3010</v>
      </c>
      <c r="G1173" s="1" t="s">
        <v>10</v>
      </c>
      <c r="H1173" s="1" t="s">
        <v>2520</v>
      </c>
      <c r="I1173" s="2">
        <v>45273</v>
      </c>
      <c r="J1173" s="3">
        <v>0.68819444444444444</v>
      </c>
      <c r="K1173" s="1" t="s">
        <v>88</v>
      </c>
      <c r="L1173" s="2">
        <v>45293</v>
      </c>
      <c r="M1173" s="3">
        <v>0.3263888888888889</v>
      </c>
      <c r="N1173" s="19" t="s">
        <v>3198</v>
      </c>
    </row>
    <row r="1174" spans="1:14" ht="230.4" hidden="1" x14ac:dyDescent="0.3">
      <c r="A1174" s="47">
        <f t="shared" si="54"/>
        <v>2024</v>
      </c>
      <c r="B1174" s="46">
        <f t="shared" si="55"/>
        <v>51</v>
      </c>
      <c r="C1174" s="46">
        <f t="shared" si="56"/>
        <v>2</v>
      </c>
      <c r="E1174" s="1" t="s">
        <v>3013</v>
      </c>
      <c r="F1174" s="19" t="s">
        <v>3014</v>
      </c>
      <c r="G1174" s="1" t="s">
        <v>10</v>
      </c>
      <c r="H1174" s="21" t="s">
        <v>2520</v>
      </c>
      <c r="I1174" s="34">
        <v>45280</v>
      </c>
      <c r="J1174" s="28">
        <v>0.68888888888888899</v>
      </c>
      <c r="K1174" s="1" t="s">
        <v>88</v>
      </c>
      <c r="L1174" s="2">
        <v>45302</v>
      </c>
      <c r="M1174" s="3">
        <v>0.5395833333333333</v>
      </c>
      <c r="N1174" s="19" t="s">
        <v>3015</v>
      </c>
    </row>
    <row r="1175" spans="1:14" ht="129.6" hidden="1" x14ac:dyDescent="0.3">
      <c r="A1175" s="47">
        <f t="shared" si="54"/>
        <v>2024</v>
      </c>
      <c r="B1175" s="46">
        <f t="shared" si="55"/>
        <v>51</v>
      </c>
      <c r="C1175" s="46">
        <f t="shared" si="56"/>
        <v>2</v>
      </c>
      <c r="E1175" s="38" t="s">
        <v>3016</v>
      </c>
      <c r="F1175" s="19" t="s">
        <v>3017</v>
      </c>
      <c r="G1175" s="1" t="s">
        <v>10</v>
      </c>
      <c r="H1175" s="21" t="s">
        <v>2520</v>
      </c>
      <c r="I1175" s="34">
        <v>45280</v>
      </c>
      <c r="J1175" s="28">
        <v>0.68888888888888899</v>
      </c>
      <c r="K1175" s="1" t="s">
        <v>88</v>
      </c>
      <c r="L1175" s="2">
        <v>45303</v>
      </c>
      <c r="M1175" s="3">
        <v>0.46597222222222223</v>
      </c>
      <c r="N1175" s="19" t="s">
        <v>3018</v>
      </c>
    </row>
    <row r="1176" spans="1:14" ht="72" hidden="1" x14ac:dyDescent="0.3">
      <c r="A1176" s="47">
        <f t="shared" si="54"/>
        <v>2024</v>
      </c>
      <c r="B1176" s="46">
        <f t="shared" si="55"/>
        <v>51</v>
      </c>
      <c r="C1176" s="46">
        <f t="shared" si="56"/>
        <v>2</v>
      </c>
      <c r="E1176" s="1" t="s">
        <v>3019</v>
      </c>
      <c r="F1176" s="19" t="s">
        <v>3020</v>
      </c>
      <c r="G1176" s="1" t="s">
        <v>9</v>
      </c>
      <c r="H1176" s="21" t="s">
        <v>2520</v>
      </c>
      <c r="I1176" s="2">
        <v>45279</v>
      </c>
      <c r="J1176" s="3">
        <v>0.61597222222222225</v>
      </c>
      <c r="K1176" s="1" t="s">
        <v>88</v>
      </c>
      <c r="L1176" s="2">
        <v>45303</v>
      </c>
      <c r="M1176" s="3">
        <v>0.58263888888888882</v>
      </c>
      <c r="N1176" s="19" t="s">
        <v>3021</v>
      </c>
    </row>
    <row r="1177" spans="1:14" ht="288" hidden="1" x14ac:dyDescent="0.3">
      <c r="A1177" s="47">
        <f t="shared" si="54"/>
        <v>2024</v>
      </c>
      <c r="B1177" s="46">
        <f t="shared" si="55"/>
        <v>51</v>
      </c>
      <c r="C1177" s="46">
        <f t="shared" si="56"/>
        <v>3</v>
      </c>
      <c r="E1177" s="4" t="s">
        <v>3023</v>
      </c>
      <c r="F1177" s="19" t="s">
        <v>3024</v>
      </c>
      <c r="G1177" s="1" t="s">
        <v>10</v>
      </c>
      <c r="H1177" s="21" t="s">
        <v>2520</v>
      </c>
      <c r="I1177" s="2">
        <v>45279</v>
      </c>
      <c r="J1177" s="3">
        <v>0.60069444444444442</v>
      </c>
      <c r="K1177" s="1" t="s">
        <v>88</v>
      </c>
      <c r="L1177" s="2">
        <v>45309</v>
      </c>
      <c r="M1177" s="3">
        <v>0.6958333333333333</v>
      </c>
      <c r="N1177" s="19" t="s">
        <v>3025</v>
      </c>
    </row>
    <row r="1178" spans="1:14" ht="43.2" hidden="1" x14ac:dyDescent="0.3">
      <c r="A1178" s="47">
        <f t="shared" si="54"/>
        <v>2024</v>
      </c>
      <c r="B1178" s="46">
        <f t="shared" si="55"/>
        <v>2</v>
      </c>
      <c r="C1178" s="46">
        <f t="shared" si="56"/>
        <v>3</v>
      </c>
      <c r="E1178" s="1" t="s">
        <v>3026</v>
      </c>
      <c r="F1178" s="19" t="s">
        <v>3027</v>
      </c>
      <c r="G1178" s="1" t="s">
        <v>9</v>
      </c>
      <c r="H1178" s="21" t="s">
        <v>2520</v>
      </c>
      <c r="I1178" s="2">
        <v>45301</v>
      </c>
      <c r="J1178" s="3">
        <v>0.6069444444444444</v>
      </c>
      <c r="K1178" s="1" t="s">
        <v>88</v>
      </c>
      <c r="L1178" s="2">
        <v>45310</v>
      </c>
      <c r="M1178" s="3">
        <v>0.41666666666666669</v>
      </c>
      <c r="N1178" s="19" t="s">
        <v>3028</v>
      </c>
    </row>
    <row r="1179" spans="1:14" ht="86.4" hidden="1" x14ac:dyDescent="0.3">
      <c r="A1179" s="47">
        <f t="shared" si="54"/>
        <v>2024</v>
      </c>
      <c r="B1179" s="46">
        <f t="shared" si="55"/>
        <v>2</v>
      </c>
      <c r="C1179" s="46">
        <f t="shared" si="56"/>
        <v>3</v>
      </c>
      <c r="E1179" s="1" t="s">
        <v>3030</v>
      </c>
      <c r="F1179" s="19" t="s">
        <v>3031</v>
      </c>
      <c r="G1179" s="1" t="s">
        <v>10</v>
      </c>
      <c r="H1179" s="21" t="s">
        <v>2520</v>
      </c>
      <c r="I1179" s="2">
        <v>45302</v>
      </c>
      <c r="J1179" s="3">
        <v>0.39861111111111108</v>
      </c>
      <c r="K1179" s="1" t="s">
        <v>88</v>
      </c>
      <c r="L1179" s="2">
        <v>45310</v>
      </c>
      <c r="M1179" s="3">
        <v>0.48680555555555555</v>
      </c>
      <c r="N1179" s="19" t="s">
        <v>3029</v>
      </c>
    </row>
    <row r="1180" spans="1:14" ht="144" hidden="1" x14ac:dyDescent="0.3">
      <c r="A1180" s="47">
        <f t="shared" si="54"/>
        <v>2024</v>
      </c>
      <c r="B1180" s="46">
        <f t="shared" si="55"/>
        <v>2</v>
      </c>
      <c r="C1180" s="46">
        <f t="shared" si="56"/>
        <v>3</v>
      </c>
      <c r="E1180" s="1" t="s">
        <v>3032</v>
      </c>
      <c r="F1180" s="19" t="s">
        <v>3033</v>
      </c>
      <c r="G1180" s="1" t="s">
        <v>900</v>
      </c>
      <c r="H1180" s="21" t="s">
        <v>2520</v>
      </c>
      <c r="I1180" s="2">
        <v>45301</v>
      </c>
      <c r="J1180" s="3">
        <v>0.4916666666666667</v>
      </c>
      <c r="K1180" s="1" t="s">
        <v>73</v>
      </c>
      <c r="L1180" s="2">
        <v>45311</v>
      </c>
      <c r="M1180" s="3">
        <v>0.3972222222222222</v>
      </c>
      <c r="N1180" s="19" t="s">
        <v>3034</v>
      </c>
    </row>
    <row r="1181" spans="1:14" ht="86.4" hidden="1" x14ac:dyDescent="0.3">
      <c r="A1181" s="47">
        <f t="shared" si="54"/>
        <v>2024</v>
      </c>
      <c r="B1181" s="46">
        <f t="shared" si="55"/>
        <v>2</v>
      </c>
      <c r="C1181" s="46">
        <f t="shared" si="56"/>
        <v>3</v>
      </c>
      <c r="E1181" s="21" t="s">
        <v>3035</v>
      </c>
      <c r="F1181" s="19" t="s">
        <v>3036</v>
      </c>
      <c r="G1181" s="1" t="s">
        <v>900</v>
      </c>
      <c r="H1181" s="21" t="s">
        <v>2520</v>
      </c>
      <c r="I1181" s="2">
        <v>45302</v>
      </c>
      <c r="J1181" s="3">
        <v>0.53333333333333299</v>
      </c>
      <c r="K1181" s="1" t="s">
        <v>73</v>
      </c>
      <c r="L1181" s="2">
        <v>45311</v>
      </c>
      <c r="M1181" s="3">
        <v>0.42222222222222222</v>
      </c>
      <c r="N1181" s="19" t="s">
        <v>3037</v>
      </c>
    </row>
    <row r="1182" spans="1:14" ht="86.4" hidden="1" x14ac:dyDescent="0.3">
      <c r="A1182" s="47">
        <f t="shared" si="54"/>
        <v>2024</v>
      </c>
      <c r="B1182" s="46">
        <f t="shared" si="55"/>
        <v>2</v>
      </c>
      <c r="C1182" s="46">
        <f t="shared" si="56"/>
        <v>4</v>
      </c>
      <c r="E1182" s="1" t="s">
        <v>3038</v>
      </c>
      <c r="F1182" s="99" t="s">
        <v>3039</v>
      </c>
      <c r="G1182" s="95" t="s">
        <v>900</v>
      </c>
      <c r="H1182" s="65" t="s">
        <v>2520</v>
      </c>
      <c r="I1182" s="96">
        <v>45302</v>
      </c>
      <c r="J1182" s="97">
        <v>0.53333333333333299</v>
      </c>
      <c r="K1182" s="95" t="s">
        <v>73</v>
      </c>
      <c r="L1182" s="96">
        <v>45314</v>
      </c>
      <c r="M1182" s="97">
        <v>0.53680555555555554</v>
      </c>
      <c r="N1182" s="99" t="s">
        <v>3040</v>
      </c>
    </row>
    <row r="1183" spans="1:14" ht="130.80000000000001" hidden="1" x14ac:dyDescent="0.3">
      <c r="A1183" s="47">
        <f t="shared" si="54"/>
        <v>2024</v>
      </c>
      <c r="B1183" s="46">
        <f t="shared" si="55"/>
        <v>2</v>
      </c>
      <c r="C1183" s="46">
        <f t="shared" si="56"/>
        <v>3</v>
      </c>
      <c r="E1183" s="1" t="s">
        <v>3041</v>
      </c>
      <c r="F1183" s="19" t="s">
        <v>3042</v>
      </c>
      <c r="G1183" s="95" t="s">
        <v>900</v>
      </c>
      <c r="H1183" s="65" t="s">
        <v>2520</v>
      </c>
      <c r="I1183" s="96">
        <v>45301</v>
      </c>
      <c r="J1183" s="97">
        <v>0.50902777777777775</v>
      </c>
      <c r="K1183" s="95" t="s">
        <v>73</v>
      </c>
      <c r="L1183" s="96">
        <v>45311</v>
      </c>
      <c r="M1183" s="3">
        <v>0.49027777777777781</v>
      </c>
      <c r="N1183" s="19" t="s">
        <v>3043</v>
      </c>
    </row>
    <row r="1184" spans="1:14" ht="72" hidden="1" x14ac:dyDescent="0.3">
      <c r="A1184" s="47">
        <f t="shared" si="54"/>
        <v>2024</v>
      </c>
      <c r="B1184" s="46">
        <f t="shared" si="55"/>
        <v>2</v>
      </c>
      <c r="C1184" s="46">
        <f t="shared" si="56"/>
        <v>3</v>
      </c>
      <c r="E1184" s="1" t="s">
        <v>3044</v>
      </c>
      <c r="F1184" s="19" t="s">
        <v>3046</v>
      </c>
      <c r="G1184" s="95" t="s">
        <v>900</v>
      </c>
      <c r="H1184" s="65" t="s">
        <v>2520</v>
      </c>
      <c r="I1184" s="96">
        <v>45301</v>
      </c>
      <c r="J1184" s="97" t="s">
        <v>3045</v>
      </c>
      <c r="K1184" s="95" t="s">
        <v>73</v>
      </c>
      <c r="L1184" s="96">
        <v>45311</v>
      </c>
      <c r="M1184" s="3">
        <v>0.54999999999999993</v>
      </c>
      <c r="N1184" s="19" t="s">
        <v>3047</v>
      </c>
    </row>
    <row r="1185" spans="1:14" ht="57.6" hidden="1" x14ac:dyDescent="0.3">
      <c r="A1185" s="47">
        <f t="shared" si="54"/>
        <v>2024</v>
      </c>
      <c r="B1185" s="46">
        <f t="shared" si="55"/>
        <v>2</v>
      </c>
      <c r="C1185" s="46">
        <f t="shared" si="56"/>
        <v>3</v>
      </c>
      <c r="E1185" s="1" t="s">
        <v>3048</v>
      </c>
      <c r="F1185" s="19" t="s">
        <v>3049</v>
      </c>
      <c r="G1185" s="95" t="s">
        <v>900</v>
      </c>
      <c r="H1185" s="65" t="s">
        <v>2520</v>
      </c>
      <c r="I1185" s="96">
        <v>45301</v>
      </c>
      <c r="J1185" s="97" t="s">
        <v>3050</v>
      </c>
      <c r="K1185" s="95" t="s">
        <v>73</v>
      </c>
      <c r="L1185" s="96">
        <v>45311</v>
      </c>
      <c r="M1185" s="1" t="s">
        <v>3052</v>
      </c>
      <c r="N1185" s="19" t="s">
        <v>3051</v>
      </c>
    </row>
    <row r="1186" spans="1:14" ht="57.6" hidden="1" x14ac:dyDescent="0.3">
      <c r="A1186" s="47">
        <f t="shared" si="54"/>
        <v>2024</v>
      </c>
      <c r="B1186" s="46">
        <f t="shared" si="55"/>
        <v>2</v>
      </c>
      <c r="C1186" s="46">
        <f t="shared" si="56"/>
        <v>3</v>
      </c>
      <c r="E1186" s="1" t="s">
        <v>3053</v>
      </c>
      <c r="F1186" s="19" t="s">
        <v>3054</v>
      </c>
      <c r="G1186" s="95" t="s">
        <v>900</v>
      </c>
      <c r="H1186" s="65" t="s">
        <v>2520</v>
      </c>
      <c r="I1186" s="96">
        <v>45302</v>
      </c>
      <c r="J1186" s="97">
        <v>0.37847222222222227</v>
      </c>
      <c r="K1186" s="95" t="s">
        <v>73</v>
      </c>
      <c r="L1186" s="96">
        <v>45311</v>
      </c>
      <c r="M1186" s="1" t="s">
        <v>3056</v>
      </c>
      <c r="N1186" s="19" t="s">
        <v>3055</v>
      </c>
    </row>
    <row r="1187" spans="1:14" ht="86.4" hidden="1" x14ac:dyDescent="0.3">
      <c r="A1187" s="47">
        <f t="shared" si="54"/>
        <v>2024</v>
      </c>
      <c r="B1187" s="46">
        <f t="shared" si="55"/>
        <v>2</v>
      </c>
      <c r="C1187" s="46">
        <f t="shared" si="56"/>
        <v>3</v>
      </c>
      <c r="E1187" s="1" t="s">
        <v>3057</v>
      </c>
      <c r="F1187" s="19" t="s">
        <v>3058</v>
      </c>
      <c r="G1187" s="95" t="s">
        <v>900</v>
      </c>
      <c r="H1187" s="65" t="s">
        <v>2520</v>
      </c>
      <c r="I1187" s="96">
        <v>45302</v>
      </c>
      <c r="J1187" s="97">
        <v>0.38750000000000001</v>
      </c>
      <c r="K1187" s="95" t="s">
        <v>73</v>
      </c>
      <c r="L1187" s="96">
        <v>45311</v>
      </c>
      <c r="M1187" s="3">
        <v>0.56736111111111109</v>
      </c>
      <c r="N1187" s="19" t="s">
        <v>3059</v>
      </c>
    </row>
    <row r="1188" spans="1:14" ht="57.6" hidden="1" x14ac:dyDescent="0.3">
      <c r="A1188" s="47">
        <f t="shared" si="54"/>
        <v>2024</v>
      </c>
      <c r="B1188" s="46">
        <f t="shared" si="55"/>
        <v>2</v>
      </c>
      <c r="C1188" s="46">
        <f t="shared" si="56"/>
        <v>3</v>
      </c>
      <c r="E1188" s="1" t="s">
        <v>3060</v>
      </c>
      <c r="F1188" s="19" t="s">
        <v>3061</v>
      </c>
      <c r="G1188" s="95" t="s">
        <v>900</v>
      </c>
      <c r="H1188" s="65" t="s">
        <v>2520</v>
      </c>
      <c r="I1188" s="96">
        <v>45302</v>
      </c>
      <c r="J1188" s="97">
        <v>0.39097222222222222</v>
      </c>
      <c r="K1188" s="95" t="s">
        <v>73</v>
      </c>
      <c r="L1188" s="96">
        <v>45311</v>
      </c>
      <c r="M1188" s="3">
        <v>0.59375</v>
      </c>
      <c r="N1188" s="19" t="s">
        <v>3062</v>
      </c>
    </row>
    <row r="1189" spans="1:14" ht="129.6" hidden="1" x14ac:dyDescent="0.3">
      <c r="A1189" s="47" t="e">
        <f t="shared" si="54"/>
        <v>#VALUE!</v>
      </c>
      <c r="B1189" s="46">
        <f t="shared" si="55"/>
        <v>2</v>
      </c>
      <c r="C1189" s="46" t="e">
        <f t="shared" si="56"/>
        <v>#VALUE!</v>
      </c>
      <c r="E1189" s="1" t="s">
        <v>3063</v>
      </c>
      <c r="F1189" s="19" t="s">
        <v>3064</v>
      </c>
      <c r="G1189" s="95" t="s">
        <v>900</v>
      </c>
      <c r="H1189" s="65" t="s">
        <v>2520</v>
      </c>
      <c r="I1189" s="96">
        <v>45302</v>
      </c>
      <c r="J1189" s="97">
        <v>0.39097222222222222</v>
      </c>
      <c r="K1189" s="95" t="s">
        <v>73</v>
      </c>
      <c r="L1189" s="98" t="s">
        <v>3075</v>
      </c>
      <c r="M1189" s="28" t="s">
        <v>3076</v>
      </c>
      <c r="N1189" s="19" t="s">
        <v>3074</v>
      </c>
    </row>
    <row r="1190" spans="1:14" ht="72" hidden="1" x14ac:dyDescent="0.3">
      <c r="A1190" s="47">
        <f t="shared" si="54"/>
        <v>2024</v>
      </c>
      <c r="B1190" s="46">
        <f t="shared" si="55"/>
        <v>3</v>
      </c>
      <c r="C1190" s="46">
        <f t="shared" si="56"/>
        <v>3</v>
      </c>
      <c r="E1190" s="1" t="s">
        <v>3066</v>
      </c>
      <c r="F1190" s="19" t="s">
        <v>3065</v>
      </c>
      <c r="G1190" s="95" t="s">
        <v>900</v>
      </c>
      <c r="H1190" s="65" t="s">
        <v>2520</v>
      </c>
      <c r="I1190" s="96">
        <v>45309</v>
      </c>
      <c r="J1190" s="97">
        <v>0.7104166666666667</v>
      </c>
      <c r="K1190" s="95" t="s">
        <v>73</v>
      </c>
      <c r="L1190" s="96">
        <v>45311</v>
      </c>
      <c r="M1190" s="3">
        <v>0.62222222222222223</v>
      </c>
      <c r="N1190" s="19" t="s">
        <v>3067</v>
      </c>
    </row>
    <row r="1191" spans="1:14" ht="57.6" hidden="1" x14ac:dyDescent="0.3">
      <c r="A1191" s="47">
        <f t="shared" si="54"/>
        <v>2024</v>
      </c>
      <c r="B1191" s="46">
        <f t="shared" si="55"/>
        <v>3</v>
      </c>
      <c r="C1191" s="46">
        <f t="shared" si="56"/>
        <v>4</v>
      </c>
      <c r="E1191" s="1" t="s">
        <v>3068</v>
      </c>
      <c r="F1191" s="19" t="s">
        <v>3069</v>
      </c>
      <c r="G1191" s="95" t="s">
        <v>900</v>
      </c>
      <c r="H1191" s="65" t="s">
        <v>2520</v>
      </c>
      <c r="I1191" s="96">
        <v>45309</v>
      </c>
      <c r="J1191" s="97">
        <v>0.7055555555555556</v>
      </c>
      <c r="K1191" s="95" t="s">
        <v>73</v>
      </c>
      <c r="L1191" s="96">
        <v>45313</v>
      </c>
      <c r="M1191" s="3">
        <v>0.39930555555555558</v>
      </c>
      <c r="N1191" s="19" t="s">
        <v>3070</v>
      </c>
    </row>
    <row r="1192" spans="1:14" ht="72" hidden="1" x14ac:dyDescent="0.3">
      <c r="A1192" s="47">
        <f t="shared" si="54"/>
        <v>2024</v>
      </c>
      <c r="B1192" s="46">
        <f t="shared" si="55"/>
        <v>4</v>
      </c>
      <c r="C1192" s="46">
        <f t="shared" si="56"/>
        <v>4</v>
      </c>
      <c r="E1192" s="1" t="s">
        <v>3071</v>
      </c>
      <c r="F1192" s="19" t="s">
        <v>3072</v>
      </c>
      <c r="G1192" s="95" t="s">
        <v>900</v>
      </c>
      <c r="H1192" s="65" t="s">
        <v>2520</v>
      </c>
      <c r="I1192" s="96">
        <v>45314</v>
      </c>
      <c r="J1192" s="97">
        <v>0.40208333333333335</v>
      </c>
      <c r="K1192" s="95" t="s">
        <v>73</v>
      </c>
      <c r="L1192" s="96">
        <v>45314</v>
      </c>
      <c r="M1192" s="3">
        <v>0.45069444444444445</v>
      </c>
      <c r="N1192" s="19" t="s">
        <v>3073</v>
      </c>
    </row>
    <row r="1193" spans="1:14" ht="72" hidden="1" x14ac:dyDescent="0.3">
      <c r="A1193" s="47">
        <f t="shared" si="54"/>
        <v>2023</v>
      </c>
      <c r="B1193" s="46">
        <f t="shared" si="55"/>
        <v>2</v>
      </c>
      <c r="C1193" s="46">
        <f t="shared" si="56"/>
        <v>4</v>
      </c>
      <c r="E1193" s="1" t="s">
        <v>3077</v>
      </c>
      <c r="F1193" s="19" t="s">
        <v>3078</v>
      </c>
      <c r="G1193" s="1" t="s">
        <v>10</v>
      </c>
      <c r="H1193" s="65" t="s">
        <v>2520</v>
      </c>
      <c r="I1193" s="96">
        <v>45303</v>
      </c>
      <c r="J1193" s="97">
        <v>0.55555555555555558</v>
      </c>
      <c r="K1193" s="95" t="s">
        <v>73</v>
      </c>
      <c r="L1193" s="96">
        <v>44953</v>
      </c>
      <c r="M1193" s="3">
        <v>0.55069444444444449</v>
      </c>
      <c r="N1193" s="19" t="s">
        <v>3079</v>
      </c>
    </row>
    <row r="1194" spans="1:14" ht="72" hidden="1" x14ac:dyDescent="0.3">
      <c r="A1194" s="47">
        <f t="shared" si="54"/>
        <v>2023</v>
      </c>
      <c r="B1194" s="46">
        <f t="shared" si="55"/>
        <v>2</v>
      </c>
      <c r="C1194" s="46">
        <f t="shared" si="56"/>
        <v>4</v>
      </c>
      <c r="E1194" s="1" t="s">
        <v>3080</v>
      </c>
      <c r="F1194" s="19" t="s">
        <v>3081</v>
      </c>
      <c r="G1194" s="1" t="s">
        <v>10</v>
      </c>
      <c r="H1194" s="65" t="s">
        <v>2520</v>
      </c>
      <c r="I1194" s="96">
        <v>45303</v>
      </c>
      <c r="J1194" s="97">
        <v>0.55555555555555558</v>
      </c>
      <c r="K1194" s="95" t="s">
        <v>73</v>
      </c>
      <c r="L1194" s="96">
        <v>44953</v>
      </c>
      <c r="M1194" s="3">
        <v>0.61319444444444449</v>
      </c>
      <c r="N1194" s="19" t="s">
        <v>3079</v>
      </c>
    </row>
    <row r="1195" spans="1:14" ht="72" hidden="1" x14ac:dyDescent="0.3">
      <c r="A1195" s="47">
        <f t="shared" si="54"/>
        <v>2024</v>
      </c>
      <c r="B1195" s="46">
        <f t="shared" si="55"/>
        <v>5</v>
      </c>
      <c r="C1195" s="46">
        <f t="shared" si="56"/>
        <v>5</v>
      </c>
      <c r="E1195" s="1" t="s">
        <v>3082</v>
      </c>
      <c r="F1195" s="19" t="s">
        <v>3083</v>
      </c>
      <c r="G1195" s="95" t="s">
        <v>900</v>
      </c>
      <c r="H1195" s="65" t="s">
        <v>2520</v>
      </c>
      <c r="I1195" s="96">
        <v>45321</v>
      </c>
      <c r="J1195" s="97">
        <v>0.6430555555555556</v>
      </c>
      <c r="K1195" s="95" t="s">
        <v>73</v>
      </c>
      <c r="L1195" s="96">
        <v>45321</v>
      </c>
      <c r="M1195" s="3">
        <v>0.53819444444444442</v>
      </c>
      <c r="N1195" s="19" t="s">
        <v>3084</v>
      </c>
    </row>
    <row r="1196" spans="1:14" ht="72" hidden="1" x14ac:dyDescent="0.3">
      <c r="A1196" s="47">
        <f t="shared" si="54"/>
        <v>2024</v>
      </c>
      <c r="B1196" s="46">
        <f t="shared" si="55"/>
        <v>3</v>
      </c>
      <c r="C1196" s="46">
        <f t="shared" si="56"/>
        <v>5</v>
      </c>
      <c r="E1196" s="1" t="s">
        <v>3085</v>
      </c>
      <c r="F1196" s="19" t="s">
        <v>3086</v>
      </c>
      <c r="G1196" s="1" t="s">
        <v>9</v>
      </c>
      <c r="H1196" s="65" t="s">
        <v>2520</v>
      </c>
      <c r="I1196" s="2">
        <v>45308</v>
      </c>
      <c r="J1196" s="3">
        <v>0.71180555555555547</v>
      </c>
      <c r="K1196" s="1" t="s">
        <v>88</v>
      </c>
      <c r="L1196" s="96">
        <v>45321</v>
      </c>
      <c r="M1196" s="3">
        <v>0.67083333333333339</v>
      </c>
      <c r="N1196" s="19" t="s">
        <v>3087</v>
      </c>
    </row>
    <row r="1197" spans="1:14" ht="57.6" hidden="1" x14ac:dyDescent="0.3">
      <c r="A1197" s="47">
        <f t="shared" si="54"/>
        <v>2024</v>
      </c>
      <c r="B1197" s="46">
        <f t="shared" si="55"/>
        <v>3</v>
      </c>
      <c r="C1197" s="46">
        <f t="shared" si="56"/>
        <v>5</v>
      </c>
      <c r="E1197" s="1" t="s">
        <v>3089</v>
      </c>
      <c r="F1197" s="19" t="s">
        <v>2548</v>
      </c>
      <c r="G1197" s="1" t="s">
        <v>9</v>
      </c>
      <c r="H1197" s="65" t="s">
        <v>2520</v>
      </c>
      <c r="I1197" s="2">
        <v>45309</v>
      </c>
      <c r="J1197" s="3">
        <v>0.69097222222222221</v>
      </c>
      <c r="K1197" s="1" t="s">
        <v>88</v>
      </c>
      <c r="L1197" s="96">
        <v>45321</v>
      </c>
      <c r="M1197" s="3">
        <v>0.68333333333333324</v>
      </c>
      <c r="N1197" s="19" t="s">
        <v>3088</v>
      </c>
    </row>
    <row r="1198" spans="1:14" ht="409.6" hidden="1" x14ac:dyDescent="0.3">
      <c r="A1198" s="47">
        <f t="shared" si="54"/>
        <v>2024</v>
      </c>
      <c r="B1198" s="46">
        <f t="shared" si="55"/>
        <v>4</v>
      </c>
      <c r="C1198" s="46">
        <f t="shared" si="56"/>
        <v>5</v>
      </c>
      <c r="E1198" s="38" t="s">
        <v>3090</v>
      </c>
      <c r="F1198" s="19" t="s">
        <v>3091</v>
      </c>
      <c r="G1198" s="1" t="s">
        <v>10</v>
      </c>
      <c r="H1198" s="65" t="s">
        <v>2520</v>
      </c>
      <c r="I1198" s="2">
        <v>45314</v>
      </c>
      <c r="J1198" s="3">
        <v>0.43263888888888885</v>
      </c>
      <c r="K1198" s="1" t="s">
        <v>88</v>
      </c>
      <c r="L1198" s="2">
        <v>45323</v>
      </c>
      <c r="M1198" s="3">
        <v>0.73749999999999993</v>
      </c>
      <c r="N1198" s="19" t="s">
        <v>3098</v>
      </c>
    </row>
    <row r="1199" spans="1:14" ht="345.6" hidden="1" x14ac:dyDescent="0.3">
      <c r="A1199" s="47">
        <f t="shared" si="54"/>
        <v>2024</v>
      </c>
      <c r="B1199" s="46">
        <f t="shared" si="55"/>
        <v>4</v>
      </c>
      <c r="C1199" s="46">
        <f t="shared" si="56"/>
        <v>5</v>
      </c>
      <c r="E1199" s="38" t="s">
        <v>3092</v>
      </c>
      <c r="F1199" s="19" t="s">
        <v>3952</v>
      </c>
      <c r="G1199" s="1" t="s">
        <v>10</v>
      </c>
      <c r="H1199" s="65" t="s">
        <v>2520</v>
      </c>
      <c r="I1199" s="2">
        <v>45314</v>
      </c>
      <c r="J1199" s="3">
        <v>0.43541666666666662</v>
      </c>
      <c r="K1199" s="1" t="s">
        <v>88</v>
      </c>
      <c r="L1199" s="2">
        <v>45324</v>
      </c>
      <c r="M1199" s="3">
        <v>0.56944444444444442</v>
      </c>
      <c r="N1199" s="19" t="s">
        <v>3099</v>
      </c>
    </row>
    <row r="1200" spans="1:14" ht="302.39999999999998" hidden="1" x14ac:dyDescent="0.3">
      <c r="A1200" s="47">
        <f t="shared" si="54"/>
        <v>2024</v>
      </c>
      <c r="B1200" s="46">
        <f t="shared" si="55"/>
        <v>2</v>
      </c>
      <c r="C1200" s="46">
        <f t="shared" si="56"/>
        <v>6</v>
      </c>
      <c r="E1200" s="1" t="s">
        <v>3238</v>
      </c>
      <c r="F1200" s="19" t="s">
        <v>3247</v>
      </c>
      <c r="G1200" s="1" t="s">
        <v>10</v>
      </c>
      <c r="H1200" s="1" t="s">
        <v>2520</v>
      </c>
      <c r="I1200" s="2">
        <v>45301</v>
      </c>
      <c r="J1200" s="3">
        <v>0.52152777777777781</v>
      </c>
      <c r="K1200" s="1" t="s">
        <v>88</v>
      </c>
      <c r="L1200" s="2">
        <v>45328</v>
      </c>
      <c r="M1200" s="3">
        <v>0.67708333333333337</v>
      </c>
      <c r="N1200" s="19" t="s">
        <v>3367</v>
      </c>
    </row>
    <row r="1201" spans="1:14" ht="216" hidden="1" x14ac:dyDescent="0.3">
      <c r="A1201" s="47">
        <f t="shared" si="54"/>
        <v>2024</v>
      </c>
      <c r="B1201" s="46">
        <f t="shared" si="55"/>
        <v>2</v>
      </c>
      <c r="C1201" s="46">
        <f t="shared" si="56"/>
        <v>6</v>
      </c>
      <c r="E1201" s="38" t="s">
        <v>3249</v>
      </c>
      <c r="F1201" s="19" t="s">
        <v>3248</v>
      </c>
      <c r="G1201" s="1" t="s">
        <v>10</v>
      </c>
      <c r="H1201" s="65" t="s">
        <v>2520</v>
      </c>
      <c r="I1201" s="2">
        <v>45301</v>
      </c>
      <c r="J1201" s="3">
        <v>0.58819444444444446</v>
      </c>
      <c r="K1201" s="1" t="s">
        <v>88</v>
      </c>
      <c r="L1201" s="2">
        <v>45328</v>
      </c>
      <c r="M1201" s="3">
        <v>0.69236111111111109</v>
      </c>
      <c r="N1201" s="19" t="s">
        <v>3250</v>
      </c>
    </row>
    <row r="1202" spans="1:14" ht="86.4" hidden="1" x14ac:dyDescent="0.3">
      <c r="A1202" s="47">
        <f t="shared" si="54"/>
        <v>2024</v>
      </c>
      <c r="B1202" s="46">
        <f t="shared" si="55"/>
        <v>2</v>
      </c>
      <c r="C1202" s="46">
        <f t="shared" si="56"/>
        <v>6</v>
      </c>
      <c r="E1202" s="1" t="s">
        <v>3251</v>
      </c>
      <c r="F1202" s="19" t="s">
        <v>3252</v>
      </c>
      <c r="G1202" s="1" t="s">
        <v>10</v>
      </c>
      <c r="H1202" s="65" t="s">
        <v>2520</v>
      </c>
      <c r="I1202" s="2">
        <v>45302</v>
      </c>
      <c r="J1202" s="3">
        <v>0.38194444444444442</v>
      </c>
      <c r="K1202" s="1" t="s">
        <v>88</v>
      </c>
      <c r="L1202" s="2">
        <v>45327</v>
      </c>
      <c r="M1202" s="3">
        <v>0.70347222222222217</v>
      </c>
      <c r="N1202" s="19" t="s">
        <v>3368</v>
      </c>
    </row>
    <row r="1203" spans="1:14" ht="187.2" hidden="1" x14ac:dyDescent="0.3">
      <c r="A1203" s="47">
        <f t="shared" si="54"/>
        <v>2024</v>
      </c>
      <c r="B1203" s="46">
        <f t="shared" si="55"/>
        <v>2</v>
      </c>
      <c r="C1203" s="46">
        <f t="shared" si="56"/>
        <v>6</v>
      </c>
      <c r="E1203" s="1" t="s">
        <v>3239</v>
      </c>
      <c r="F1203" s="19" t="s">
        <v>3253</v>
      </c>
      <c r="G1203" s="1" t="s">
        <v>10</v>
      </c>
      <c r="H1203" s="65" t="s">
        <v>2520</v>
      </c>
      <c r="I1203" s="2">
        <v>45302</v>
      </c>
      <c r="J1203" s="3">
        <v>0.3840277777777778</v>
      </c>
      <c r="K1203" s="1" t="s">
        <v>88</v>
      </c>
      <c r="L1203" s="2">
        <v>45327</v>
      </c>
      <c r="M1203" s="3">
        <v>0.71527777777777779</v>
      </c>
      <c r="N1203" s="19" t="s">
        <v>3254</v>
      </c>
    </row>
    <row r="1204" spans="1:14" ht="230.4" hidden="1" x14ac:dyDescent="0.3">
      <c r="A1204" s="47">
        <f t="shared" si="54"/>
        <v>2024</v>
      </c>
      <c r="B1204" s="46">
        <f t="shared" si="55"/>
        <v>2</v>
      </c>
      <c r="C1204" s="46">
        <f t="shared" si="56"/>
        <v>6</v>
      </c>
      <c r="E1204" s="1" t="s">
        <v>3240</v>
      </c>
      <c r="F1204" s="19" t="s">
        <v>3255</v>
      </c>
      <c r="G1204" s="1" t="s">
        <v>10</v>
      </c>
      <c r="H1204" s="65" t="s">
        <v>2520</v>
      </c>
      <c r="I1204" s="2">
        <v>45303</v>
      </c>
      <c r="J1204" s="3">
        <v>0.49027777777777781</v>
      </c>
      <c r="K1204" s="1" t="s">
        <v>88</v>
      </c>
      <c r="L1204" s="2">
        <v>45327</v>
      </c>
      <c r="M1204" s="3">
        <v>0.72430555555555554</v>
      </c>
      <c r="N1204" s="19" t="s">
        <v>3256</v>
      </c>
    </row>
    <row r="1205" spans="1:14" ht="172.8" hidden="1" x14ac:dyDescent="0.3">
      <c r="A1205" s="47">
        <f t="shared" si="54"/>
        <v>2024</v>
      </c>
      <c r="B1205" s="46">
        <f t="shared" si="55"/>
        <v>3</v>
      </c>
      <c r="C1205" s="46">
        <f t="shared" si="56"/>
        <v>6</v>
      </c>
      <c r="E1205" s="38" t="s">
        <v>3258</v>
      </c>
      <c r="F1205" s="19" t="s">
        <v>3257</v>
      </c>
      <c r="G1205" s="1" t="s">
        <v>10</v>
      </c>
      <c r="H1205" s="65" t="s">
        <v>2520</v>
      </c>
      <c r="I1205" s="2">
        <v>45308</v>
      </c>
      <c r="J1205" s="3">
        <v>0.69444444444444453</v>
      </c>
      <c r="K1205" s="1" t="s">
        <v>88</v>
      </c>
      <c r="L1205" s="2">
        <v>45330</v>
      </c>
      <c r="M1205" s="3">
        <v>0.4145833333333333</v>
      </c>
      <c r="N1205" s="19" t="s">
        <v>3259</v>
      </c>
    </row>
    <row r="1206" spans="1:14" ht="57.6" hidden="1" x14ac:dyDescent="0.3">
      <c r="A1206" s="47">
        <f t="shared" si="54"/>
        <v>2024</v>
      </c>
      <c r="B1206" s="46">
        <f t="shared" si="55"/>
        <v>3</v>
      </c>
      <c r="C1206" s="46">
        <f t="shared" si="56"/>
        <v>6</v>
      </c>
      <c r="E1206" s="1" t="s">
        <v>3241</v>
      </c>
      <c r="F1206" s="19" t="s">
        <v>3260</v>
      </c>
      <c r="G1206" s="1" t="s">
        <v>10</v>
      </c>
      <c r="H1206" s="65" t="s">
        <v>2520</v>
      </c>
      <c r="I1206" s="2">
        <v>45308</v>
      </c>
      <c r="J1206" s="3">
        <v>0.70277777777777783</v>
      </c>
      <c r="K1206" s="1" t="s">
        <v>88</v>
      </c>
      <c r="L1206" s="2">
        <v>45330</v>
      </c>
      <c r="M1206" s="3">
        <v>0.45347222222222222</v>
      </c>
      <c r="N1206" s="19" t="s">
        <v>2583</v>
      </c>
    </row>
    <row r="1207" spans="1:14" ht="187.2" hidden="1" x14ac:dyDescent="0.3">
      <c r="A1207" s="47">
        <f t="shared" si="54"/>
        <v>2024</v>
      </c>
      <c r="B1207" s="46">
        <f t="shared" si="55"/>
        <v>3</v>
      </c>
      <c r="C1207" s="46">
        <f t="shared" si="56"/>
        <v>6</v>
      </c>
      <c r="E1207" s="1" t="s">
        <v>3242</v>
      </c>
      <c r="F1207" s="19" t="s">
        <v>3261</v>
      </c>
      <c r="G1207" s="1" t="s">
        <v>10</v>
      </c>
      <c r="H1207" s="65" t="s">
        <v>2520</v>
      </c>
      <c r="I1207" s="2">
        <v>45308</v>
      </c>
      <c r="J1207" s="3">
        <v>0.71875</v>
      </c>
      <c r="K1207" s="1" t="s">
        <v>88</v>
      </c>
      <c r="L1207" s="2">
        <v>45330</v>
      </c>
      <c r="M1207" s="3">
        <v>0.49513888888888885</v>
      </c>
      <c r="N1207" s="19" t="s">
        <v>3262</v>
      </c>
    </row>
    <row r="1208" spans="1:14" ht="86.4" hidden="1" x14ac:dyDescent="0.3">
      <c r="A1208" s="47">
        <f t="shared" si="54"/>
        <v>2024</v>
      </c>
      <c r="B1208" s="46">
        <f t="shared" si="55"/>
        <v>2</v>
      </c>
      <c r="C1208" s="46">
        <f t="shared" si="56"/>
        <v>4</v>
      </c>
      <c r="E1208" s="1" t="s">
        <v>3338</v>
      </c>
      <c r="F1208" s="19" t="s">
        <v>3339</v>
      </c>
      <c r="G1208" s="1" t="s">
        <v>10</v>
      </c>
      <c r="H1208" s="65" t="s">
        <v>2520</v>
      </c>
      <c r="I1208" s="2">
        <v>45303</v>
      </c>
      <c r="J1208" s="3">
        <v>0.55138888888888882</v>
      </c>
      <c r="K1208" s="1" t="s">
        <v>73</v>
      </c>
      <c r="L1208" s="2">
        <v>45312</v>
      </c>
      <c r="M1208" s="3">
        <v>0.55138888888888882</v>
      </c>
      <c r="N1208" s="19" t="s">
        <v>3340</v>
      </c>
    </row>
    <row r="1209" spans="1:14" ht="57.6" hidden="1" x14ac:dyDescent="0.3">
      <c r="A1209" s="47">
        <f t="shared" si="54"/>
        <v>2024</v>
      </c>
      <c r="B1209" s="46">
        <f t="shared" si="55"/>
        <v>5</v>
      </c>
      <c r="C1209" s="46">
        <f t="shared" si="56"/>
        <v>6</v>
      </c>
      <c r="E1209" s="1" t="s">
        <v>3342</v>
      </c>
      <c r="F1209" s="19" t="s">
        <v>3341</v>
      </c>
      <c r="G1209" s="1" t="s">
        <v>10</v>
      </c>
      <c r="H1209" s="65" t="s">
        <v>2520</v>
      </c>
      <c r="I1209" s="2">
        <v>45320</v>
      </c>
      <c r="J1209" s="3">
        <v>0.68333333333333324</v>
      </c>
      <c r="K1209" s="1" t="s">
        <v>88</v>
      </c>
      <c r="L1209" s="2">
        <v>45331</v>
      </c>
      <c r="M1209" s="3">
        <v>0.34097222222222223</v>
      </c>
      <c r="N1209" s="19" t="s">
        <v>3343</v>
      </c>
    </row>
    <row r="1210" spans="1:14" ht="57.6" hidden="1" x14ac:dyDescent="0.3">
      <c r="A1210" s="47">
        <f t="shared" si="54"/>
        <v>2023</v>
      </c>
      <c r="B1210" s="46">
        <f t="shared" si="55"/>
        <v>38</v>
      </c>
      <c r="C1210" s="46">
        <f t="shared" si="56"/>
        <v>49</v>
      </c>
      <c r="E1210" s="38" t="s">
        <v>3110</v>
      </c>
      <c r="F1210" s="19" t="s">
        <v>3345</v>
      </c>
      <c r="G1210" s="1" t="s">
        <v>10</v>
      </c>
      <c r="H1210" s="65" t="s">
        <v>2520</v>
      </c>
      <c r="I1210" s="2">
        <v>45186</v>
      </c>
      <c r="J1210" s="3">
        <v>0.68611111111111101</v>
      </c>
      <c r="K1210" s="1" t="s">
        <v>73</v>
      </c>
      <c r="L1210" s="2">
        <v>45265</v>
      </c>
      <c r="M1210" s="3">
        <v>0.65902777777777777</v>
      </c>
      <c r="N1210" s="19" t="s">
        <v>3344</v>
      </c>
    </row>
    <row r="1211" spans="1:14" ht="57.6" hidden="1" x14ac:dyDescent="0.3">
      <c r="A1211" s="47">
        <f t="shared" si="54"/>
        <v>2023</v>
      </c>
      <c r="B1211" s="46">
        <f t="shared" si="55"/>
        <v>49</v>
      </c>
      <c r="C1211" s="46">
        <f t="shared" si="56"/>
        <v>49</v>
      </c>
      <c r="E1211" s="38" t="s">
        <v>3113</v>
      </c>
      <c r="F1211" s="19" t="s">
        <v>3347</v>
      </c>
      <c r="G1211" s="1" t="s">
        <v>10</v>
      </c>
      <c r="H1211" s="65" t="s">
        <v>2520</v>
      </c>
      <c r="I1211" s="2">
        <v>45264</v>
      </c>
      <c r="J1211" s="3">
        <v>0.40486111111111112</v>
      </c>
      <c r="K1211" s="1" t="s">
        <v>73</v>
      </c>
      <c r="L1211" s="2">
        <v>45267</v>
      </c>
      <c r="M1211" s="3">
        <v>0.47916666666666669</v>
      </c>
      <c r="N1211" s="19" t="s">
        <v>3346</v>
      </c>
    </row>
    <row r="1212" spans="1:14" ht="72" hidden="1" x14ac:dyDescent="0.3">
      <c r="A1212" s="47">
        <f t="shared" si="54"/>
        <v>2024</v>
      </c>
      <c r="B1212" s="46">
        <f t="shared" si="55"/>
        <v>3</v>
      </c>
      <c r="C1212" s="46">
        <f t="shared" si="56"/>
        <v>6</v>
      </c>
      <c r="E1212" s="1" t="s">
        <v>3117</v>
      </c>
      <c r="F1212" s="19" t="s">
        <v>3358</v>
      </c>
      <c r="G1212" s="1" t="s">
        <v>10</v>
      </c>
      <c r="H1212" s="65" t="s">
        <v>2520</v>
      </c>
      <c r="I1212" s="2">
        <v>45308</v>
      </c>
      <c r="J1212" s="3">
        <v>0.72083333333333333</v>
      </c>
      <c r="K1212" s="1" t="s">
        <v>88</v>
      </c>
      <c r="L1212" s="2">
        <v>45332</v>
      </c>
      <c r="M1212" s="3">
        <v>0.39513888888888887</v>
      </c>
      <c r="N1212" s="19" t="s">
        <v>3359</v>
      </c>
    </row>
    <row r="1213" spans="1:14" ht="72" hidden="1" x14ac:dyDescent="0.3">
      <c r="A1213" s="47">
        <f t="shared" si="54"/>
        <v>2024</v>
      </c>
      <c r="B1213" s="46">
        <f t="shared" si="55"/>
        <v>3</v>
      </c>
      <c r="C1213" s="46">
        <f t="shared" si="56"/>
        <v>6</v>
      </c>
      <c r="E1213" s="1" t="s">
        <v>3118</v>
      </c>
      <c r="F1213" s="19" t="s">
        <v>3361</v>
      </c>
      <c r="G1213" s="1" t="s">
        <v>10</v>
      </c>
      <c r="H1213" s="65" t="s">
        <v>2520</v>
      </c>
      <c r="I1213" s="2">
        <v>45309</v>
      </c>
      <c r="J1213" s="3">
        <v>0.71388888888888891</v>
      </c>
      <c r="K1213" s="1" t="s">
        <v>88</v>
      </c>
      <c r="L1213" s="2">
        <v>45332</v>
      </c>
      <c r="M1213" s="3">
        <v>0.63472222222222219</v>
      </c>
      <c r="N1213" s="19" t="s">
        <v>3360</v>
      </c>
    </row>
    <row r="1214" spans="1:14" ht="72" hidden="1" x14ac:dyDescent="0.3">
      <c r="A1214" s="47">
        <f t="shared" si="54"/>
        <v>2024</v>
      </c>
      <c r="B1214" s="46">
        <f t="shared" si="55"/>
        <v>2</v>
      </c>
      <c r="C1214" s="46">
        <f t="shared" si="56"/>
        <v>7</v>
      </c>
      <c r="E1214" s="1" t="s">
        <v>3370</v>
      </c>
      <c r="F1214" s="19" t="s">
        <v>3371</v>
      </c>
      <c r="G1214" s="1" t="s">
        <v>9</v>
      </c>
      <c r="H1214" s="65" t="s">
        <v>2520</v>
      </c>
      <c r="I1214" s="2">
        <v>45303</v>
      </c>
      <c r="J1214" s="3">
        <v>0.56874999999999998</v>
      </c>
      <c r="K1214" s="1" t="s">
        <v>88</v>
      </c>
      <c r="L1214" s="2">
        <v>45337</v>
      </c>
      <c r="M1214" s="3">
        <v>0.4368055555555555</v>
      </c>
      <c r="N1214" s="19" t="s">
        <v>3369</v>
      </c>
    </row>
    <row r="1215" spans="1:14" ht="57.6" hidden="1" x14ac:dyDescent="0.3">
      <c r="A1215" s="47">
        <f t="shared" si="54"/>
        <v>2024</v>
      </c>
      <c r="B1215" s="46">
        <f t="shared" si="55"/>
        <v>2</v>
      </c>
      <c r="C1215" s="46">
        <f t="shared" si="56"/>
        <v>7</v>
      </c>
      <c r="E1215" s="1" t="s">
        <v>3372</v>
      </c>
      <c r="F1215" s="19" t="s">
        <v>3373</v>
      </c>
      <c r="G1215" s="1" t="s">
        <v>9</v>
      </c>
      <c r="H1215" s="65" t="s">
        <v>2520</v>
      </c>
      <c r="I1215" s="2">
        <v>45302</v>
      </c>
      <c r="J1215" s="3">
        <v>0.37291666666666662</v>
      </c>
      <c r="K1215" s="1" t="s">
        <v>88</v>
      </c>
      <c r="L1215" s="2">
        <v>45336</v>
      </c>
      <c r="M1215" s="3">
        <v>0.74236111111111114</v>
      </c>
      <c r="N1215" s="19" t="s">
        <v>2967</v>
      </c>
    </row>
    <row r="1216" spans="1:14" ht="57.6" hidden="1" x14ac:dyDescent="0.3">
      <c r="A1216" s="47">
        <f t="shared" si="54"/>
        <v>2024</v>
      </c>
      <c r="B1216" s="46">
        <f t="shared" si="55"/>
        <v>3</v>
      </c>
      <c r="C1216" s="46">
        <f t="shared" si="56"/>
        <v>7</v>
      </c>
      <c r="E1216" s="4" t="s">
        <v>3374</v>
      </c>
      <c r="F1216" s="19" t="s">
        <v>2587</v>
      </c>
      <c r="G1216" s="1" t="s">
        <v>9</v>
      </c>
      <c r="H1216" s="65" t="s">
        <v>2520</v>
      </c>
      <c r="I1216" s="2">
        <v>45308</v>
      </c>
      <c r="J1216" s="3">
        <v>0.6972222222222223</v>
      </c>
      <c r="K1216" s="1" t="s">
        <v>88</v>
      </c>
      <c r="L1216" s="2">
        <v>45338</v>
      </c>
      <c r="M1216" s="3">
        <v>0.73333333333333339</v>
      </c>
      <c r="N1216" s="19" t="s">
        <v>3375</v>
      </c>
    </row>
    <row r="1217" spans="1:14" ht="72" hidden="1" x14ac:dyDescent="0.3">
      <c r="A1217" s="47">
        <f t="shared" si="54"/>
        <v>2024</v>
      </c>
      <c r="B1217" s="46">
        <f t="shared" si="55"/>
        <v>3</v>
      </c>
      <c r="C1217" s="46">
        <f t="shared" si="56"/>
        <v>7</v>
      </c>
      <c r="E1217" s="270" t="s">
        <v>3377</v>
      </c>
      <c r="F1217" s="19" t="s">
        <v>3376</v>
      </c>
      <c r="G1217" s="1" t="s">
        <v>9</v>
      </c>
      <c r="H1217" s="65" t="s">
        <v>2520</v>
      </c>
      <c r="I1217" s="2">
        <v>45308</v>
      </c>
      <c r="J1217" s="3">
        <v>0.69930555555555562</v>
      </c>
      <c r="K1217" s="1" t="s">
        <v>88</v>
      </c>
      <c r="L1217" s="2">
        <v>45338</v>
      </c>
      <c r="M1217" s="3">
        <v>0.7319444444444444</v>
      </c>
      <c r="N1217" s="19" t="s">
        <v>3378</v>
      </c>
    </row>
    <row r="1218" spans="1:14" ht="57.6" hidden="1" x14ac:dyDescent="0.3">
      <c r="A1218" s="47">
        <f t="shared" si="54"/>
        <v>2024</v>
      </c>
      <c r="B1218" s="46">
        <f t="shared" si="55"/>
        <v>3</v>
      </c>
      <c r="C1218" s="46">
        <f t="shared" si="56"/>
        <v>8</v>
      </c>
      <c r="E1218" s="1" t="s">
        <v>3379</v>
      </c>
      <c r="F1218" s="19" t="s">
        <v>3380</v>
      </c>
      <c r="G1218" s="1" t="s">
        <v>9</v>
      </c>
      <c r="H1218" s="65" t="s">
        <v>2520</v>
      </c>
      <c r="I1218" s="2">
        <v>45308</v>
      </c>
      <c r="J1218" s="3">
        <v>0.71458333333333324</v>
      </c>
      <c r="K1218" s="1" t="s">
        <v>88</v>
      </c>
      <c r="L1218" s="2">
        <v>45341</v>
      </c>
      <c r="M1218" s="3">
        <v>0.41041666666666665</v>
      </c>
      <c r="N1218" s="19" t="s">
        <v>3381</v>
      </c>
    </row>
    <row r="1219" spans="1:14" ht="57.6" hidden="1" x14ac:dyDescent="0.3">
      <c r="A1219" s="47">
        <f t="shared" ref="A1219:A1282" si="57">YEAR(L1219)</f>
        <v>2024</v>
      </c>
      <c r="B1219" s="46">
        <f t="shared" ref="B1219:B1282" si="58">WEEKNUM(I1219)</f>
        <v>3</v>
      </c>
      <c r="C1219" s="46">
        <f t="shared" ref="C1219:C1282" si="59">WEEKNUM(L1219)</f>
        <v>8</v>
      </c>
      <c r="E1219" s="1" t="s">
        <v>3382</v>
      </c>
      <c r="F1219" s="19" t="s">
        <v>3386</v>
      </c>
      <c r="G1219" s="1" t="s">
        <v>9</v>
      </c>
      <c r="H1219" s="65" t="s">
        <v>2520</v>
      </c>
      <c r="I1219" s="2">
        <v>45309</v>
      </c>
      <c r="J1219" s="3">
        <v>0.68819444444444444</v>
      </c>
      <c r="K1219" s="1" t="s">
        <v>88</v>
      </c>
      <c r="L1219" s="2">
        <v>45341</v>
      </c>
      <c r="M1219" s="3">
        <v>0.58124999999999993</v>
      </c>
      <c r="N1219" s="19" t="s">
        <v>3383</v>
      </c>
    </row>
    <row r="1220" spans="1:14" ht="57.6" hidden="1" x14ac:dyDescent="0.3">
      <c r="A1220" s="47">
        <f t="shared" si="57"/>
        <v>2024</v>
      </c>
      <c r="B1220" s="46">
        <f t="shared" si="58"/>
        <v>4</v>
      </c>
      <c r="C1220" s="46">
        <f t="shared" si="59"/>
        <v>8</v>
      </c>
      <c r="E1220" s="1" t="s">
        <v>3385</v>
      </c>
      <c r="F1220" s="19" t="s">
        <v>3373</v>
      </c>
      <c r="G1220" s="1" t="s">
        <v>9</v>
      </c>
      <c r="H1220" s="65" t="s">
        <v>2520</v>
      </c>
      <c r="I1220" s="2">
        <v>45314</v>
      </c>
      <c r="J1220" s="3">
        <v>0.72152777777777777</v>
      </c>
      <c r="K1220" s="1" t="s">
        <v>88</v>
      </c>
      <c r="L1220" s="2">
        <v>45341</v>
      </c>
      <c r="M1220" s="3">
        <v>0.60138888888888886</v>
      </c>
      <c r="N1220" s="19" t="s">
        <v>3384</v>
      </c>
    </row>
    <row r="1221" spans="1:14" ht="57.6" hidden="1" x14ac:dyDescent="0.3">
      <c r="A1221" s="47">
        <f t="shared" si="57"/>
        <v>2024</v>
      </c>
      <c r="B1221" s="46">
        <f t="shared" si="58"/>
        <v>3</v>
      </c>
      <c r="C1221" s="46">
        <f t="shared" si="59"/>
        <v>8</v>
      </c>
      <c r="E1221" s="38" t="s">
        <v>3388</v>
      </c>
      <c r="F1221" s="19" t="s">
        <v>3389</v>
      </c>
      <c r="G1221" s="1" t="s">
        <v>10</v>
      </c>
      <c r="H1221" s="65" t="s">
        <v>2520</v>
      </c>
      <c r="I1221" s="2">
        <v>45310</v>
      </c>
      <c r="J1221" s="3">
        <v>0.71666666666666667</v>
      </c>
      <c r="K1221" s="1" t="s">
        <v>88</v>
      </c>
      <c r="L1221" s="2">
        <v>45342</v>
      </c>
      <c r="M1221" s="3">
        <v>0.71666666666666667</v>
      </c>
      <c r="N1221" s="19" t="s">
        <v>3387</v>
      </c>
    </row>
    <row r="1222" spans="1:14" ht="57.6" hidden="1" x14ac:dyDescent="0.3">
      <c r="A1222" s="47">
        <f t="shared" si="57"/>
        <v>2024</v>
      </c>
      <c r="B1222" s="46">
        <f t="shared" si="58"/>
        <v>3</v>
      </c>
      <c r="C1222" s="46">
        <f t="shared" si="59"/>
        <v>8</v>
      </c>
      <c r="E1222" s="1" t="s">
        <v>3390</v>
      </c>
      <c r="F1222" s="19" t="s">
        <v>3391</v>
      </c>
      <c r="G1222" s="1" t="s">
        <v>9</v>
      </c>
      <c r="H1222" s="65" t="s">
        <v>2520</v>
      </c>
      <c r="I1222" s="2">
        <v>45311</v>
      </c>
      <c r="J1222" s="3">
        <v>0.46736111111111112</v>
      </c>
      <c r="K1222" s="1" t="s">
        <v>88</v>
      </c>
      <c r="L1222" s="2">
        <v>45346</v>
      </c>
      <c r="M1222" s="3">
        <v>0.28680555555555554</v>
      </c>
      <c r="N1222" s="19" t="s">
        <v>3392</v>
      </c>
    </row>
    <row r="1223" spans="1:14" ht="72" hidden="1" x14ac:dyDescent="0.3">
      <c r="A1223" s="47">
        <f t="shared" si="57"/>
        <v>2024</v>
      </c>
      <c r="B1223" s="46">
        <f t="shared" si="58"/>
        <v>5</v>
      </c>
      <c r="C1223" s="46">
        <f t="shared" si="59"/>
        <v>14</v>
      </c>
      <c r="E1223" s="1" t="s">
        <v>3393</v>
      </c>
      <c r="F1223" s="19" t="s">
        <v>3394</v>
      </c>
      <c r="G1223" s="1" t="s">
        <v>900</v>
      </c>
      <c r="H1223" s="65" t="s">
        <v>2520</v>
      </c>
      <c r="I1223" s="2">
        <v>45321</v>
      </c>
      <c r="J1223" s="3">
        <v>0.66527777777777775</v>
      </c>
      <c r="K1223" s="1" t="s">
        <v>88</v>
      </c>
      <c r="L1223" s="2">
        <v>45383</v>
      </c>
      <c r="M1223" s="3">
        <v>0.50555555555555554</v>
      </c>
      <c r="N1223" s="19" t="s">
        <v>3395</v>
      </c>
    </row>
    <row r="1224" spans="1:14" ht="100.8" hidden="1" x14ac:dyDescent="0.3">
      <c r="A1224" s="47">
        <f t="shared" si="57"/>
        <v>2024</v>
      </c>
      <c r="B1224" s="46">
        <f t="shared" si="58"/>
        <v>6</v>
      </c>
      <c r="C1224" s="46">
        <f t="shared" si="59"/>
        <v>14</v>
      </c>
      <c r="E1224" s="1" t="s">
        <v>3397</v>
      </c>
      <c r="F1224" s="19" t="s">
        <v>3398</v>
      </c>
      <c r="G1224" s="1" t="s">
        <v>900</v>
      </c>
      <c r="H1224" s="65" t="s">
        <v>2520</v>
      </c>
      <c r="I1224" s="2">
        <v>45328</v>
      </c>
      <c r="J1224" s="3">
        <v>0.3666666666666667</v>
      </c>
      <c r="K1224" s="1" t="s">
        <v>88</v>
      </c>
      <c r="L1224" s="2">
        <v>45383</v>
      </c>
      <c r="M1224" s="3">
        <v>0.61111111111111105</v>
      </c>
      <c r="N1224" s="19" t="s">
        <v>3396</v>
      </c>
    </row>
    <row r="1225" spans="1:14" ht="100.8" hidden="1" x14ac:dyDescent="0.3">
      <c r="A1225" s="47">
        <f t="shared" si="57"/>
        <v>2024</v>
      </c>
      <c r="B1225" s="46">
        <f t="shared" si="58"/>
        <v>2</v>
      </c>
      <c r="C1225" s="46">
        <f t="shared" si="59"/>
        <v>14</v>
      </c>
      <c r="E1225" s="1" t="s">
        <v>3400</v>
      </c>
      <c r="F1225" s="19" t="s">
        <v>3401</v>
      </c>
      <c r="G1225" s="1" t="s">
        <v>10</v>
      </c>
      <c r="H1225" s="65" t="s">
        <v>2520</v>
      </c>
      <c r="I1225" s="2">
        <v>45303</v>
      </c>
      <c r="J1225" s="3">
        <v>0.57708333333333328</v>
      </c>
      <c r="K1225" s="1" t="s">
        <v>88</v>
      </c>
      <c r="L1225" s="2">
        <v>45384</v>
      </c>
      <c r="M1225" s="3">
        <v>0.27986111111111112</v>
      </c>
      <c r="N1225" s="19" t="s">
        <v>3399</v>
      </c>
    </row>
    <row r="1226" spans="1:14" ht="72" hidden="1" x14ac:dyDescent="0.3">
      <c r="A1226" s="47">
        <f t="shared" si="57"/>
        <v>2024</v>
      </c>
      <c r="B1226" s="46">
        <f t="shared" si="58"/>
        <v>4</v>
      </c>
      <c r="C1226" s="46">
        <f t="shared" si="59"/>
        <v>10</v>
      </c>
      <c r="E1226" s="1" t="s">
        <v>3121</v>
      </c>
      <c r="F1226" s="19" t="s">
        <v>3402</v>
      </c>
      <c r="G1226" s="1" t="s">
        <v>10</v>
      </c>
      <c r="H1226" s="1" t="s">
        <v>2520</v>
      </c>
      <c r="I1226" s="2">
        <v>45313</v>
      </c>
      <c r="J1226" s="3">
        <v>0.70694444444444438</v>
      </c>
      <c r="K1226" s="1" t="s">
        <v>73</v>
      </c>
      <c r="L1226" s="2">
        <v>45356</v>
      </c>
      <c r="N1226" s="19" t="s">
        <v>3403</v>
      </c>
    </row>
    <row r="1227" spans="1:14" ht="316.8" hidden="1" x14ac:dyDescent="0.3">
      <c r="A1227" s="47">
        <f t="shared" si="57"/>
        <v>2024</v>
      </c>
      <c r="B1227" s="46">
        <f t="shared" si="58"/>
        <v>6</v>
      </c>
      <c r="C1227" s="46">
        <f t="shared" si="59"/>
        <v>10</v>
      </c>
      <c r="E1227" s="270" t="s">
        <v>3404</v>
      </c>
      <c r="F1227" s="19" t="s">
        <v>3405</v>
      </c>
      <c r="G1227" s="1" t="s">
        <v>10</v>
      </c>
      <c r="H1227" s="1" t="s">
        <v>2520</v>
      </c>
      <c r="I1227" s="2">
        <v>45331</v>
      </c>
      <c r="J1227" s="3">
        <v>0.40486111111111112</v>
      </c>
      <c r="K1227" s="1" t="s">
        <v>73</v>
      </c>
      <c r="L1227" s="2">
        <v>45356</v>
      </c>
      <c r="M1227" s="3">
        <v>0.70624999999999993</v>
      </c>
      <c r="N1227" s="19" t="s">
        <v>3406</v>
      </c>
    </row>
    <row r="1228" spans="1:14" ht="72" hidden="1" x14ac:dyDescent="0.3">
      <c r="A1228" s="47">
        <f t="shared" si="57"/>
        <v>2024</v>
      </c>
      <c r="B1228" s="46">
        <f t="shared" si="58"/>
        <v>7</v>
      </c>
      <c r="C1228" s="46">
        <f t="shared" si="59"/>
        <v>10</v>
      </c>
      <c r="E1228" s="1" t="s">
        <v>3407</v>
      </c>
      <c r="F1228" s="19" t="s">
        <v>3408</v>
      </c>
      <c r="G1228" s="1" t="s">
        <v>10</v>
      </c>
      <c r="H1228" s="1" t="s">
        <v>2520</v>
      </c>
      <c r="I1228" s="2">
        <v>45338</v>
      </c>
      <c r="J1228" s="3">
        <v>0.57986111111111105</v>
      </c>
      <c r="K1228" s="1" t="s">
        <v>73</v>
      </c>
      <c r="L1228" s="2">
        <v>45356</v>
      </c>
      <c r="M1228" s="3">
        <v>0.73888888888888893</v>
      </c>
      <c r="N1228" s="19" t="s">
        <v>3409</v>
      </c>
    </row>
    <row r="1229" spans="1:14" ht="201.6" hidden="1" x14ac:dyDescent="0.3">
      <c r="A1229" s="47">
        <f t="shared" si="57"/>
        <v>2024</v>
      </c>
      <c r="B1229" s="46">
        <f t="shared" si="58"/>
        <v>7</v>
      </c>
      <c r="C1229" s="46">
        <f t="shared" si="59"/>
        <v>6</v>
      </c>
      <c r="E1229" s="19" t="s">
        <v>3410</v>
      </c>
      <c r="F1229" s="19" t="s">
        <v>3412</v>
      </c>
      <c r="G1229" s="1" t="s">
        <v>10</v>
      </c>
      <c r="H1229" s="65" t="s">
        <v>2520</v>
      </c>
      <c r="I1229" s="2">
        <v>45338</v>
      </c>
      <c r="J1229" s="3">
        <v>0.59027777777777779</v>
      </c>
      <c r="K1229" s="1" t="s">
        <v>88</v>
      </c>
      <c r="L1229" s="2">
        <v>45328</v>
      </c>
      <c r="M1229" s="3">
        <v>0.44027777777777777</v>
      </c>
      <c r="N1229" s="19" t="s">
        <v>3411</v>
      </c>
    </row>
    <row r="1230" spans="1:14" ht="100.8" hidden="1" x14ac:dyDescent="0.3">
      <c r="A1230" s="47">
        <f t="shared" si="57"/>
        <v>2024</v>
      </c>
      <c r="B1230" s="46">
        <f t="shared" si="58"/>
        <v>8</v>
      </c>
      <c r="C1230" s="46">
        <f t="shared" si="59"/>
        <v>6</v>
      </c>
      <c r="E1230" s="38" t="s">
        <v>3413</v>
      </c>
      <c r="F1230" s="19" t="s">
        <v>3421</v>
      </c>
      <c r="G1230" s="1" t="s">
        <v>10</v>
      </c>
      <c r="H1230" s="65" t="s">
        <v>2520</v>
      </c>
      <c r="I1230" s="2">
        <v>45342</v>
      </c>
      <c r="J1230" s="3">
        <v>0.4597222222222222</v>
      </c>
      <c r="K1230" s="1" t="s">
        <v>88</v>
      </c>
      <c r="L1230" s="2">
        <v>45329</v>
      </c>
      <c r="N1230" s="19" t="s">
        <v>3420</v>
      </c>
    </row>
    <row r="1231" spans="1:14" ht="72" hidden="1" x14ac:dyDescent="0.3">
      <c r="A1231" s="47">
        <f t="shared" si="57"/>
        <v>2024</v>
      </c>
      <c r="B1231" s="46">
        <f t="shared" si="58"/>
        <v>8</v>
      </c>
      <c r="C1231" s="46">
        <f t="shared" si="59"/>
        <v>10</v>
      </c>
      <c r="E1231" s="221" t="s">
        <v>3414</v>
      </c>
      <c r="F1231" s="224" t="s">
        <v>3415</v>
      </c>
      <c r="G1231" s="221" t="s">
        <v>10</v>
      </c>
      <c r="H1231" s="221" t="s">
        <v>2520</v>
      </c>
      <c r="I1231" s="222">
        <v>45341</v>
      </c>
      <c r="J1231" s="223">
        <v>0.60833333333333328</v>
      </c>
      <c r="K1231" s="221" t="s">
        <v>73</v>
      </c>
      <c r="L1231" s="222">
        <v>45357</v>
      </c>
      <c r="M1231" s="223">
        <v>0.50694444444444442</v>
      </c>
      <c r="N1231" s="224" t="s">
        <v>3416</v>
      </c>
    </row>
    <row r="1232" spans="1:14" ht="100.8" hidden="1" x14ac:dyDescent="0.3">
      <c r="A1232" s="47">
        <f t="shared" si="57"/>
        <v>2024</v>
      </c>
      <c r="B1232" s="46">
        <f t="shared" si="58"/>
        <v>8</v>
      </c>
      <c r="C1232" s="46">
        <f t="shared" si="59"/>
        <v>10</v>
      </c>
      <c r="E1232" s="221" t="s">
        <v>3417</v>
      </c>
      <c r="F1232" s="224" t="s">
        <v>3418</v>
      </c>
      <c r="G1232" s="221" t="s">
        <v>10</v>
      </c>
      <c r="H1232" s="221" t="s">
        <v>2520</v>
      </c>
      <c r="I1232" s="222">
        <v>45342</v>
      </c>
      <c r="J1232" s="223">
        <v>0.66180555555555554</v>
      </c>
      <c r="K1232" s="221" t="s">
        <v>73</v>
      </c>
      <c r="L1232" s="222">
        <v>45357</v>
      </c>
      <c r="M1232" s="223">
        <v>0.61388888888888882</v>
      </c>
      <c r="N1232" s="224" t="s">
        <v>3419</v>
      </c>
    </row>
    <row r="1233" spans="1:14" ht="158.4" hidden="1" x14ac:dyDescent="0.3">
      <c r="A1233" s="47">
        <f t="shared" si="57"/>
        <v>2024</v>
      </c>
      <c r="B1233" s="46">
        <f t="shared" si="58"/>
        <v>7</v>
      </c>
      <c r="C1233" s="46">
        <f t="shared" si="59"/>
        <v>10</v>
      </c>
      <c r="E1233" s="1" t="s">
        <v>3422</v>
      </c>
      <c r="F1233" s="19" t="s">
        <v>3423</v>
      </c>
      <c r="G1233" s="1" t="s">
        <v>9</v>
      </c>
      <c r="H1233" s="1" t="s">
        <v>2520</v>
      </c>
      <c r="I1233" s="2">
        <v>45336</v>
      </c>
      <c r="J1233" s="3">
        <v>0.38055555555555554</v>
      </c>
      <c r="K1233" s="1" t="s">
        <v>73</v>
      </c>
      <c r="L1233" s="2">
        <v>45358</v>
      </c>
      <c r="M1233" s="3">
        <v>0.39374999999999999</v>
      </c>
      <c r="N1233" s="19" t="s">
        <v>3424</v>
      </c>
    </row>
    <row r="1234" spans="1:14" ht="72" hidden="1" x14ac:dyDescent="0.3">
      <c r="A1234" s="47">
        <f t="shared" si="57"/>
        <v>2024</v>
      </c>
      <c r="B1234" s="46">
        <f t="shared" si="58"/>
        <v>9</v>
      </c>
      <c r="C1234" s="46">
        <f t="shared" si="59"/>
        <v>10</v>
      </c>
      <c r="E1234" s="1" t="s">
        <v>3425</v>
      </c>
      <c r="F1234" s="19" t="s">
        <v>3426</v>
      </c>
      <c r="G1234" s="1" t="s">
        <v>9</v>
      </c>
      <c r="H1234" s="1" t="s">
        <v>2520</v>
      </c>
      <c r="I1234" s="2">
        <v>45349</v>
      </c>
      <c r="J1234" s="3">
        <v>0.41111111111111115</v>
      </c>
      <c r="K1234" s="1" t="s">
        <v>73</v>
      </c>
      <c r="L1234" s="2">
        <v>45358</v>
      </c>
      <c r="M1234" s="3">
        <v>0.4145833333333333</v>
      </c>
      <c r="N1234" s="19" t="s">
        <v>3427</v>
      </c>
    </row>
    <row r="1235" spans="1:14" ht="86.4" hidden="1" x14ac:dyDescent="0.3">
      <c r="A1235" s="47">
        <f t="shared" si="57"/>
        <v>2024</v>
      </c>
      <c r="B1235" s="46">
        <f t="shared" si="58"/>
        <v>8</v>
      </c>
      <c r="C1235" s="46">
        <f t="shared" si="59"/>
        <v>10</v>
      </c>
      <c r="E1235" s="1" t="s">
        <v>3428</v>
      </c>
      <c r="F1235" s="19" t="s">
        <v>3429</v>
      </c>
      <c r="G1235" s="1" t="s">
        <v>900</v>
      </c>
      <c r="H1235" s="1" t="s">
        <v>2520</v>
      </c>
      <c r="I1235" s="2">
        <v>45345</v>
      </c>
      <c r="J1235" s="3">
        <v>0.67569444444444438</v>
      </c>
      <c r="K1235" s="1" t="s">
        <v>73</v>
      </c>
      <c r="L1235" s="2">
        <v>45358</v>
      </c>
      <c r="M1235" s="1" t="s">
        <v>3431</v>
      </c>
      <c r="N1235" s="19" t="s">
        <v>3430</v>
      </c>
    </row>
    <row r="1236" spans="1:14" ht="100.8" hidden="1" x14ac:dyDescent="0.3">
      <c r="A1236" s="47">
        <f t="shared" si="57"/>
        <v>2024</v>
      </c>
      <c r="B1236" s="46">
        <f t="shared" si="58"/>
        <v>7</v>
      </c>
      <c r="C1236" s="46">
        <f t="shared" si="59"/>
        <v>10</v>
      </c>
      <c r="E1236" s="1" t="s">
        <v>3432</v>
      </c>
      <c r="F1236" s="19" t="s">
        <v>3433</v>
      </c>
      <c r="G1236" s="1" t="s">
        <v>9</v>
      </c>
      <c r="H1236" s="1" t="s">
        <v>2520</v>
      </c>
      <c r="I1236" s="2">
        <v>45336</v>
      </c>
      <c r="J1236" s="3">
        <v>0.3743055555555555</v>
      </c>
      <c r="K1236" s="1" t="s">
        <v>73</v>
      </c>
      <c r="L1236" s="2">
        <v>45358</v>
      </c>
      <c r="M1236" s="3">
        <v>0.6333333333333333</v>
      </c>
      <c r="N1236" s="19" t="s">
        <v>3434</v>
      </c>
    </row>
    <row r="1237" spans="1:14" ht="72" hidden="1" x14ac:dyDescent="0.3">
      <c r="A1237" s="47">
        <f t="shared" si="57"/>
        <v>2024</v>
      </c>
      <c r="B1237" s="46">
        <f t="shared" si="58"/>
        <v>3</v>
      </c>
      <c r="C1237" s="46">
        <f t="shared" si="59"/>
        <v>10</v>
      </c>
      <c r="E1237" s="1" t="s">
        <v>3119</v>
      </c>
      <c r="F1237" s="19" t="s">
        <v>3435</v>
      </c>
      <c r="G1237" s="1" t="s">
        <v>10</v>
      </c>
      <c r="H1237" s="1" t="s">
        <v>2520</v>
      </c>
      <c r="I1237" s="2">
        <v>45310</v>
      </c>
      <c r="J1237" s="3">
        <v>0.71319444444444446</v>
      </c>
      <c r="K1237" s="1" t="s">
        <v>73</v>
      </c>
      <c r="L1237" s="2">
        <v>45358</v>
      </c>
      <c r="M1237" s="3">
        <v>0.69236111111111109</v>
      </c>
      <c r="N1237" s="19" t="s">
        <v>3436</v>
      </c>
    </row>
    <row r="1238" spans="1:14" ht="86.4" hidden="1" x14ac:dyDescent="0.3">
      <c r="A1238" s="47">
        <f t="shared" si="57"/>
        <v>2024</v>
      </c>
      <c r="B1238" s="46">
        <f t="shared" si="58"/>
        <v>4</v>
      </c>
      <c r="C1238" s="46">
        <f t="shared" si="59"/>
        <v>11</v>
      </c>
      <c r="E1238" s="1" t="s">
        <v>3437</v>
      </c>
      <c r="F1238" s="19" t="s">
        <v>3438</v>
      </c>
      <c r="G1238" s="1" t="s">
        <v>9</v>
      </c>
      <c r="H1238" s="1" t="s">
        <v>2520</v>
      </c>
      <c r="I1238" s="2">
        <v>45314</v>
      </c>
      <c r="J1238" s="3">
        <v>0.37847222222222227</v>
      </c>
      <c r="K1238" s="1" t="s">
        <v>73</v>
      </c>
      <c r="L1238" s="2">
        <v>45362</v>
      </c>
      <c r="M1238" s="3">
        <v>0.33958333333333335</v>
      </c>
      <c r="N1238" s="19" t="s">
        <v>3439</v>
      </c>
    </row>
    <row r="1239" spans="1:14" ht="144" hidden="1" x14ac:dyDescent="0.3">
      <c r="A1239" s="47">
        <f t="shared" si="57"/>
        <v>2024</v>
      </c>
      <c r="B1239" s="46">
        <f t="shared" si="58"/>
        <v>8</v>
      </c>
      <c r="C1239" s="46">
        <f t="shared" si="59"/>
        <v>10</v>
      </c>
      <c r="E1239" s="38" t="s">
        <v>3440</v>
      </c>
      <c r="F1239" s="19" t="s">
        <v>3441</v>
      </c>
      <c r="G1239" s="1" t="s">
        <v>900</v>
      </c>
      <c r="H1239" s="1" t="s">
        <v>2520</v>
      </c>
      <c r="I1239" s="2">
        <v>45342</v>
      </c>
      <c r="J1239" s="3">
        <v>0.72083333333333333</v>
      </c>
      <c r="K1239" s="1" t="s">
        <v>73</v>
      </c>
      <c r="L1239" s="2">
        <v>45359</v>
      </c>
      <c r="M1239" s="3">
        <v>0.40347222222222223</v>
      </c>
      <c r="N1239" s="19" t="s">
        <v>3442</v>
      </c>
    </row>
    <row r="1240" spans="1:14" ht="72" hidden="1" x14ac:dyDescent="0.3">
      <c r="A1240" s="47">
        <f t="shared" si="57"/>
        <v>2024</v>
      </c>
      <c r="B1240" s="46">
        <f t="shared" si="58"/>
        <v>8</v>
      </c>
      <c r="C1240" s="46">
        <f t="shared" si="59"/>
        <v>11</v>
      </c>
      <c r="E1240" s="1" t="s">
        <v>3443</v>
      </c>
      <c r="F1240" s="19" t="s">
        <v>3444</v>
      </c>
      <c r="G1240" s="1" t="s">
        <v>900</v>
      </c>
      <c r="H1240" s="1" t="s">
        <v>2520</v>
      </c>
      <c r="I1240" s="2">
        <v>45343</v>
      </c>
      <c r="J1240" s="1" t="s">
        <v>3445</v>
      </c>
      <c r="K1240" s="1" t="s">
        <v>73</v>
      </c>
      <c r="L1240" s="2">
        <v>45362</v>
      </c>
      <c r="M1240" s="3">
        <v>0.39861111111111108</v>
      </c>
      <c r="N1240" s="19" t="s">
        <v>3446</v>
      </c>
    </row>
    <row r="1241" spans="1:14" ht="100.8" hidden="1" x14ac:dyDescent="0.3">
      <c r="A1241" s="47">
        <f t="shared" si="57"/>
        <v>2024</v>
      </c>
      <c r="B1241" s="46">
        <f t="shared" si="58"/>
        <v>8</v>
      </c>
      <c r="C1241" s="46">
        <f t="shared" si="59"/>
        <v>11</v>
      </c>
      <c r="E1241" s="1" t="s">
        <v>3447</v>
      </c>
      <c r="F1241" s="19" t="s">
        <v>3448</v>
      </c>
      <c r="G1241" s="1" t="s">
        <v>900</v>
      </c>
      <c r="H1241" s="1" t="s">
        <v>2520</v>
      </c>
      <c r="I1241" s="2">
        <v>45343</v>
      </c>
      <c r="J1241" s="3">
        <v>0.6958333333333333</v>
      </c>
      <c r="K1241" s="1" t="s">
        <v>73</v>
      </c>
      <c r="L1241" s="2">
        <v>45362</v>
      </c>
      <c r="M1241" s="3">
        <v>0.5444444444444444</v>
      </c>
      <c r="N1241" s="19" t="s">
        <v>3449</v>
      </c>
    </row>
    <row r="1242" spans="1:14" ht="115.2" hidden="1" x14ac:dyDescent="0.3">
      <c r="A1242" s="47">
        <f t="shared" si="57"/>
        <v>2024</v>
      </c>
      <c r="B1242" s="46">
        <f t="shared" si="58"/>
        <v>8</v>
      </c>
      <c r="C1242" s="46">
        <f t="shared" si="59"/>
        <v>11</v>
      </c>
      <c r="E1242" s="1" t="s">
        <v>3450</v>
      </c>
      <c r="F1242" s="19" t="s">
        <v>3451</v>
      </c>
      <c r="G1242" s="1" t="s">
        <v>900</v>
      </c>
      <c r="H1242" s="1" t="s">
        <v>2520</v>
      </c>
      <c r="I1242" s="2">
        <v>45343</v>
      </c>
      <c r="J1242" s="3">
        <v>0.6958333333333333</v>
      </c>
      <c r="K1242" s="1" t="s">
        <v>73</v>
      </c>
      <c r="L1242" s="2">
        <v>45362</v>
      </c>
      <c r="M1242" s="3">
        <v>0.66597222222222219</v>
      </c>
      <c r="N1242" s="19" t="s">
        <v>3454</v>
      </c>
    </row>
    <row r="1243" spans="1:14" ht="115.2" hidden="1" x14ac:dyDescent="0.3">
      <c r="A1243" s="47">
        <f t="shared" si="57"/>
        <v>2024</v>
      </c>
      <c r="B1243" s="46">
        <f t="shared" si="58"/>
        <v>10</v>
      </c>
      <c r="C1243" s="46">
        <f t="shared" si="59"/>
        <v>11</v>
      </c>
      <c r="E1243" s="1" t="s">
        <v>3452</v>
      </c>
      <c r="F1243" s="19" t="s">
        <v>3453</v>
      </c>
      <c r="G1243" s="1" t="s">
        <v>900</v>
      </c>
      <c r="H1243" s="1" t="s">
        <v>2520</v>
      </c>
      <c r="I1243" s="2">
        <v>45355</v>
      </c>
      <c r="J1243" s="3">
        <v>0.6958333333333333</v>
      </c>
      <c r="K1243" s="1" t="s">
        <v>73</v>
      </c>
      <c r="L1243" s="2">
        <v>45362</v>
      </c>
      <c r="M1243" s="3">
        <v>0.68055555555555547</v>
      </c>
      <c r="N1243" s="19" t="s">
        <v>3455</v>
      </c>
    </row>
    <row r="1244" spans="1:14" ht="144" hidden="1" x14ac:dyDescent="0.3">
      <c r="A1244" s="47">
        <f t="shared" si="57"/>
        <v>2024</v>
      </c>
      <c r="B1244" s="46">
        <f t="shared" si="58"/>
        <v>10</v>
      </c>
      <c r="C1244" s="46">
        <f t="shared" si="59"/>
        <v>11</v>
      </c>
      <c r="E1244" s="1" t="s">
        <v>3456</v>
      </c>
      <c r="F1244" s="19" t="s">
        <v>3457</v>
      </c>
      <c r="G1244" s="1" t="s">
        <v>900</v>
      </c>
      <c r="H1244" s="1" t="s">
        <v>2520</v>
      </c>
      <c r="I1244" s="2">
        <v>45355</v>
      </c>
      <c r="J1244" s="3">
        <v>0.69791666666666663</v>
      </c>
      <c r="K1244" s="1" t="s">
        <v>73</v>
      </c>
      <c r="L1244" s="2">
        <v>45364</v>
      </c>
      <c r="M1244" s="3">
        <v>0.4145833333333333</v>
      </c>
      <c r="N1244" s="19" t="s">
        <v>3458</v>
      </c>
    </row>
    <row r="1245" spans="1:14" ht="72" hidden="1" x14ac:dyDescent="0.3">
      <c r="A1245" s="47">
        <f t="shared" si="57"/>
        <v>2024</v>
      </c>
      <c r="B1245" s="46">
        <f t="shared" si="58"/>
        <v>10</v>
      </c>
      <c r="C1245" s="46">
        <f t="shared" si="59"/>
        <v>11</v>
      </c>
      <c r="E1245" s="1" t="s">
        <v>3459</v>
      </c>
      <c r="F1245" s="19" t="s">
        <v>3460</v>
      </c>
      <c r="G1245" s="1" t="s">
        <v>900</v>
      </c>
      <c r="H1245" s="1" t="s">
        <v>2520</v>
      </c>
      <c r="I1245" s="2">
        <v>45355</v>
      </c>
      <c r="J1245" s="3">
        <v>0.72013888888888899</v>
      </c>
      <c r="K1245" s="1" t="s">
        <v>73</v>
      </c>
      <c r="L1245" s="2">
        <v>45364</v>
      </c>
      <c r="M1245" s="3">
        <v>0.41875000000000001</v>
      </c>
      <c r="N1245" s="19" t="s">
        <v>3461</v>
      </c>
    </row>
    <row r="1246" spans="1:14" ht="72" hidden="1" x14ac:dyDescent="0.3">
      <c r="A1246" s="47">
        <f t="shared" si="57"/>
        <v>2024</v>
      </c>
      <c r="B1246" s="46" t="e">
        <f t="shared" si="58"/>
        <v>#VALUE!</v>
      </c>
      <c r="C1246" s="46">
        <f t="shared" si="59"/>
        <v>11</v>
      </c>
      <c r="E1246" s="1" t="s">
        <v>3462</v>
      </c>
      <c r="F1246" s="19" t="s">
        <v>3463</v>
      </c>
      <c r="G1246" s="1" t="s">
        <v>900</v>
      </c>
      <c r="H1246" s="1" t="s">
        <v>2520</v>
      </c>
      <c r="I1246" s="34" t="s">
        <v>3464</v>
      </c>
      <c r="J1246" s="28" t="s">
        <v>3465</v>
      </c>
      <c r="K1246" s="1" t="s">
        <v>73</v>
      </c>
      <c r="L1246" s="2">
        <v>45364</v>
      </c>
      <c r="M1246" s="3">
        <v>0.42777777777777781</v>
      </c>
      <c r="N1246" s="19" t="s">
        <v>3466</v>
      </c>
    </row>
    <row r="1247" spans="1:14" ht="129.6" hidden="1" x14ac:dyDescent="0.3">
      <c r="A1247" s="47">
        <f t="shared" si="57"/>
        <v>2024</v>
      </c>
      <c r="B1247" s="46">
        <f t="shared" si="58"/>
        <v>11</v>
      </c>
      <c r="C1247" s="46">
        <f t="shared" si="59"/>
        <v>11</v>
      </c>
      <c r="E1247" s="1" t="s">
        <v>3467</v>
      </c>
      <c r="F1247" s="19" t="s">
        <v>3468</v>
      </c>
      <c r="G1247" s="1" t="s">
        <v>900</v>
      </c>
      <c r="H1247" s="1" t="s">
        <v>2520</v>
      </c>
      <c r="I1247" s="34">
        <v>45363</v>
      </c>
      <c r="J1247" s="28">
        <v>0.46388888888888885</v>
      </c>
      <c r="K1247" s="1" t="s">
        <v>73</v>
      </c>
      <c r="L1247" s="2">
        <v>45365</v>
      </c>
      <c r="M1247" s="3">
        <v>0.41041666666666665</v>
      </c>
      <c r="N1247" s="19" t="s">
        <v>3469</v>
      </c>
    </row>
    <row r="1248" spans="1:14" ht="86.4" hidden="1" x14ac:dyDescent="0.3">
      <c r="A1248" s="47">
        <f t="shared" si="57"/>
        <v>2024</v>
      </c>
      <c r="B1248" s="46">
        <f t="shared" si="58"/>
        <v>12</v>
      </c>
      <c r="C1248" s="46">
        <f t="shared" si="59"/>
        <v>11</v>
      </c>
      <c r="E1248" s="1" t="s">
        <v>3470</v>
      </c>
      <c r="F1248" s="19" t="s">
        <v>3471</v>
      </c>
      <c r="G1248" s="1" t="s">
        <v>900</v>
      </c>
      <c r="H1248" s="1" t="s">
        <v>2520</v>
      </c>
      <c r="I1248" s="34">
        <v>45369</v>
      </c>
      <c r="J1248" s="28">
        <v>0.69444444444444453</v>
      </c>
      <c r="K1248" s="1" t="s">
        <v>73</v>
      </c>
      <c r="L1248" s="2">
        <v>45365</v>
      </c>
      <c r="M1248" s="3">
        <v>0.64722222222222225</v>
      </c>
      <c r="N1248" s="19" t="s">
        <v>3472</v>
      </c>
    </row>
    <row r="1249" spans="1:14" ht="57.6" hidden="1" x14ac:dyDescent="0.3">
      <c r="A1249" s="47">
        <f t="shared" si="57"/>
        <v>2024</v>
      </c>
      <c r="B1249" s="46">
        <f t="shared" si="58"/>
        <v>3</v>
      </c>
      <c r="C1249" s="46">
        <f t="shared" si="59"/>
        <v>11</v>
      </c>
      <c r="E1249" s="1" t="s">
        <v>3473</v>
      </c>
      <c r="F1249" s="19" t="s">
        <v>3474</v>
      </c>
      <c r="G1249" s="1" t="s">
        <v>900</v>
      </c>
      <c r="H1249" s="1" t="s">
        <v>2520</v>
      </c>
      <c r="I1249" s="34">
        <v>45309</v>
      </c>
      <c r="J1249" s="28">
        <v>0.6972222222222223</v>
      </c>
      <c r="K1249" s="1" t="s">
        <v>73</v>
      </c>
      <c r="L1249" s="2">
        <v>45365</v>
      </c>
      <c r="M1249" s="3">
        <v>0.6777777777777777</v>
      </c>
      <c r="N1249" s="19" t="s">
        <v>3475</v>
      </c>
    </row>
    <row r="1250" spans="1:14" ht="86.4" hidden="1" x14ac:dyDescent="0.3">
      <c r="A1250" s="47">
        <f t="shared" si="57"/>
        <v>2024</v>
      </c>
      <c r="B1250" s="46">
        <f t="shared" si="58"/>
        <v>4</v>
      </c>
      <c r="C1250" s="46">
        <f t="shared" si="59"/>
        <v>11</v>
      </c>
      <c r="E1250" s="1" t="s">
        <v>3122</v>
      </c>
      <c r="F1250" s="19" t="s">
        <v>3476</v>
      </c>
      <c r="G1250" s="1" t="s">
        <v>10</v>
      </c>
      <c r="H1250" s="1" t="s">
        <v>2520</v>
      </c>
      <c r="I1250" s="2">
        <v>45315</v>
      </c>
      <c r="J1250" s="3">
        <v>0.37083333333333335</v>
      </c>
      <c r="K1250" s="1" t="s">
        <v>73</v>
      </c>
      <c r="L1250" s="2">
        <v>45366</v>
      </c>
      <c r="M1250" s="3">
        <v>0.35902777777777778</v>
      </c>
      <c r="N1250" s="19" t="s">
        <v>955</v>
      </c>
    </row>
    <row r="1251" spans="1:14" ht="86.4" hidden="1" x14ac:dyDescent="0.3">
      <c r="A1251" s="47">
        <f t="shared" si="57"/>
        <v>2024</v>
      </c>
      <c r="B1251" s="46">
        <f t="shared" si="58"/>
        <v>5</v>
      </c>
      <c r="C1251" s="46">
        <f t="shared" si="59"/>
        <v>11</v>
      </c>
      <c r="E1251" s="1" t="s">
        <v>3477</v>
      </c>
      <c r="F1251" s="19" t="s">
        <v>3478</v>
      </c>
      <c r="G1251" s="1" t="s">
        <v>10</v>
      </c>
      <c r="H1251" s="1" t="s">
        <v>2520</v>
      </c>
      <c r="I1251" s="2">
        <v>45321</v>
      </c>
      <c r="J1251" s="3">
        <v>0.67222222222222217</v>
      </c>
      <c r="K1251" s="1" t="s">
        <v>73</v>
      </c>
      <c r="L1251" s="2">
        <v>45366</v>
      </c>
      <c r="M1251" s="3">
        <v>0.36319444444444443</v>
      </c>
      <c r="N1251" s="19" t="s">
        <v>3479</v>
      </c>
    </row>
    <row r="1252" spans="1:14" ht="86.4" hidden="1" x14ac:dyDescent="0.3">
      <c r="A1252" s="47">
        <f t="shared" si="57"/>
        <v>2024</v>
      </c>
      <c r="B1252" s="46">
        <f t="shared" si="58"/>
        <v>5</v>
      </c>
      <c r="C1252" s="46">
        <f t="shared" si="59"/>
        <v>11</v>
      </c>
      <c r="E1252" s="1" t="s">
        <v>3480</v>
      </c>
      <c r="F1252" s="19" t="s">
        <v>3481</v>
      </c>
      <c r="G1252" s="1" t="s">
        <v>10</v>
      </c>
      <c r="H1252" s="1" t="s">
        <v>2520</v>
      </c>
      <c r="I1252" s="2">
        <v>45321</v>
      </c>
      <c r="J1252" s="3">
        <v>0.66805555555555562</v>
      </c>
      <c r="K1252" s="1" t="s">
        <v>73</v>
      </c>
      <c r="L1252" s="2">
        <v>45366</v>
      </c>
      <c r="M1252" s="3">
        <v>0.41111111111111115</v>
      </c>
      <c r="N1252" s="19" t="s">
        <v>3482</v>
      </c>
    </row>
    <row r="1253" spans="1:14" ht="57.6" hidden="1" x14ac:dyDescent="0.3">
      <c r="A1253" s="47">
        <f t="shared" si="57"/>
        <v>2024</v>
      </c>
      <c r="B1253" s="46">
        <f t="shared" si="58"/>
        <v>5</v>
      </c>
      <c r="C1253" s="46">
        <f t="shared" si="59"/>
        <v>11</v>
      </c>
      <c r="E1253" s="1" t="s">
        <v>3483</v>
      </c>
      <c r="F1253" s="19" t="s">
        <v>3481</v>
      </c>
      <c r="G1253" s="1" t="s">
        <v>10</v>
      </c>
      <c r="H1253" s="1" t="s">
        <v>2520</v>
      </c>
      <c r="I1253" s="2">
        <v>45323</v>
      </c>
      <c r="J1253" s="3">
        <v>0.41319444444444442</v>
      </c>
      <c r="K1253" s="1" t="s">
        <v>73</v>
      </c>
      <c r="L1253" s="2">
        <v>45366</v>
      </c>
      <c r="M1253" s="3">
        <v>0.41736111111111113</v>
      </c>
      <c r="N1253" s="19" t="s">
        <v>3485</v>
      </c>
    </row>
    <row r="1254" spans="1:14" ht="57.6" hidden="1" x14ac:dyDescent="0.3">
      <c r="A1254" s="47">
        <f t="shared" si="57"/>
        <v>2024</v>
      </c>
      <c r="B1254" s="46">
        <f t="shared" si="58"/>
        <v>5</v>
      </c>
      <c r="C1254" s="46">
        <f t="shared" si="59"/>
        <v>11</v>
      </c>
      <c r="E1254" s="1" t="s">
        <v>3484</v>
      </c>
      <c r="F1254" s="19" t="s">
        <v>3481</v>
      </c>
      <c r="G1254" s="1" t="s">
        <v>10</v>
      </c>
      <c r="H1254" s="1" t="s">
        <v>2520</v>
      </c>
      <c r="I1254" s="2">
        <v>45323</v>
      </c>
      <c r="J1254" s="3">
        <v>0.4597222222222222</v>
      </c>
      <c r="K1254" s="1" t="s">
        <v>73</v>
      </c>
      <c r="L1254" s="2">
        <v>45366</v>
      </c>
      <c r="M1254" s="3">
        <v>0.50277777777777777</v>
      </c>
      <c r="N1254" s="19" t="s">
        <v>3486</v>
      </c>
    </row>
    <row r="1255" spans="1:14" ht="86.4" hidden="1" x14ac:dyDescent="0.3">
      <c r="A1255" s="47">
        <f t="shared" si="57"/>
        <v>2024</v>
      </c>
      <c r="B1255" s="46">
        <f t="shared" si="58"/>
        <v>5</v>
      </c>
      <c r="C1255" s="46">
        <f t="shared" si="59"/>
        <v>11</v>
      </c>
      <c r="E1255" s="1" t="s">
        <v>3487</v>
      </c>
      <c r="F1255" s="19" t="s">
        <v>3481</v>
      </c>
      <c r="G1255" s="1" t="s">
        <v>10</v>
      </c>
      <c r="H1255" s="1" t="s">
        <v>2520</v>
      </c>
      <c r="I1255" s="2">
        <v>45323</v>
      </c>
      <c r="J1255" s="3">
        <v>0.47013888888888888</v>
      </c>
      <c r="K1255" s="1" t="s">
        <v>73</v>
      </c>
      <c r="L1255" s="2">
        <v>45366</v>
      </c>
      <c r="M1255" s="3">
        <v>0.50902777777777775</v>
      </c>
      <c r="N1255" s="19" t="s">
        <v>3488</v>
      </c>
    </row>
    <row r="1256" spans="1:14" ht="57.6" hidden="1" x14ac:dyDescent="0.3">
      <c r="A1256" s="47">
        <f t="shared" si="57"/>
        <v>2024</v>
      </c>
      <c r="B1256" s="46">
        <f t="shared" si="58"/>
        <v>7</v>
      </c>
      <c r="C1256" s="46">
        <f t="shared" si="59"/>
        <v>11</v>
      </c>
      <c r="E1256" s="1" t="s">
        <v>3489</v>
      </c>
      <c r="F1256" s="19" t="s">
        <v>3490</v>
      </c>
      <c r="G1256" s="1" t="s">
        <v>10</v>
      </c>
      <c r="H1256" s="1" t="s">
        <v>2520</v>
      </c>
      <c r="I1256" s="2">
        <v>45336</v>
      </c>
      <c r="J1256" s="3">
        <v>0.52222222222222225</v>
      </c>
      <c r="K1256" s="1" t="s">
        <v>73</v>
      </c>
      <c r="L1256" s="2">
        <v>45366</v>
      </c>
      <c r="M1256" s="3">
        <v>0.57222222222222219</v>
      </c>
      <c r="N1256" s="19" t="s">
        <v>3491</v>
      </c>
    </row>
    <row r="1257" spans="1:14" ht="72" hidden="1" x14ac:dyDescent="0.3">
      <c r="A1257" s="47">
        <f t="shared" si="57"/>
        <v>2024</v>
      </c>
      <c r="B1257" s="46">
        <f t="shared" si="58"/>
        <v>7</v>
      </c>
      <c r="C1257" s="46">
        <f t="shared" si="59"/>
        <v>11</v>
      </c>
      <c r="E1257" s="1" t="s">
        <v>3492</v>
      </c>
      <c r="F1257" s="19" t="s">
        <v>3490</v>
      </c>
      <c r="G1257" s="1" t="s">
        <v>10</v>
      </c>
      <c r="H1257" s="1" t="s">
        <v>2520</v>
      </c>
      <c r="I1257" s="2">
        <v>45336</v>
      </c>
      <c r="J1257" s="3">
        <v>0.52847222222222223</v>
      </c>
      <c r="K1257" s="1" t="s">
        <v>73</v>
      </c>
      <c r="L1257" s="2">
        <v>45366</v>
      </c>
      <c r="M1257" s="3">
        <v>0.58194444444444449</v>
      </c>
      <c r="N1257" s="19" t="s">
        <v>3493</v>
      </c>
    </row>
    <row r="1258" spans="1:14" ht="57.6" hidden="1" x14ac:dyDescent="0.3">
      <c r="A1258" s="47">
        <f t="shared" si="57"/>
        <v>2024</v>
      </c>
      <c r="B1258" s="46">
        <f t="shared" si="58"/>
        <v>7</v>
      </c>
      <c r="C1258" s="46">
        <f t="shared" si="59"/>
        <v>11</v>
      </c>
      <c r="E1258" s="1" t="s">
        <v>3494</v>
      </c>
      <c r="F1258" s="19" t="s">
        <v>3495</v>
      </c>
      <c r="G1258" s="1" t="s">
        <v>10</v>
      </c>
      <c r="H1258" s="1" t="s">
        <v>2520</v>
      </c>
      <c r="I1258" s="2">
        <v>45336</v>
      </c>
      <c r="J1258" s="3">
        <v>0.53333333333333333</v>
      </c>
      <c r="K1258" s="1" t="s">
        <v>73</v>
      </c>
      <c r="L1258" s="2">
        <v>45366</v>
      </c>
      <c r="M1258" s="1" t="s">
        <v>3496</v>
      </c>
      <c r="N1258" s="19" t="s">
        <v>3497</v>
      </c>
    </row>
    <row r="1259" spans="1:14" ht="57.6" hidden="1" x14ac:dyDescent="0.3">
      <c r="A1259" s="47">
        <f t="shared" si="57"/>
        <v>2024</v>
      </c>
      <c r="B1259" s="46">
        <f t="shared" si="58"/>
        <v>7</v>
      </c>
      <c r="C1259" s="46">
        <f t="shared" si="59"/>
        <v>11</v>
      </c>
      <c r="E1259" s="1" t="s">
        <v>3498</v>
      </c>
      <c r="F1259" s="19" t="s">
        <v>3499</v>
      </c>
      <c r="G1259" s="1" t="s">
        <v>10</v>
      </c>
      <c r="H1259" s="1" t="s">
        <v>2520</v>
      </c>
      <c r="I1259" s="2">
        <v>45336</v>
      </c>
      <c r="J1259" s="3">
        <v>0.60416666666666663</v>
      </c>
      <c r="K1259" s="1" t="s">
        <v>73</v>
      </c>
      <c r="L1259" s="2">
        <v>45366</v>
      </c>
      <c r="M1259" s="3">
        <v>0.62916666666666665</v>
      </c>
      <c r="N1259" s="19" t="s">
        <v>3500</v>
      </c>
    </row>
    <row r="1260" spans="1:14" ht="57.6" hidden="1" x14ac:dyDescent="0.3">
      <c r="A1260" s="47">
        <f t="shared" si="57"/>
        <v>2024</v>
      </c>
      <c r="B1260" s="46">
        <f t="shared" si="58"/>
        <v>7</v>
      </c>
      <c r="C1260" s="46">
        <f t="shared" si="59"/>
        <v>11</v>
      </c>
      <c r="E1260" s="1" t="s">
        <v>3501</v>
      </c>
      <c r="F1260" s="19" t="s">
        <v>3495</v>
      </c>
      <c r="G1260" s="1" t="s">
        <v>10</v>
      </c>
      <c r="H1260" s="1" t="s">
        <v>251</v>
      </c>
      <c r="I1260" s="2">
        <v>45336</v>
      </c>
      <c r="J1260" s="3">
        <v>0.60555555555555551</v>
      </c>
      <c r="K1260" s="1" t="s">
        <v>73</v>
      </c>
      <c r="L1260" s="2">
        <v>45366</v>
      </c>
      <c r="M1260" s="3">
        <v>0.63402777777777775</v>
      </c>
      <c r="N1260" s="19" t="s">
        <v>3502</v>
      </c>
    </row>
    <row r="1261" spans="1:14" ht="57.6" hidden="1" x14ac:dyDescent="0.3">
      <c r="A1261" s="47">
        <f t="shared" si="57"/>
        <v>2024</v>
      </c>
      <c r="B1261" s="46">
        <f t="shared" si="58"/>
        <v>7</v>
      </c>
      <c r="C1261" s="46">
        <f t="shared" si="59"/>
        <v>11</v>
      </c>
      <c r="E1261" s="1" t="s">
        <v>3503</v>
      </c>
      <c r="F1261" s="19" t="s">
        <v>3499</v>
      </c>
      <c r="G1261" s="1" t="s">
        <v>10</v>
      </c>
      <c r="H1261" s="1" t="s">
        <v>251</v>
      </c>
      <c r="I1261" s="2">
        <v>45336</v>
      </c>
      <c r="J1261" s="3">
        <v>0.60555555555555551</v>
      </c>
      <c r="K1261" s="1" t="s">
        <v>73</v>
      </c>
      <c r="L1261" s="2">
        <v>45366</v>
      </c>
      <c r="M1261" s="1" t="s">
        <v>3505</v>
      </c>
      <c r="N1261" s="19" t="s">
        <v>3504</v>
      </c>
    </row>
    <row r="1262" spans="1:14" ht="72" hidden="1" x14ac:dyDescent="0.3">
      <c r="A1262" s="47">
        <f t="shared" si="57"/>
        <v>2024</v>
      </c>
      <c r="B1262" s="46">
        <f t="shared" si="58"/>
        <v>7</v>
      </c>
      <c r="C1262" s="46">
        <f t="shared" si="59"/>
        <v>11</v>
      </c>
      <c r="E1262" s="1" t="s">
        <v>3506</v>
      </c>
      <c r="F1262" s="19" t="s">
        <v>3499</v>
      </c>
      <c r="G1262" s="1" t="s">
        <v>10</v>
      </c>
      <c r="H1262" s="1" t="s">
        <v>251</v>
      </c>
      <c r="I1262" s="2">
        <v>45336</v>
      </c>
      <c r="J1262" s="3">
        <v>0.60763888888888895</v>
      </c>
      <c r="K1262" s="1" t="s">
        <v>73</v>
      </c>
      <c r="L1262" s="2">
        <v>45366</v>
      </c>
      <c r="M1262" s="3">
        <v>0.67847222222222225</v>
      </c>
      <c r="N1262" s="19" t="s">
        <v>3507</v>
      </c>
    </row>
    <row r="1263" spans="1:14" ht="72" hidden="1" x14ac:dyDescent="0.3">
      <c r="A1263" s="47">
        <f t="shared" si="57"/>
        <v>2024</v>
      </c>
      <c r="B1263" s="46">
        <f t="shared" si="58"/>
        <v>7</v>
      </c>
      <c r="C1263" s="46">
        <f t="shared" si="59"/>
        <v>11</v>
      </c>
      <c r="E1263" s="1" t="s">
        <v>3508</v>
      </c>
      <c r="F1263" s="19" t="s">
        <v>3499</v>
      </c>
      <c r="G1263" s="1" t="s">
        <v>10</v>
      </c>
      <c r="H1263" s="1" t="s">
        <v>251</v>
      </c>
      <c r="I1263" s="2">
        <v>45336</v>
      </c>
      <c r="J1263" s="3">
        <v>0.60972222222222217</v>
      </c>
      <c r="K1263" s="1" t="s">
        <v>73</v>
      </c>
      <c r="L1263" s="2">
        <v>45366</v>
      </c>
      <c r="M1263" s="3">
        <v>0.68263888888888891</v>
      </c>
      <c r="N1263" s="19" t="s">
        <v>3509</v>
      </c>
    </row>
    <row r="1264" spans="1:14" ht="57.6" hidden="1" x14ac:dyDescent="0.3">
      <c r="A1264" s="47">
        <f t="shared" si="57"/>
        <v>2024</v>
      </c>
      <c r="B1264" s="46">
        <f t="shared" si="58"/>
        <v>7</v>
      </c>
      <c r="C1264" s="46">
        <f t="shared" si="59"/>
        <v>12</v>
      </c>
      <c r="E1264" s="1" t="s">
        <v>3510</v>
      </c>
      <c r="F1264" s="19" t="s">
        <v>3495</v>
      </c>
      <c r="G1264" s="1" t="s">
        <v>10</v>
      </c>
      <c r="H1264" s="1" t="s">
        <v>251</v>
      </c>
      <c r="I1264" s="2">
        <v>45336</v>
      </c>
      <c r="J1264" s="3">
        <v>0.63263888888888886</v>
      </c>
      <c r="K1264" s="1" t="s">
        <v>73</v>
      </c>
      <c r="L1264" s="2">
        <v>45370</v>
      </c>
      <c r="M1264" s="3">
        <v>0.50208333333333333</v>
      </c>
      <c r="N1264" s="19" t="s">
        <v>3511</v>
      </c>
    </row>
    <row r="1265" spans="1:15" ht="72" hidden="1" x14ac:dyDescent="0.3">
      <c r="A1265" s="47">
        <f t="shared" si="57"/>
        <v>2024</v>
      </c>
      <c r="B1265" s="46">
        <f t="shared" si="58"/>
        <v>7</v>
      </c>
      <c r="C1265" s="46">
        <f t="shared" si="59"/>
        <v>12</v>
      </c>
      <c r="E1265" s="1" t="s">
        <v>3512</v>
      </c>
      <c r="F1265" s="19" t="s">
        <v>3495</v>
      </c>
      <c r="G1265" s="1" t="s">
        <v>10</v>
      </c>
      <c r="H1265" s="1" t="s">
        <v>251</v>
      </c>
      <c r="I1265" s="2">
        <v>45336</v>
      </c>
      <c r="J1265" s="3">
        <v>0.65902777777777777</v>
      </c>
      <c r="K1265" s="1" t="s">
        <v>73</v>
      </c>
      <c r="L1265" s="2">
        <v>45370</v>
      </c>
      <c r="M1265" s="3">
        <v>0.50972222222222219</v>
      </c>
      <c r="N1265" s="19" t="s">
        <v>3513</v>
      </c>
    </row>
    <row r="1266" spans="1:15" ht="86.4" hidden="1" x14ac:dyDescent="0.3">
      <c r="A1266" s="47">
        <f t="shared" si="57"/>
        <v>2024</v>
      </c>
      <c r="B1266" s="46">
        <f t="shared" si="58"/>
        <v>7</v>
      </c>
      <c r="C1266" s="46">
        <f t="shared" si="59"/>
        <v>12</v>
      </c>
      <c r="E1266" s="1" t="s">
        <v>3514</v>
      </c>
      <c r="F1266" s="19" t="s">
        <v>3515</v>
      </c>
      <c r="G1266" s="1" t="s">
        <v>10</v>
      </c>
      <c r="H1266" s="1" t="s">
        <v>251</v>
      </c>
      <c r="I1266" s="2">
        <v>45336</v>
      </c>
      <c r="J1266" s="3">
        <v>0.67708333333333337</v>
      </c>
      <c r="K1266" s="1" t="s">
        <v>73</v>
      </c>
      <c r="L1266" s="2">
        <v>45370</v>
      </c>
      <c r="M1266" s="3">
        <v>0.53472222222222221</v>
      </c>
      <c r="N1266" s="19" t="s">
        <v>3516</v>
      </c>
    </row>
    <row r="1267" spans="1:15" ht="72" hidden="1" x14ac:dyDescent="0.3">
      <c r="A1267" s="47">
        <f t="shared" si="57"/>
        <v>2024</v>
      </c>
      <c r="B1267" s="46">
        <f t="shared" si="58"/>
        <v>7</v>
      </c>
      <c r="C1267" s="46">
        <f t="shared" si="59"/>
        <v>12</v>
      </c>
      <c r="E1267" s="1" t="s">
        <v>3517</v>
      </c>
      <c r="F1267" s="19" t="s">
        <v>3518</v>
      </c>
      <c r="G1267" s="1" t="s">
        <v>10</v>
      </c>
      <c r="H1267" s="1" t="s">
        <v>251</v>
      </c>
      <c r="I1267" s="2">
        <v>45336</v>
      </c>
      <c r="J1267" s="3">
        <v>0.61111111111111105</v>
      </c>
      <c r="K1267" s="1" t="s">
        <v>73</v>
      </c>
      <c r="L1267" s="2">
        <v>45372</v>
      </c>
      <c r="M1267" s="3">
        <v>0.6875</v>
      </c>
      <c r="N1267" s="19" t="s">
        <v>3519</v>
      </c>
    </row>
    <row r="1268" spans="1:15" ht="57.6" hidden="1" x14ac:dyDescent="0.3">
      <c r="A1268" s="47">
        <f t="shared" si="57"/>
        <v>2024</v>
      </c>
      <c r="B1268" s="46">
        <f t="shared" si="58"/>
        <v>7</v>
      </c>
      <c r="C1268" s="46">
        <f t="shared" si="59"/>
        <v>13</v>
      </c>
      <c r="E1268" s="1" t="s">
        <v>3520</v>
      </c>
      <c r="F1268" s="19" t="s">
        <v>3490</v>
      </c>
      <c r="G1268" s="1" t="s">
        <v>10</v>
      </c>
      <c r="H1268" s="1" t="s">
        <v>251</v>
      </c>
      <c r="I1268" s="2">
        <v>45336</v>
      </c>
      <c r="J1268" s="3">
        <v>0.52847222222222223</v>
      </c>
      <c r="K1268" s="1" t="s">
        <v>73</v>
      </c>
      <c r="L1268" s="2">
        <v>45377</v>
      </c>
      <c r="M1268" s="3">
        <v>0.36874999999999997</v>
      </c>
      <c r="N1268" s="19" t="s">
        <v>3522</v>
      </c>
    </row>
    <row r="1269" spans="1:15" ht="57.6" hidden="1" x14ac:dyDescent="0.3">
      <c r="A1269" s="47">
        <f t="shared" si="57"/>
        <v>2024</v>
      </c>
      <c r="B1269" s="46">
        <f t="shared" si="58"/>
        <v>7</v>
      </c>
      <c r="C1269" s="46">
        <f t="shared" si="59"/>
        <v>13</v>
      </c>
      <c r="E1269" s="1" t="s">
        <v>3521</v>
      </c>
      <c r="F1269" s="19" t="s">
        <v>3495</v>
      </c>
      <c r="G1269" s="1" t="s">
        <v>10</v>
      </c>
      <c r="H1269" s="1" t="s">
        <v>251</v>
      </c>
      <c r="I1269" s="2">
        <v>45336</v>
      </c>
      <c r="J1269" s="3">
        <v>0.60763888888888895</v>
      </c>
      <c r="K1269" s="1" t="s">
        <v>73</v>
      </c>
      <c r="L1269" s="2">
        <v>45377</v>
      </c>
      <c r="M1269" s="3">
        <v>0.3756944444444445</v>
      </c>
      <c r="N1269" s="19" t="s">
        <v>3523</v>
      </c>
    </row>
    <row r="1270" spans="1:15" ht="187.2" hidden="1" x14ac:dyDescent="0.3">
      <c r="A1270" s="47">
        <f t="shared" si="57"/>
        <v>2024</v>
      </c>
      <c r="B1270" s="46">
        <f t="shared" si="58"/>
        <v>7</v>
      </c>
      <c r="C1270" s="46">
        <f t="shared" si="59"/>
        <v>13</v>
      </c>
      <c r="E1270" s="1" t="s">
        <v>3524</v>
      </c>
      <c r="F1270" s="19" t="s">
        <v>3525</v>
      </c>
      <c r="G1270" s="1" t="s">
        <v>10</v>
      </c>
      <c r="H1270" s="1" t="s">
        <v>2520</v>
      </c>
      <c r="I1270" s="2">
        <v>45334</v>
      </c>
      <c r="J1270" s="3">
        <v>0.51180555555555551</v>
      </c>
      <c r="K1270" s="1" t="s">
        <v>73</v>
      </c>
      <c r="L1270" s="2">
        <v>45377</v>
      </c>
      <c r="M1270" s="3">
        <v>0.47222222222222227</v>
      </c>
      <c r="N1270" s="19" t="s">
        <v>3530</v>
      </c>
    </row>
    <row r="1271" spans="1:15" ht="100.8" hidden="1" x14ac:dyDescent="0.3">
      <c r="A1271" s="47">
        <f t="shared" si="57"/>
        <v>2024</v>
      </c>
      <c r="B1271" s="46">
        <f t="shared" si="58"/>
        <v>8</v>
      </c>
      <c r="C1271" s="46">
        <f t="shared" si="59"/>
        <v>13</v>
      </c>
      <c r="E1271" s="1" t="s">
        <v>3526</v>
      </c>
      <c r="F1271" s="19" t="s">
        <v>3527</v>
      </c>
      <c r="G1271" s="1" t="s">
        <v>900</v>
      </c>
      <c r="H1271" s="1" t="s">
        <v>2520</v>
      </c>
      <c r="I1271" s="2">
        <v>45341</v>
      </c>
      <c r="J1271" s="3">
        <v>0.36874999999999997</v>
      </c>
      <c r="K1271" s="1" t="s">
        <v>3528</v>
      </c>
      <c r="L1271" s="2">
        <v>45377</v>
      </c>
      <c r="M1271" s="3">
        <v>0.3520833333333333</v>
      </c>
      <c r="N1271" s="19" t="s">
        <v>3529</v>
      </c>
    </row>
    <row r="1272" spans="1:15" ht="172.8" hidden="1" x14ac:dyDescent="0.3">
      <c r="A1272" s="47">
        <f t="shared" si="57"/>
        <v>2024</v>
      </c>
      <c r="B1272" s="46">
        <f t="shared" si="58"/>
        <v>11</v>
      </c>
      <c r="C1272" s="46">
        <f t="shared" si="59"/>
        <v>13</v>
      </c>
      <c r="E1272" s="1" t="s">
        <v>3531</v>
      </c>
      <c r="F1272" s="19" t="s">
        <v>3532</v>
      </c>
      <c r="G1272" s="1" t="s">
        <v>10</v>
      </c>
      <c r="H1272" s="1" t="s">
        <v>2520</v>
      </c>
      <c r="I1272" s="2">
        <v>45363</v>
      </c>
      <c r="J1272" s="3">
        <v>0.52430555555555558</v>
      </c>
      <c r="K1272" s="1" t="s">
        <v>73</v>
      </c>
      <c r="L1272" s="2">
        <v>45377</v>
      </c>
      <c r="M1272" s="3">
        <v>0.56388888888888888</v>
      </c>
      <c r="N1272" s="19" t="s">
        <v>3533</v>
      </c>
    </row>
    <row r="1273" spans="1:15" ht="72" hidden="1" x14ac:dyDescent="0.3">
      <c r="A1273" s="47">
        <f t="shared" si="57"/>
        <v>2024</v>
      </c>
      <c r="B1273" s="46">
        <f t="shared" si="58"/>
        <v>11</v>
      </c>
      <c r="C1273" s="46">
        <f t="shared" si="59"/>
        <v>13</v>
      </c>
      <c r="E1273" s="1" t="s">
        <v>3534</v>
      </c>
      <c r="F1273" s="19" t="s">
        <v>3535</v>
      </c>
      <c r="G1273" s="1" t="s">
        <v>10</v>
      </c>
      <c r="H1273" s="1" t="s">
        <v>2520</v>
      </c>
      <c r="I1273" s="2">
        <v>45363</v>
      </c>
      <c r="J1273" s="3">
        <v>0.66597222222222219</v>
      </c>
      <c r="K1273" s="1" t="s">
        <v>73</v>
      </c>
      <c r="L1273" s="2">
        <v>45378</v>
      </c>
      <c r="M1273" s="3">
        <v>0.45347222222222222</v>
      </c>
      <c r="N1273" s="19" t="s">
        <v>3536</v>
      </c>
    </row>
    <row r="1274" spans="1:15" ht="86.4" hidden="1" x14ac:dyDescent="0.3">
      <c r="A1274" s="47">
        <f t="shared" si="57"/>
        <v>2024</v>
      </c>
      <c r="B1274" s="46">
        <f t="shared" si="58"/>
        <v>11</v>
      </c>
      <c r="C1274" s="46">
        <f t="shared" si="59"/>
        <v>13</v>
      </c>
      <c r="E1274" s="1" t="s">
        <v>3537</v>
      </c>
      <c r="F1274" s="19" t="s">
        <v>3538</v>
      </c>
      <c r="G1274" s="1" t="s">
        <v>10</v>
      </c>
      <c r="H1274" s="1" t="s">
        <v>2520</v>
      </c>
      <c r="I1274" s="2">
        <v>45364</v>
      </c>
      <c r="J1274" s="3">
        <v>0.69513888888888886</v>
      </c>
      <c r="K1274" s="1" t="s">
        <v>73</v>
      </c>
      <c r="L1274" s="2">
        <v>45378</v>
      </c>
      <c r="M1274" s="3">
        <v>0.47430555555555554</v>
      </c>
      <c r="N1274" s="19" t="s">
        <v>3536</v>
      </c>
    </row>
    <row r="1275" spans="1:15" ht="86.4" hidden="1" x14ac:dyDescent="0.3">
      <c r="A1275" s="47">
        <f t="shared" si="57"/>
        <v>2024</v>
      </c>
      <c r="B1275" s="46">
        <f t="shared" si="58"/>
        <v>11</v>
      </c>
      <c r="C1275" s="46">
        <f t="shared" si="59"/>
        <v>13</v>
      </c>
      <c r="E1275" s="1" t="s">
        <v>3539</v>
      </c>
      <c r="F1275" s="19" t="s">
        <v>3540</v>
      </c>
      <c r="G1275" s="1" t="s">
        <v>10</v>
      </c>
      <c r="H1275" s="1" t="s">
        <v>2520</v>
      </c>
      <c r="I1275" s="2">
        <v>45363</v>
      </c>
      <c r="J1275" s="3">
        <v>0.50694444444444442</v>
      </c>
      <c r="K1275" s="1" t="s">
        <v>73</v>
      </c>
      <c r="L1275" s="2">
        <v>45379</v>
      </c>
      <c r="M1275" s="3">
        <v>0.51388888888888895</v>
      </c>
      <c r="N1275" s="19" t="s">
        <v>3541</v>
      </c>
    </row>
    <row r="1276" spans="1:15" ht="72" hidden="1" x14ac:dyDescent="0.3">
      <c r="A1276" s="47">
        <f t="shared" si="57"/>
        <v>2024</v>
      </c>
      <c r="B1276" s="46">
        <f t="shared" si="58"/>
        <v>8</v>
      </c>
      <c r="C1276" s="46">
        <f t="shared" si="59"/>
        <v>14</v>
      </c>
      <c r="E1276" s="1" t="s">
        <v>3542</v>
      </c>
      <c r="F1276" s="19" t="s">
        <v>3543</v>
      </c>
      <c r="G1276" s="1" t="s">
        <v>10</v>
      </c>
      <c r="H1276" s="1" t="s">
        <v>2520</v>
      </c>
      <c r="I1276" s="2">
        <v>45343</v>
      </c>
      <c r="J1276" s="3">
        <v>0.50555555555555554</v>
      </c>
      <c r="K1276" s="1" t="s">
        <v>73</v>
      </c>
      <c r="L1276" s="2">
        <v>45383</v>
      </c>
      <c r="M1276" s="3">
        <v>0.72361111111111109</v>
      </c>
      <c r="N1276" s="19" t="s">
        <v>3544</v>
      </c>
    </row>
    <row r="1277" spans="1:15" ht="100.8" hidden="1" x14ac:dyDescent="0.3">
      <c r="A1277" s="47">
        <f t="shared" si="57"/>
        <v>2024</v>
      </c>
      <c r="B1277" s="46">
        <f t="shared" si="58"/>
        <v>9</v>
      </c>
      <c r="C1277" s="46">
        <f t="shared" si="59"/>
        <v>14</v>
      </c>
      <c r="E1277" s="1" t="s">
        <v>3545</v>
      </c>
      <c r="F1277" s="19" t="s">
        <v>3546</v>
      </c>
      <c r="G1277" s="1" t="s">
        <v>10</v>
      </c>
      <c r="H1277" s="1" t="s">
        <v>2520</v>
      </c>
      <c r="I1277" s="2">
        <v>45349</v>
      </c>
      <c r="J1277" s="3">
        <v>0.47291666666666665</v>
      </c>
      <c r="K1277" s="1" t="s">
        <v>73</v>
      </c>
      <c r="L1277" s="2">
        <v>45383</v>
      </c>
      <c r="M1277" s="3">
        <v>0.73263888888888884</v>
      </c>
      <c r="N1277" s="19" t="s">
        <v>3547</v>
      </c>
    </row>
    <row r="1278" spans="1:15" ht="100.8" hidden="1" x14ac:dyDescent="0.3">
      <c r="A1278" s="47">
        <f t="shared" si="57"/>
        <v>2024</v>
      </c>
      <c r="B1278" s="46">
        <f t="shared" si="58"/>
        <v>9</v>
      </c>
      <c r="C1278" s="46">
        <f t="shared" si="59"/>
        <v>14</v>
      </c>
      <c r="E1278" s="38" t="s">
        <v>3548</v>
      </c>
      <c r="F1278" s="19" t="s">
        <v>3549</v>
      </c>
      <c r="G1278" s="1" t="s">
        <v>10</v>
      </c>
      <c r="H1278" s="1" t="s">
        <v>2520</v>
      </c>
      <c r="I1278" s="2">
        <v>45349</v>
      </c>
      <c r="J1278" s="3">
        <v>0.47500000000000003</v>
      </c>
      <c r="K1278" s="1" t="s">
        <v>73</v>
      </c>
      <c r="L1278" s="2">
        <v>45383</v>
      </c>
      <c r="M1278" s="3">
        <v>0.74236111111111114</v>
      </c>
      <c r="N1278" s="19" t="s">
        <v>3550</v>
      </c>
    </row>
    <row r="1279" spans="1:15" ht="187.2" hidden="1" x14ac:dyDescent="0.3">
      <c r="A1279" s="47">
        <f t="shared" si="57"/>
        <v>2024</v>
      </c>
      <c r="B1279" s="46">
        <f t="shared" si="58"/>
        <v>11</v>
      </c>
      <c r="C1279" s="46">
        <f t="shared" si="59"/>
        <v>14</v>
      </c>
      <c r="D1279" s="29"/>
      <c r="E1279" s="29" t="s">
        <v>3537</v>
      </c>
      <c r="F1279" s="85" t="s">
        <v>3551</v>
      </c>
      <c r="G1279" s="29" t="s">
        <v>10</v>
      </c>
      <c r="H1279" s="225" t="s">
        <v>2520</v>
      </c>
      <c r="I1279" s="30">
        <v>45364</v>
      </c>
      <c r="J1279" s="29"/>
      <c r="K1279" s="29" t="s">
        <v>3552</v>
      </c>
      <c r="L1279" s="30">
        <v>45388</v>
      </c>
      <c r="M1279" s="31">
        <v>0.52638888888888891</v>
      </c>
      <c r="N1279" s="85" t="s">
        <v>3553</v>
      </c>
      <c r="O1279" s="41"/>
    </row>
    <row r="1280" spans="1:15" ht="79.349999999999994" hidden="1" customHeight="1" x14ac:dyDescent="0.3">
      <c r="A1280" s="47">
        <f t="shared" si="57"/>
        <v>2024</v>
      </c>
      <c r="B1280" s="46">
        <f t="shared" si="58"/>
        <v>13</v>
      </c>
      <c r="C1280" s="46">
        <f t="shared" si="59"/>
        <v>14</v>
      </c>
      <c r="D1280" s="29"/>
      <c r="E1280" s="29" t="s">
        <v>3554</v>
      </c>
      <c r="F1280" s="85" t="s">
        <v>3555</v>
      </c>
      <c r="G1280" s="29" t="s">
        <v>10</v>
      </c>
      <c r="H1280" s="225" t="s">
        <v>2520</v>
      </c>
      <c r="I1280" s="30">
        <v>44276</v>
      </c>
      <c r="J1280" s="29"/>
      <c r="K1280" s="29" t="s">
        <v>3552</v>
      </c>
      <c r="L1280" s="30">
        <v>45388</v>
      </c>
      <c r="M1280" s="29"/>
      <c r="N1280" s="85" t="s">
        <v>3556</v>
      </c>
      <c r="O1280" s="41"/>
    </row>
    <row r="1281" spans="1:14" ht="57.6" hidden="1" x14ac:dyDescent="0.3">
      <c r="A1281" s="47">
        <f t="shared" si="57"/>
        <v>2024</v>
      </c>
      <c r="B1281" s="46">
        <f t="shared" si="58"/>
        <v>11</v>
      </c>
      <c r="C1281" s="46">
        <f t="shared" si="59"/>
        <v>14</v>
      </c>
      <c r="E1281" s="226" t="s">
        <v>3557</v>
      </c>
      <c r="F1281" s="19" t="s">
        <v>3558</v>
      </c>
      <c r="G1281" s="1" t="s">
        <v>9</v>
      </c>
      <c r="H1281" s="1" t="s">
        <v>2520</v>
      </c>
      <c r="I1281" s="2">
        <v>45363</v>
      </c>
      <c r="J1281" s="3">
        <v>0.59444444444444444</v>
      </c>
      <c r="K1281" s="1" t="s">
        <v>88</v>
      </c>
      <c r="L1281" s="2">
        <v>45385</v>
      </c>
      <c r="M1281" s="3">
        <v>0.53541666666666665</v>
      </c>
      <c r="N1281" s="19" t="s">
        <v>3559</v>
      </c>
    </row>
    <row r="1282" spans="1:14" ht="57.6" hidden="1" x14ac:dyDescent="0.3">
      <c r="A1282" s="47">
        <f t="shared" si="57"/>
        <v>2024</v>
      </c>
      <c r="B1282" s="46">
        <f t="shared" si="58"/>
        <v>11</v>
      </c>
      <c r="C1282" s="46">
        <f t="shared" si="59"/>
        <v>14</v>
      </c>
      <c r="E1282" s="226" t="s">
        <v>3560</v>
      </c>
      <c r="F1282" s="83" t="s">
        <v>3561</v>
      </c>
      <c r="G1282" s="1" t="s">
        <v>9</v>
      </c>
      <c r="H1282" s="1" t="s">
        <v>2520</v>
      </c>
      <c r="I1282" s="2">
        <v>45363</v>
      </c>
      <c r="J1282" s="3">
        <v>0.59791666666666665</v>
      </c>
      <c r="K1282" s="1" t="s">
        <v>88</v>
      </c>
      <c r="L1282" s="2">
        <v>45385</v>
      </c>
      <c r="M1282" s="3">
        <v>0.54166666666666663</v>
      </c>
      <c r="N1282" s="19" t="s">
        <v>3562</v>
      </c>
    </row>
    <row r="1283" spans="1:14" ht="57.6" hidden="1" x14ac:dyDescent="0.3">
      <c r="A1283" s="47">
        <f t="shared" ref="A1283:A1346" si="60">YEAR(L1283)</f>
        <v>2024</v>
      </c>
      <c r="B1283" s="46">
        <f t="shared" ref="B1283:B1346" si="61">WEEKNUM(I1283)</f>
        <v>11</v>
      </c>
      <c r="C1283" s="46">
        <f t="shared" ref="C1283:C1346" si="62">WEEKNUM(L1283)</f>
        <v>14</v>
      </c>
      <c r="E1283" s="226" t="s">
        <v>3563</v>
      </c>
      <c r="F1283" s="83" t="s">
        <v>3561</v>
      </c>
      <c r="G1283" s="1" t="s">
        <v>9</v>
      </c>
      <c r="H1283" s="1" t="s">
        <v>2520</v>
      </c>
      <c r="I1283" s="2">
        <v>45363</v>
      </c>
      <c r="J1283" s="3">
        <v>0.60138888888888886</v>
      </c>
      <c r="K1283" s="1" t="s">
        <v>88</v>
      </c>
      <c r="L1283" s="2">
        <v>45385</v>
      </c>
      <c r="M1283" s="3">
        <v>0.63958333333333328</v>
      </c>
      <c r="N1283" s="19" t="s">
        <v>3564</v>
      </c>
    </row>
    <row r="1284" spans="1:14" ht="57.6" hidden="1" x14ac:dyDescent="0.3">
      <c r="A1284" s="47">
        <f t="shared" si="60"/>
        <v>2024</v>
      </c>
      <c r="B1284" s="46">
        <f t="shared" si="61"/>
        <v>11</v>
      </c>
      <c r="C1284" s="46">
        <f t="shared" si="62"/>
        <v>14</v>
      </c>
      <c r="E1284" s="226" t="s">
        <v>3565</v>
      </c>
      <c r="F1284" s="19" t="s">
        <v>3566</v>
      </c>
      <c r="G1284" s="38" t="s">
        <v>9</v>
      </c>
      <c r="H1284" s="38" t="s">
        <v>2520</v>
      </c>
      <c r="I1284" s="227">
        <v>45363</v>
      </c>
      <c r="J1284" s="3">
        <v>0.61041666666666672</v>
      </c>
      <c r="K1284" s="38" t="s">
        <v>88</v>
      </c>
      <c r="L1284" s="227">
        <v>45387</v>
      </c>
      <c r="M1284" s="3">
        <v>0.68055555555555547</v>
      </c>
      <c r="N1284" s="32" t="s">
        <v>3567</v>
      </c>
    </row>
    <row r="1285" spans="1:14" ht="57.6" hidden="1" x14ac:dyDescent="0.3">
      <c r="A1285" s="47">
        <f t="shared" si="60"/>
        <v>2024</v>
      </c>
      <c r="B1285" s="46">
        <f t="shared" si="61"/>
        <v>11</v>
      </c>
      <c r="C1285" s="46">
        <f t="shared" si="62"/>
        <v>14</v>
      </c>
      <c r="E1285" s="226" t="s">
        <v>3568</v>
      </c>
      <c r="F1285" s="83" t="s">
        <v>3569</v>
      </c>
      <c r="G1285" s="1" t="s">
        <v>9</v>
      </c>
      <c r="H1285" s="1" t="s">
        <v>2520</v>
      </c>
      <c r="I1285" s="2">
        <v>45363</v>
      </c>
      <c r="J1285" s="3">
        <v>0.66875000000000007</v>
      </c>
      <c r="K1285" s="1" t="s">
        <v>88</v>
      </c>
      <c r="L1285" s="2">
        <v>45385</v>
      </c>
      <c r="M1285" s="3">
        <v>0.72777777777777775</v>
      </c>
      <c r="N1285" s="83" t="s">
        <v>3570</v>
      </c>
    </row>
    <row r="1286" spans="1:14" ht="57.6" hidden="1" x14ac:dyDescent="0.3">
      <c r="A1286" s="47">
        <f t="shared" si="60"/>
        <v>2024</v>
      </c>
      <c r="B1286" s="46">
        <f t="shared" si="61"/>
        <v>11</v>
      </c>
      <c r="C1286" s="46">
        <f t="shared" si="62"/>
        <v>14</v>
      </c>
      <c r="E1286" s="226" t="s">
        <v>3571</v>
      </c>
      <c r="F1286" s="83" t="s">
        <v>3569</v>
      </c>
      <c r="G1286" s="1" t="s">
        <v>9</v>
      </c>
      <c r="H1286" s="1" t="s">
        <v>2520</v>
      </c>
      <c r="I1286" s="2">
        <v>45363</v>
      </c>
      <c r="J1286" s="3">
        <v>0.67222222222222217</v>
      </c>
      <c r="K1286" s="1" t="s">
        <v>88</v>
      </c>
      <c r="L1286" s="2">
        <v>45385</v>
      </c>
      <c r="M1286" s="3">
        <v>0.3666666666666667</v>
      </c>
      <c r="N1286" s="19" t="s">
        <v>2967</v>
      </c>
    </row>
    <row r="1287" spans="1:14" ht="57.6" hidden="1" x14ac:dyDescent="0.3">
      <c r="A1287" s="47">
        <f t="shared" si="60"/>
        <v>2024</v>
      </c>
      <c r="B1287" s="46">
        <f t="shared" si="61"/>
        <v>11</v>
      </c>
      <c r="C1287" s="46">
        <f t="shared" si="62"/>
        <v>14</v>
      </c>
      <c r="E1287" s="226" t="s">
        <v>3572</v>
      </c>
      <c r="F1287" s="83" t="s">
        <v>3569</v>
      </c>
      <c r="G1287" s="1" t="s">
        <v>9</v>
      </c>
      <c r="H1287" s="1" t="s">
        <v>2520</v>
      </c>
      <c r="I1287" s="2">
        <v>45364</v>
      </c>
      <c r="J1287" s="3">
        <v>0.68194444444444446</v>
      </c>
      <c r="K1287" s="1" t="s">
        <v>88</v>
      </c>
      <c r="L1287" s="2">
        <v>45385</v>
      </c>
      <c r="M1287" s="3">
        <v>0.7090277777777777</v>
      </c>
      <c r="N1287" s="19" t="s">
        <v>3573</v>
      </c>
    </row>
    <row r="1288" spans="1:14" ht="57.6" hidden="1" x14ac:dyDescent="0.3">
      <c r="A1288" s="47">
        <f t="shared" si="60"/>
        <v>2024</v>
      </c>
      <c r="B1288" s="46">
        <f t="shared" si="61"/>
        <v>11</v>
      </c>
      <c r="C1288" s="46">
        <f t="shared" si="62"/>
        <v>14</v>
      </c>
      <c r="E1288" s="226" t="s">
        <v>3574</v>
      </c>
      <c r="F1288" s="83" t="s">
        <v>3569</v>
      </c>
      <c r="G1288" s="1" t="s">
        <v>9</v>
      </c>
      <c r="H1288" s="1" t="s">
        <v>2520</v>
      </c>
      <c r="I1288" s="2">
        <v>45365</v>
      </c>
      <c r="J1288" s="3">
        <v>0.46666666666666662</v>
      </c>
      <c r="K1288" s="1" t="s">
        <v>88</v>
      </c>
      <c r="L1288" s="2">
        <v>45385</v>
      </c>
      <c r="M1288" s="3">
        <v>0.71597222222222223</v>
      </c>
      <c r="N1288" s="38" t="s">
        <v>1888</v>
      </c>
    </row>
    <row r="1289" spans="1:14" ht="57.6" hidden="1" x14ac:dyDescent="0.3">
      <c r="A1289" s="47">
        <f t="shared" si="60"/>
        <v>2024</v>
      </c>
      <c r="B1289" s="46">
        <f t="shared" si="61"/>
        <v>12</v>
      </c>
      <c r="C1289" s="46">
        <f t="shared" si="62"/>
        <v>15</v>
      </c>
      <c r="E1289" s="226" t="s">
        <v>3575</v>
      </c>
      <c r="F1289" s="83" t="s">
        <v>3576</v>
      </c>
      <c r="G1289" s="1" t="s">
        <v>9</v>
      </c>
      <c r="H1289" s="1" t="s">
        <v>2520</v>
      </c>
      <c r="I1289" s="2">
        <v>45373</v>
      </c>
      <c r="J1289" s="3">
        <v>0.7055555555555556</v>
      </c>
      <c r="K1289" s="1" t="s">
        <v>88</v>
      </c>
      <c r="L1289" s="2">
        <v>45390</v>
      </c>
      <c r="M1289" s="3">
        <v>0.49513888888888885</v>
      </c>
      <c r="N1289" s="10" t="s">
        <v>3577</v>
      </c>
    </row>
    <row r="1290" spans="1:14" ht="72" hidden="1" x14ac:dyDescent="0.3">
      <c r="A1290" s="47">
        <f t="shared" si="60"/>
        <v>2024</v>
      </c>
      <c r="B1290" s="46">
        <f t="shared" si="61"/>
        <v>11</v>
      </c>
      <c r="C1290" s="46">
        <f t="shared" si="62"/>
        <v>14</v>
      </c>
      <c r="E1290" s="226" t="s">
        <v>3578</v>
      </c>
      <c r="F1290" s="19" t="s">
        <v>3579</v>
      </c>
      <c r="G1290" s="1" t="s">
        <v>9</v>
      </c>
      <c r="H1290" s="1" t="s">
        <v>2520</v>
      </c>
      <c r="I1290" s="2">
        <v>45365</v>
      </c>
      <c r="J1290" s="3">
        <v>0.63055555555555554</v>
      </c>
      <c r="K1290" s="38" t="s">
        <v>88</v>
      </c>
      <c r="L1290" s="227">
        <v>45387</v>
      </c>
      <c r="M1290" s="3">
        <v>0.72569444444444453</v>
      </c>
      <c r="N1290" s="19" t="s">
        <v>3580</v>
      </c>
    </row>
    <row r="1291" spans="1:14" ht="57.6" hidden="1" x14ac:dyDescent="0.3">
      <c r="A1291" s="47">
        <f t="shared" si="60"/>
        <v>2024</v>
      </c>
      <c r="B1291" s="46">
        <f t="shared" si="61"/>
        <v>13</v>
      </c>
      <c r="C1291" s="46">
        <f t="shared" si="62"/>
        <v>14</v>
      </c>
      <c r="E1291" s="226" t="s">
        <v>3581</v>
      </c>
      <c r="F1291" s="19" t="s">
        <v>3566</v>
      </c>
      <c r="G1291" s="1" t="s">
        <v>9</v>
      </c>
      <c r="H1291" s="1" t="s">
        <v>2520</v>
      </c>
      <c r="I1291" s="227">
        <v>45378</v>
      </c>
      <c r="J1291" s="3">
        <v>0.36736111111111108</v>
      </c>
      <c r="K1291" s="38" t="s">
        <v>88</v>
      </c>
      <c r="L1291" s="227">
        <v>45387</v>
      </c>
      <c r="M1291" s="3">
        <v>0.76388888888888884</v>
      </c>
      <c r="N1291" s="19" t="s">
        <v>3582</v>
      </c>
    </row>
    <row r="1292" spans="1:14" ht="57.6" hidden="1" x14ac:dyDescent="0.3">
      <c r="A1292" s="47">
        <f t="shared" si="60"/>
        <v>2024</v>
      </c>
      <c r="B1292" s="46">
        <f t="shared" si="61"/>
        <v>13</v>
      </c>
      <c r="C1292" s="46">
        <f t="shared" si="62"/>
        <v>14</v>
      </c>
      <c r="E1292" s="226" t="s">
        <v>3583</v>
      </c>
      <c r="F1292" s="19" t="s">
        <v>3566</v>
      </c>
      <c r="G1292" s="1" t="s">
        <v>9</v>
      </c>
      <c r="H1292" s="1" t="s">
        <v>2520</v>
      </c>
      <c r="I1292" s="227">
        <v>45377</v>
      </c>
      <c r="J1292" s="3">
        <v>0.65069444444444446</v>
      </c>
      <c r="K1292" s="38" t="s">
        <v>88</v>
      </c>
      <c r="L1292" s="227">
        <v>45388</v>
      </c>
      <c r="M1292" s="3">
        <v>0.41388888888888892</v>
      </c>
      <c r="N1292" s="19" t="s">
        <v>3582</v>
      </c>
    </row>
    <row r="1293" spans="1:14" ht="57.6" hidden="1" x14ac:dyDescent="0.3">
      <c r="A1293" s="47">
        <f t="shared" si="60"/>
        <v>2024</v>
      </c>
      <c r="B1293" s="46">
        <f t="shared" si="61"/>
        <v>13</v>
      </c>
      <c r="C1293" s="46">
        <f t="shared" si="62"/>
        <v>14</v>
      </c>
      <c r="E1293" s="226" t="s">
        <v>3584</v>
      </c>
      <c r="F1293" s="83" t="s">
        <v>3566</v>
      </c>
      <c r="G1293" s="1" t="s">
        <v>9</v>
      </c>
      <c r="H1293" s="1" t="s">
        <v>2520</v>
      </c>
      <c r="I1293" s="227">
        <v>45377</v>
      </c>
      <c r="J1293" s="3">
        <v>0.65277777777777779</v>
      </c>
      <c r="K1293" s="38" t="s">
        <v>88</v>
      </c>
      <c r="L1293" s="227">
        <v>45388</v>
      </c>
      <c r="M1293" s="3">
        <v>0.41875000000000001</v>
      </c>
      <c r="N1293" s="19" t="s">
        <v>3582</v>
      </c>
    </row>
    <row r="1294" spans="1:14" ht="57.6" hidden="1" x14ac:dyDescent="0.3">
      <c r="A1294" s="47">
        <f t="shared" si="60"/>
        <v>2024</v>
      </c>
      <c r="B1294" s="46">
        <f t="shared" si="61"/>
        <v>13</v>
      </c>
      <c r="C1294" s="46">
        <f t="shared" si="62"/>
        <v>14</v>
      </c>
      <c r="E1294" s="226" t="s">
        <v>3585</v>
      </c>
      <c r="F1294" s="19" t="s">
        <v>3566</v>
      </c>
      <c r="G1294" s="1" t="s">
        <v>9</v>
      </c>
      <c r="H1294" s="1" t="s">
        <v>2520</v>
      </c>
      <c r="I1294" s="227">
        <v>45378</v>
      </c>
      <c r="J1294" s="3">
        <v>0.34513888888888888</v>
      </c>
      <c r="K1294" s="38" t="s">
        <v>88</v>
      </c>
      <c r="L1294" s="227">
        <v>45388</v>
      </c>
      <c r="M1294" s="3">
        <v>0.4236111111111111</v>
      </c>
      <c r="N1294" s="19" t="s">
        <v>3582</v>
      </c>
    </row>
    <row r="1295" spans="1:14" ht="57.6" hidden="1" x14ac:dyDescent="0.3">
      <c r="A1295" s="47">
        <f t="shared" si="60"/>
        <v>2024</v>
      </c>
      <c r="B1295" s="46">
        <f t="shared" si="61"/>
        <v>13</v>
      </c>
      <c r="C1295" s="46">
        <f t="shared" si="62"/>
        <v>14</v>
      </c>
      <c r="E1295" s="226" t="s">
        <v>3586</v>
      </c>
      <c r="F1295" s="83" t="s">
        <v>3566</v>
      </c>
      <c r="G1295" s="1" t="s">
        <v>9</v>
      </c>
      <c r="H1295" s="1" t="s">
        <v>2520</v>
      </c>
      <c r="I1295" s="227">
        <v>45378</v>
      </c>
      <c r="J1295" s="3">
        <v>0.35138888888888892</v>
      </c>
      <c r="K1295" s="38" t="s">
        <v>88</v>
      </c>
      <c r="L1295" s="227">
        <v>45388</v>
      </c>
      <c r="M1295" s="3">
        <v>0.43124999999999997</v>
      </c>
      <c r="N1295" s="19" t="s">
        <v>3582</v>
      </c>
    </row>
    <row r="1296" spans="1:14" ht="57.6" hidden="1" x14ac:dyDescent="0.3">
      <c r="A1296" s="47">
        <f t="shared" si="60"/>
        <v>2024</v>
      </c>
      <c r="B1296" s="46">
        <f t="shared" si="61"/>
        <v>13</v>
      </c>
      <c r="C1296" s="46">
        <f t="shared" si="62"/>
        <v>14</v>
      </c>
      <c r="E1296" s="226" t="s">
        <v>3587</v>
      </c>
      <c r="F1296" s="83" t="s">
        <v>3566</v>
      </c>
      <c r="G1296" s="1" t="s">
        <v>9</v>
      </c>
      <c r="H1296" s="1" t="s">
        <v>2520</v>
      </c>
      <c r="I1296" s="227">
        <v>45378</v>
      </c>
      <c r="J1296" s="3">
        <v>0.35625000000000001</v>
      </c>
      <c r="K1296" s="38" t="s">
        <v>88</v>
      </c>
      <c r="L1296" s="227">
        <v>45388</v>
      </c>
      <c r="M1296" s="3">
        <v>0.4375</v>
      </c>
      <c r="N1296" s="19" t="s">
        <v>3582</v>
      </c>
    </row>
    <row r="1297" spans="1:15" ht="187.2" hidden="1" x14ac:dyDescent="0.3">
      <c r="A1297" s="47">
        <f t="shared" si="60"/>
        <v>2024</v>
      </c>
      <c r="B1297" s="46">
        <f t="shared" si="61"/>
        <v>13</v>
      </c>
      <c r="C1297" s="46">
        <f t="shared" si="62"/>
        <v>15</v>
      </c>
      <c r="E1297" s="226" t="s">
        <v>3588</v>
      </c>
      <c r="F1297" s="19" t="s">
        <v>3589</v>
      </c>
      <c r="G1297" s="38" t="s">
        <v>9</v>
      </c>
      <c r="H1297" s="1" t="s">
        <v>2520</v>
      </c>
      <c r="I1297" s="227">
        <v>45377</v>
      </c>
      <c r="J1297" s="3">
        <v>0.36736111111111108</v>
      </c>
      <c r="K1297" s="38" t="s">
        <v>88</v>
      </c>
      <c r="L1297" s="227">
        <v>45390</v>
      </c>
      <c r="M1297" s="3">
        <v>1135</v>
      </c>
      <c r="N1297" s="19" t="s">
        <v>3590</v>
      </c>
    </row>
    <row r="1298" spans="1:15" ht="57.6" hidden="1" x14ac:dyDescent="0.3">
      <c r="A1298" s="47">
        <f t="shared" si="60"/>
        <v>2024</v>
      </c>
      <c r="B1298" s="46">
        <f t="shared" si="61"/>
        <v>14</v>
      </c>
      <c r="C1298" s="46">
        <f t="shared" si="62"/>
        <v>14</v>
      </c>
      <c r="E1298" s="226" t="s">
        <v>3591</v>
      </c>
      <c r="F1298" s="83" t="s">
        <v>3566</v>
      </c>
      <c r="G1298" s="1" t="s">
        <v>9</v>
      </c>
      <c r="H1298" s="1" t="s">
        <v>2520</v>
      </c>
      <c r="I1298" s="227">
        <v>45383</v>
      </c>
      <c r="J1298" s="3">
        <v>0.39097222222222222</v>
      </c>
      <c r="K1298" s="38" t="s">
        <v>88</v>
      </c>
      <c r="L1298" s="227">
        <v>45388</v>
      </c>
      <c r="M1298" s="3">
        <v>0.6069444444444444</v>
      </c>
      <c r="N1298" s="19" t="s">
        <v>3582</v>
      </c>
    </row>
    <row r="1299" spans="1:15" ht="57.6" hidden="1" x14ac:dyDescent="0.3">
      <c r="A1299" s="47">
        <f t="shared" si="60"/>
        <v>2024</v>
      </c>
      <c r="B1299" s="46">
        <f t="shared" si="61"/>
        <v>14</v>
      </c>
      <c r="C1299" s="46">
        <f t="shared" si="62"/>
        <v>14</v>
      </c>
      <c r="E1299" s="226" t="s">
        <v>3592</v>
      </c>
      <c r="F1299" s="83" t="s">
        <v>3566</v>
      </c>
      <c r="G1299" s="1" t="s">
        <v>9</v>
      </c>
      <c r="H1299" s="1" t="s">
        <v>2520</v>
      </c>
      <c r="I1299" s="227">
        <v>45384</v>
      </c>
      <c r="J1299" s="3">
        <v>0.66388888888888886</v>
      </c>
      <c r="K1299" s="38" t="s">
        <v>88</v>
      </c>
      <c r="L1299" s="227">
        <v>45388</v>
      </c>
      <c r="M1299" s="3">
        <v>0.62638888888888888</v>
      </c>
      <c r="N1299" s="19" t="s">
        <v>3582</v>
      </c>
    </row>
    <row r="1300" spans="1:15" ht="57.6" hidden="1" x14ac:dyDescent="0.3">
      <c r="A1300" s="47">
        <f t="shared" si="60"/>
        <v>2024</v>
      </c>
      <c r="B1300" s="46">
        <f t="shared" si="61"/>
        <v>11</v>
      </c>
      <c r="C1300" s="46">
        <f t="shared" si="62"/>
        <v>15</v>
      </c>
      <c r="E1300" s="228" t="s">
        <v>3593</v>
      </c>
      <c r="F1300" s="83" t="s">
        <v>3576</v>
      </c>
      <c r="G1300" s="47" t="s">
        <v>9</v>
      </c>
      <c r="H1300" s="47" t="s">
        <v>2520</v>
      </c>
      <c r="I1300" s="229">
        <v>45363</v>
      </c>
      <c r="J1300" s="12">
        <v>0.5180555555555556</v>
      </c>
      <c r="K1300" s="38" t="s">
        <v>88</v>
      </c>
      <c r="L1300" s="227">
        <v>45391</v>
      </c>
      <c r="M1300" s="3">
        <v>0.62638888888888888</v>
      </c>
      <c r="N1300" s="230" t="s">
        <v>3594</v>
      </c>
    </row>
    <row r="1301" spans="1:15" ht="57.6" hidden="1" x14ac:dyDescent="0.3">
      <c r="A1301" s="47">
        <f t="shared" si="60"/>
        <v>2024</v>
      </c>
      <c r="B1301" s="46">
        <f t="shared" si="61"/>
        <v>14</v>
      </c>
      <c r="C1301" s="46">
        <f t="shared" si="62"/>
        <v>15</v>
      </c>
      <c r="E1301" s="32" t="s">
        <v>3595</v>
      </c>
      <c r="F1301" s="19" t="s">
        <v>3566</v>
      </c>
      <c r="G1301" s="1" t="s">
        <v>9</v>
      </c>
      <c r="H1301" s="1" t="s">
        <v>2520</v>
      </c>
      <c r="I1301" s="227">
        <v>45387</v>
      </c>
      <c r="J1301" s="3">
        <v>0.71527777777777779</v>
      </c>
      <c r="K1301" s="38" t="s">
        <v>88</v>
      </c>
      <c r="L1301" s="227">
        <v>45390</v>
      </c>
      <c r="M1301" s="3">
        <v>0.53055555555555556</v>
      </c>
      <c r="N1301" s="83" t="s">
        <v>3596</v>
      </c>
    </row>
    <row r="1302" spans="1:15" ht="57.6" hidden="1" x14ac:dyDescent="0.3">
      <c r="A1302" s="47">
        <f t="shared" si="60"/>
        <v>2024</v>
      </c>
      <c r="B1302" s="46">
        <f t="shared" si="61"/>
        <v>13</v>
      </c>
      <c r="C1302" s="46">
        <f t="shared" si="62"/>
        <v>15</v>
      </c>
      <c r="E1302" s="228" t="s">
        <v>3597</v>
      </c>
      <c r="F1302" s="83" t="s">
        <v>3566</v>
      </c>
      <c r="G1302" s="1" t="s">
        <v>9</v>
      </c>
      <c r="H1302" s="1" t="s">
        <v>2520</v>
      </c>
      <c r="I1302" s="231">
        <v>45378</v>
      </c>
      <c r="J1302" s="12">
        <v>0.34791666666666665</v>
      </c>
      <c r="K1302" s="38" t="s">
        <v>88</v>
      </c>
      <c r="L1302" s="227">
        <v>45391</v>
      </c>
      <c r="M1302" s="3">
        <v>0.68611111111111101</v>
      </c>
      <c r="N1302" s="228" t="s">
        <v>3594</v>
      </c>
    </row>
    <row r="1303" spans="1:15" ht="72" hidden="1" x14ac:dyDescent="0.3">
      <c r="A1303" s="47">
        <f t="shared" si="60"/>
        <v>2024</v>
      </c>
      <c r="B1303" s="46">
        <f t="shared" si="61"/>
        <v>13</v>
      </c>
      <c r="C1303" s="46">
        <f t="shared" si="62"/>
        <v>15</v>
      </c>
      <c r="E1303" s="228" t="s">
        <v>3598</v>
      </c>
      <c r="F1303" s="83" t="s">
        <v>3579</v>
      </c>
      <c r="G1303" s="1" t="s">
        <v>9</v>
      </c>
      <c r="H1303" s="1" t="s">
        <v>2520</v>
      </c>
      <c r="I1303" s="231">
        <v>45378</v>
      </c>
      <c r="J1303" s="12">
        <v>0.6069444444444444</v>
      </c>
      <c r="K1303" s="38" t="s">
        <v>88</v>
      </c>
      <c r="L1303" s="227">
        <v>45391</v>
      </c>
      <c r="M1303" s="3">
        <v>0.6875</v>
      </c>
      <c r="N1303" s="228" t="s">
        <v>3594</v>
      </c>
    </row>
    <row r="1304" spans="1:15" ht="72" hidden="1" x14ac:dyDescent="0.3">
      <c r="A1304" s="47">
        <f t="shared" si="60"/>
        <v>2024</v>
      </c>
      <c r="B1304" s="46">
        <f t="shared" si="61"/>
        <v>14</v>
      </c>
      <c r="C1304" s="46">
        <f t="shared" si="62"/>
        <v>15</v>
      </c>
      <c r="E1304" s="32" t="s">
        <v>3599</v>
      </c>
      <c r="F1304" s="83" t="s">
        <v>3579</v>
      </c>
      <c r="G1304" s="1" t="s">
        <v>9</v>
      </c>
      <c r="H1304" s="1" t="s">
        <v>2520</v>
      </c>
      <c r="I1304" s="227">
        <v>45387</v>
      </c>
      <c r="J1304" s="3">
        <v>0.71180555555555547</v>
      </c>
      <c r="K1304" s="38" t="s">
        <v>88</v>
      </c>
      <c r="L1304" s="227">
        <v>45390</v>
      </c>
      <c r="M1304" s="3">
        <v>0.61458333333333337</v>
      </c>
      <c r="N1304" s="19" t="s">
        <v>3582</v>
      </c>
    </row>
    <row r="1305" spans="1:15" ht="57.6" hidden="1" x14ac:dyDescent="0.3">
      <c r="A1305" s="47">
        <f t="shared" si="60"/>
        <v>2024</v>
      </c>
      <c r="B1305" s="46">
        <f t="shared" si="61"/>
        <v>14</v>
      </c>
      <c r="C1305" s="46">
        <f t="shared" si="62"/>
        <v>15</v>
      </c>
      <c r="E1305" s="32" t="s">
        <v>3600</v>
      </c>
      <c r="F1305" s="19" t="s">
        <v>3601</v>
      </c>
      <c r="G1305" s="1" t="s">
        <v>9</v>
      </c>
      <c r="H1305" s="1" t="s">
        <v>2520</v>
      </c>
      <c r="I1305" s="2">
        <v>45387</v>
      </c>
      <c r="J1305" s="3">
        <v>0.71180555555555547</v>
      </c>
      <c r="K1305" s="1" t="s">
        <v>88</v>
      </c>
      <c r="L1305" s="2">
        <v>45390</v>
      </c>
      <c r="M1305" s="3">
        <v>0.65486111111111112</v>
      </c>
      <c r="N1305" s="10" t="s">
        <v>3602</v>
      </c>
    </row>
    <row r="1306" spans="1:15" ht="57.6" hidden="1" x14ac:dyDescent="0.3">
      <c r="A1306" s="47">
        <f t="shared" si="60"/>
        <v>2024</v>
      </c>
      <c r="B1306" s="46">
        <f t="shared" si="61"/>
        <v>15</v>
      </c>
      <c r="C1306" s="46">
        <f t="shared" si="62"/>
        <v>15</v>
      </c>
      <c r="E1306" s="32" t="s">
        <v>3603</v>
      </c>
      <c r="F1306" s="19" t="s">
        <v>3589</v>
      </c>
      <c r="G1306" s="1" t="s">
        <v>9</v>
      </c>
      <c r="H1306" s="1" t="s">
        <v>2520</v>
      </c>
      <c r="I1306" s="2">
        <v>45390</v>
      </c>
      <c r="J1306" s="3">
        <v>0.42222222222222222</v>
      </c>
      <c r="K1306" s="1" t="s">
        <v>88</v>
      </c>
      <c r="L1306" s="2">
        <v>45391</v>
      </c>
      <c r="M1306" s="3">
        <v>0.65763888888888888</v>
      </c>
      <c r="N1306" s="19" t="s">
        <v>3582</v>
      </c>
    </row>
    <row r="1307" spans="1:15" ht="86.4" hidden="1" x14ac:dyDescent="0.3">
      <c r="A1307" s="47">
        <f t="shared" si="60"/>
        <v>2024</v>
      </c>
      <c r="B1307" s="46">
        <f t="shared" si="61"/>
        <v>14</v>
      </c>
      <c r="C1307" s="46">
        <f t="shared" si="62"/>
        <v>15</v>
      </c>
      <c r="D1307" s="29"/>
      <c r="E1307" s="29" t="s">
        <v>3604</v>
      </c>
      <c r="F1307" s="85" t="s">
        <v>3608</v>
      </c>
      <c r="G1307" s="29" t="s">
        <v>10</v>
      </c>
      <c r="H1307" s="29" t="s">
        <v>2520</v>
      </c>
      <c r="I1307" s="32">
        <v>45384</v>
      </c>
      <c r="J1307" s="31">
        <v>0.46319444444444446</v>
      </c>
      <c r="K1307" s="29" t="s">
        <v>3605</v>
      </c>
      <c r="L1307" s="30">
        <v>45391</v>
      </c>
      <c r="M1307" s="31">
        <v>0.70833333333333337</v>
      </c>
      <c r="N1307" s="85" t="s">
        <v>3606</v>
      </c>
      <c r="O1307" s="41"/>
    </row>
    <row r="1308" spans="1:15" ht="100.8" hidden="1" x14ac:dyDescent="0.3">
      <c r="A1308" s="47">
        <f t="shared" si="60"/>
        <v>2024</v>
      </c>
      <c r="B1308" s="46">
        <f t="shared" si="61"/>
        <v>11</v>
      </c>
      <c r="C1308" s="46">
        <f t="shared" si="62"/>
        <v>14</v>
      </c>
      <c r="D1308" s="29"/>
      <c r="E1308" s="29" t="s">
        <v>3537</v>
      </c>
      <c r="F1308" s="85" t="s">
        <v>3609</v>
      </c>
      <c r="G1308" s="29" t="s">
        <v>10</v>
      </c>
      <c r="H1308" s="29" t="s">
        <v>2520</v>
      </c>
      <c r="I1308" s="32">
        <v>45364</v>
      </c>
      <c r="J1308" s="31">
        <v>0.69513888888888886</v>
      </c>
      <c r="K1308" s="29" t="s">
        <v>3605</v>
      </c>
      <c r="L1308" s="30">
        <v>45388</v>
      </c>
      <c r="M1308" s="31"/>
      <c r="N1308" s="85" t="s">
        <v>3611</v>
      </c>
      <c r="O1308" s="41" t="s">
        <v>3607</v>
      </c>
    </row>
    <row r="1309" spans="1:15" ht="115.2" hidden="1" x14ac:dyDescent="0.3">
      <c r="A1309" s="47">
        <f t="shared" si="60"/>
        <v>2024</v>
      </c>
      <c r="B1309" s="46">
        <f t="shared" si="61"/>
        <v>12</v>
      </c>
      <c r="C1309" s="46">
        <f t="shared" si="62"/>
        <v>14</v>
      </c>
      <c r="D1309" s="29"/>
      <c r="E1309" s="29" t="s">
        <v>3554</v>
      </c>
      <c r="F1309" s="85" t="s">
        <v>3610</v>
      </c>
      <c r="G1309" s="29" t="s">
        <v>10</v>
      </c>
      <c r="H1309" s="29" t="s">
        <v>2520</v>
      </c>
      <c r="I1309" s="32">
        <v>45372</v>
      </c>
      <c r="J1309" s="31">
        <v>0.40763888888888888</v>
      </c>
      <c r="K1309" s="29" t="s">
        <v>3605</v>
      </c>
      <c r="L1309" s="30">
        <v>45388</v>
      </c>
      <c r="M1309" s="31"/>
      <c r="N1309" s="85" t="s">
        <v>3612</v>
      </c>
      <c r="O1309" s="41" t="s">
        <v>3607</v>
      </c>
    </row>
    <row r="1310" spans="1:15" ht="72" hidden="1" x14ac:dyDescent="0.3">
      <c r="A1310" s="47">
        <f t="shared" si="60"/>
        <v>2024</v>
      </c>
      <c r="B1310" s="46">
        <f t="shared" si="61"/>
        <v>14</v>
      </c>
      <c r="C1310" s="46">
        <f t="shared" si="62"/>
        <v>15</v>
      </c>
      <c r="E1310" s="19" t="s">
        <v>3613</v>
      </c>
      <c r="F1310" s="19" t="s">
        <v>3614</v>
      </c>
      <c r="G1310" s="1" t="s">
        <v>10</v>
      </c>
      <c r="H1310" s="1" t="s">
        <v>2520</v>
      </c>
      <c r="I1310" s="227">
        <v>45383</v>
      </c>
      <c r="J1310" s="3">
        <v>0.38750000000000001</v>
      </c>
      <c r="K1310" s="1" t="s">
        <v>88</v>
      </c>
      <c r="L1310" s="227">
        <v>45395</v>
      </c>
      <c r="M1310" s="3">
        <v>0.54722222222222217</v>
      </c>
      <c r="N1310" s="19" t="s">
        <v>3615</v>
      </c>
    </row>
    <row r="1311" spans="1:15" ht="57.6" hidden="1" x14ac:dyDescent="0.3">
      <c r="A1311" s="47">
        <f t="shared" si="60"/>
        <v>2024</v>
      </c>
      <c r="B1311" s="46">
        <f t="shared" si="61"/>
        <v>14</v>
      </c>
      <c r="C1311" s="46">
        <f t="shared" si="62"/>
        <v>15</v>
      </c>
      <c r="E1311" s="232" t="s">
        <v>3616</v>
      </c>
      <c r="F1311" s="83" t="s">
        <v>3617</v>
      </c>
      <c r="G1311" s="1" t="s">
        <v>10</v>
      </c>
      <c r="H1311" s="1" t="s">
        <v>2520</v>
      </c>
      <c r="I1311" s="227">
        <v>45383</v>
      </c>
      <c r="J1311" s="3">
        <v>0.39444444444444443</v>
      </c>
      <c r="K1311" s="1" t="s">
        <v>88</v>
      </c>
      <c r="L1311" s="227">
        <v>45395</v>
      </c>
      <c r="M1311" s="3">
        <v>0.63263888888888886</v>
      </c>
      <c r="N1311" s="83" t="s">
        <v>3618</v>
      </c>
    </row>
    <row r="1312" spans="1:15" ht="158.4" hidden="1" x14ac:dyDescent="0.3">
      <c r="A1312" s="47">
        <f t="shared" si="60"/>
        <v>2024</v>
      </c>
      <c r="B1312" s="46">
        <f t="shared" si="61"/>
        <v>14</v>
      </c>
      <c r="C1312" s="46">
        <f t="shared" si="62"/>
        <v>15</v>
      </c>
      <c r="E1312" s="19" t="s">
        <v>3619</v>
      </c>
      <c r="F1312" s="19" t="s">
        <v>3620</v>
      </c>
      <c r="G1312" s="1" t="s">
        <v>10</v>
      </c>
      <c r="H1312" s="1" t="s">
        <v>2520</v>
      </c>
      <c r="I1312" s="227">
        <v>45383</v>
      </c>
      <c r="J1312" s="3">
        <v>0.68888888888888899</v>
      </c>
      <c r="K1312" s="1" t="s">
        <v>88</v>
      </c>
      <c r="L1312" s="227">
        <v>45395</v>
      </c>
      <c r="M1312" s="233">
        <v>0.72916666666666663</v>
      </c>
      <c r="N1312" s="19" t="s">
        <v>3621</v>
      </c>
    </row>
    <row r="1313" spans="1:14" ht="158.4" hidden="1" x14ac:dyDescent="0.3">
      <c r="A1313" s="47">
        <f t="shared" si="60"/>
        <v>2024</v>
      </c>
      <c r="B1313" s="46">
        <f t="shared" si="61"/>
        <v>14</v>
      </c>
      <c r="C1313" s="46">
        <f t="shared" si="62"/>
        <v>16</v>
      </c>
      <c r="E1313" s="19" t="s">
        <v>3622</v>
      </c>
      <c r="F1313" s="19" t="s">
        <v>3620</v>
      </c>
      <c r="G1313" s="1" t="s">
        <v>10</v>
      </c>
      <c r="H1313" s="1" t="s">
        <v>2520</v>
      </c>
      <c r="I1313" s="227">
        <v>45383</v>
      </c>
      <c r="J1313" s="3">
        <v>0.69791666666666663</v>
      </c>
      <c r="K1313" s="1" t="s">
        <v>88</v>
      </c>
      <c r="L1313" s="227">
        <v>45398</v>
      </c>
      <c r="M1313" s="3">
        <v>0.4604166666666667</v>
      </c>
      <c r="N1313" s="19" t="s">
        <v>3623</v>
      </c>
    </row>
    <row r="1314" spans="1:14" ht="129.6" hidden="1" x14ac:dyDescent="0.3">
      <c r="A1314" s="47">
        <f t="shared" si="60"/>
        <v>2024</v>
      </c>
      <c r="B1314" s="46">
        <f t="shared" si="61"/>
        <v>14</v>
      </c>
      <c r="C1314" s="46">
        <f t="shared" si="62"/>
        <v>16</v>
      </c>
      <c r="E1314" s="19" t="s">
        <v>3624</v>
      </c>
      <c r="F1314" s="83" t="s">
        <v>3625</v>
      </c>
      <c r="G1314" s="1" t="s">
        <v>10</v>
      </c>
      <c r="H1314" s="1" t="s">
        <v>2520</v>
      </c>
      <c r="I1314" s="227">
        <v>45386</v>
      </c>
      <c r="J1314" s="3">
        <v>0.36458333333333331</v>
      </c>
      <c r="K1314" s="1" t="s">
        <v>88</v>
      </c>
      <c r="L1314" s="227">
        <v>45398</v>
      </c>
      <c r="M1314" s="3">
        <v>0.55069444444444449</v>
      </c>
      <c r="N1314" s="19" t="s">
        <v>3626</v>
      </c>
    </row>
    <row r="1315" spans="1:14" ht="158.4" hidden="1" x14ac:dyDescent="0.3">
      <c r="A1315" s="47">
        <f t="shared" si="60"/>
        <v>2024</v>
      </c>
      <c r="B1315" s="46">
        <f t="shared" si="61"/>
        <v>14</v>
      </c>
      <c r="C1315" s="46">
        <f t="shared" si="62"/>
        <v>16</v>
      </c>
      <c r="E1315" s="38" t="s">
        <v>3627</v>
      </c>
      <c r="F1315" s="83" t="s">
        <v>3628</v>
      </c>
      <c r="G1315" s="1" t="s">
        <v>10</v>
      </c>
      <c r="H1315" s="1" t="s">
        <v>2520</v>
      </c>
      <c r="I1315" s="227">
        <v>45386</v>
      </c>
      <c r="J1315" s="3">
        <v>0.60416666666666663</v>
      </c>
      <c r="K1315" s="1" t="s">
        <v>88</v>
      </c>
      <c r="L1315" s="227">
        <v>45398</v>
      </c>
      <c r="M1315" s="3">
        <v>0.7368055555555556</v>
      </c>
      <c r="N1315" s="19" t="s">
        <v>3629</v>
      </c>
    </row>
    <row r="1316" spans="1:14" ht="129.6" hidden="1" x14ac:dyDescent="0.3">
      <c r="A1316" s="47">
        <f t="shared" si="60"/>
        <v>2024</v>
      </c>
      <c r="B1316" s="46">
        <f t="shared" si="61"/>
        <v>14</v>
      </c>
      <c r="C1316" s="46">
        <f t="shared" si="62"/>
        <v>16</v>
      </c>
      <c r="E1316" s="19" t="s">
        <v>3630</v>
      </c>
      <c r="F1316" s="19" t="s">
        <v>3631</v>
      </c>
      <c r="G1316" s="1" t="s">
        <v>10</v>
      </c>
      <c r="H1316" s="1" t="s">
        <v>2520</v>
      </c>
      <c r="I1316" s="227">
        <v>45386</v>
      </c>
      <c r="J1316" s="3">
        <v>0.62638888888888888</v>
      </c>
      <c r="K1316" s="1" t="s">
        <v>88</v>
      </c>
      <c r="L1316" s="227">
        <v>45399</v>
      </c>
      <c r="M1316" s="233">
        <v>0.46666666666666662</v>
      </c>
      <c r="N1316" s="19" t="s">
        <v>1888</v>
      </c>
    </row>
    <row r="1317" spans="1:14" ht="72" hidden="1" x14ac:dyDescent="0.3">
      <c r="A1317" s="47">
        <f t="shared" si="60"/>
        <v>2024</v>
      </c>
      <c r="B1317" s="46">
        <f t="shared" si="61"/>
        <v>14</v>
      </c>
      <c r="C1317" s="46">
        <f t="shared" si="62"/>
        <v>16</v>
      </c>
      <c r="E1317" s="38" t="s">
        <v>3632</v>
      </c>
      <c r="F1317" s="83" t="s">
        <v>3633</v>
      </c>
      <c r="G1317" s="1" t="s">
        <v>10</v>
      </c>
      <c r="H1317" s="1" t="s">
        <v>2520</v>
      </c>
      <c r="I1317" s="227">
        <v>45386</v>
      </c>
      <c r="J1317" s="3">
        <v>0.63750000000000007</v>
      </c>
      <c r="K1317" s="1" t="s">
        <v>88</v>
      </c>
      <c r="L1317" s="227">
        <v>45399</v>
      </c>
      <c r="M1317" s="233">
        <v>0.49027777777777781</v>
      </c>
      <c r="N1317" s="83" t="s">
        <v>3634</v>
      </c>
    </row>
    <row r="1318" spans="1:14" ht="144" hidden="1" x14ac:dyDescent="0.3">
      <c r="A1318" s="47">
        <f t="shared" si="60"/>
        <v>2024</v>
      </c>
      <c r="B1318" s="46">
        <f t="shared" si="61"/>
        <v>11</v>
      </c>
      <c r="C1318" s="46">
        <f t="shared" si="62"/>
        <v>16</v>
      </c>
      <c r="E1318" s="19" t="s">
        <v>3537</v>
      </c>
      <c r="F1318" s="19" t="s">
        <v>3635</v>
      </c>
      <c r="G1318" s="1" t="s">
        <v>10</v>
      </c>
      <c r="H1318" s="1" t="s">
        <v>2520</v>
      </c>
      <c r="I1318" s="227">
        <v>45364</v>
      </c>
      <c r="J1318" s="3">
        <v>0.69513888888888886</v>
      </c>
      <c r="K1318" s="1" t="s">
        <v>88</v>
      </c>
      <c r="L1318" s="227">
        <v>45399</v>
      </c>
      <c r="M1318" s="3">
        <v>0.75</v>
      </c>
      <c r="N1318" s="19" t="s">
        <v>3636</v>
      </c>
    </row>
    <row r="1319" spans="1:14" ht="57.6" hidden="1" x14ac:dyDescent="0.3">
      <c r="A1319" s="47">
        <f t="shared" si="60"/>
        <v>2024</v>
      </c>
      <c r="B1319" s="46">
        <f t="shared" si="61"/>
        <v>14</v>
      </c>
      <c r="C1319" s="46">
        <f t="shared" si="62"/>
        <v>16</v>
      </c>
      <c r="E1319" s="19" t="s">
        <v>3822</v>
      </c>
      <c r="F1319" s="83" t="s">
        <v>3823</v>
      </c>
      <c r="G1319" s="1" t="s">
        <v>9</v>
      </c>
      <c r="H1319" s="1" t="s">
        <v>2520</v>
      </c>
      <c r="I1319" s="2">
        <v>45388</v>
      </c>
      <c r="J1319" s="3">
        <v>0.4916666666666667</v>
      </c>
      <c r="K1319" s="1" t="s">
        <v>88</v>
      </c>
      <c r="L1319" s="227">
        <v>45400</v>
      </c>
      <c r="M1319" s="3">
        <v>0.38680555555555557</v>
      </c>
      <c r="N1319" s="19" t="s">
        <v>3824</v>
      </c>
    </row>
    <row r="1320" spans="1:14" ht="86.4" hidden="1" x14ac:dyDescent="0.3">
      <c r="A1320" s="47">
        <f t="shared" si="60"/>
        <v>2024</v>
      </c>
      <c r="B1320" s="46">
        <f t="shared" si="61"/>
        <v>15</v>
      </c>
      <c r="C1320" s="46">
        <f t="shared" si="62"/>
        <v>16</v>
      </c>
      <c r="E1320" s="19" t="s">
        <v>3825</v>
      </c>
      <c r="F1320" s="83" t="s">
        <v>3826</v>
      </c>
      <c r="G1320" s="1" t="s">
        <v>10</v>
      </c>
      <c r="H1320" s="1" t="s">
        <v>2520</v>
      </c>
      <c r="I1320" s="2">
        <v>45391</v>
      </c>
      <c r="J1320" s="3">
        <v>0.55902777777777779</v>
      </c>
      <c r="K1320" s="1" t="s">
        <v>88</v>
      </c>
      <c r="L1320" s="227">
        <v>45400</v>
      </c>
      <c r="M1320" s="3">
        <v>0.63611111111111118</v>
      </c>
      <c r="N1320" s="83" t="s">
        <v>3827</v>
      </c>
    </row>
    <row r="1321" spans="1:14" ht="331.5" hidden="1" customHeight="1" x14ac:dyDescent="0.3">
      <c r="A1321" s="47">
        <f t="shared" si="60"/>
        <v>2024</v>
      </c>
      <c r="B1321" s="46">
        <f t="shared" si="61"/>
        <v>15</v>
      </c>
      <c r="C1321" s="46">
        <f t="shared" si="62"/>
        <v>16</v>
      </c>
      <c r="E1321" s="38" t="s">
        <v>3828</v>
      </c>
      <c r="F1321" s="19" t="s">
        <v>3829</v>
      </c>
      <c r="G1321" s="1" t="s">
        <v>9</v>
      </c>
      <c r="H1321" s="1" t="s">
        <v>2520</v>
      </c>
      <c r="I1321" s="2">
        <v>45393</v>
      </c>
      <c r="J1321" s="3">
        <v>0.65833333333333333</v>
      </c>
      <c r="K1321" s="1" t="s">
        <v>88</v>
      </c>
      <c r="L1321" s="227">
        <v>45401</v>
      </c>
      <c r="M1321" s="3">
        <v>0.54166666666666663</v>
      </c>
      <c r="N1321" s="83" t="s">
        <v>3830</v>
      </c>
    </row>
    <row r="1322" spans="1:14" ht="129.6" hidden="1" x14ac:dyDescent="0.3">
      <c r="A1322" s="47">
        <f t="shared" si="60"/>
        <v>2024</v>
      </c>
      <c r="B1322" s="46">
        <f t="shared" si="61"/>
        <v>15</v>
      </c>
      <c r="C1322" s="46">
        <f t="shared" si="62"/>
        <v>16</v>
      </c>
      <c r="E1322" s="19" t="s">
        <v>3831</v>
      </c>
      <c r="F1322" s="19" t="s">
        <v>3832</v>
      </c>
      <c r="G1322" s="1" t="s">
        <v>10</v>
      </c>
      <c r="H1322" s="1" t="s">
        <v>2520</v>
      </c>
      <c r="I1322" s="2">
        <v>45391</v>
      </c>
      <c r="J1322" s="3">
        <v>0.57361111111111118</v>
      </c>
      <c r="K1322" s="1" t="s">
        <v>88</v>
      </c>
      <c r="L1322" s="227">
        <v>45402</v>
      </c>
      <c r="M1322" s="3">
        <v>0.4993055555555555</v>
      </c>
      <c r="N1322" s="19" t="s">
        <v>3833</v>
      </c>
    </row>
    <row r="1323" spans="1:14" ht="57.6" hidden="1" x14ac:dyDescent="0.3">
      <c r="A1323" s="47">
        <f t="shared" si="60"/>
        <v>2024</v>
      </c>
      <c r="B1323" s="46">
        <f t="shared" si="61"/>
        <v>15</v>
      </c>
      <c r="C1323" s="46">
        <f t="shared" si="62"/>
        <v>16</v>
      </c>
      <c r="E1323" s="19" t="s">
        <v>3834</v>
      </c>
      <c r="F1323" s="19" t="s">
        <v>3835</v>
      </c>
      <c r="G1323" s="1" t="s">
        <v>10</v>
      </c>
      <c r="H1323" s="1" t="s">
        <v>2520</v>
      </c>
      <c r="I1323" s="2">
        <v>45391</v>
      </c>
      <c r="J1323" s="3">
        <v>0.57986111111111105</v>
      </c>
      <c r="K1323" s="1" t="s">
        <v>88</v>
      </c>
      <c r="L1323" s="2">
        <v>45402</v>
      </c>
      <c r="M1323" s="3">
        <v>0.63124999999999998</v>
      </c>
      <c r="N1323" s="19" t="s">
        <v>3836</v>
      </c>
    </row>
    <row r="1324" spans="1:14" ht="115.2" hidden="1" x14ac:dyDescent="0.3">
      <c r="A1324" s="47">
        <f t="shared" si="60"/>
        <v>2024</v>
      </c>
      <c r="B1324" s="46">
        <f t="shared" si="61"/>
        <v>15</v>
      </c>
      <c r="C1324" s="46">
        <f t="shared" si="62"/>
        <v>17</v>
      </c>
      <c r="E1324" s="19" t="s">
        <v>3837</v>
      </c>
      <c r="F1324" s="19" t="s">
        <v>3838</v>
      </c>
      <c r="G1324" s="1" t="s">
        <v>10</v>
      </c>
      <c r="H1324" s="1" t="s">
        <v>2520</v>
      </c>
      <c r="I1324" s="2">
        <v>45391</v>
      </c>
      <c r="J1324" s="3">
        <v>0.59375</v>
      </c>
      <c r="K1324" s="1" t="s">
        <v>88</v>
      </c>
      <c r="L1324" s="227">
        <v>45409</v>
      </c>
      <c r="M1324" s="233">
        <v>0.41250000000000003</v>
      </c>
      <c r="N1324" s="19" t="s">
        <v>3839</v>
      </c>
    </row>
    <row r="1325" spans="1:14" ht="115.2" hidden="1" x14ac:dyDescent="0.3">
      <c r="A1325" s="47">
        <f t="shared" si="60"/>
        <v>2024</v>
      </c>
      <c r="B1325" s="46">
        <f t="shared" si="61"/>
        <v>15</v>
      </c>
      <c r="C1325" s="46">
        <f t="shared" si="62"/>
        <v>17</v>
      </c>
      <c r="E1325" s="19" t="s">
        <v>3840</v>
      </c>
      <c r="F1325" s="83" t="s">
        <v>3838</v>
      </c>
      <c r="G1325" s="1" t="s">
        <v>10</v>
      </c>
      <c r="H1325" s="1" t="s">
        <v>2520</v>
      </c>
      <c r="I1325" s="2">
        <v>45391</v>
      </c>
      <c r="J1325" s="3">
        <v>0.57222222222222219</v>
      </c>
      <c r="K1325" s="1" t="s">
        <v>88</v>
      </c>
      <c r="L1325" s="227">
        <v>45409</v>
      </c>
      <c r="M1325" s="233">
        <v>0.46319444444444446</v>
      </c>
      <c r="N1325" s="19" t="s">
        <v>3841</v>
      </c>
    </row>
    <row r="1326" spans="1:14" ht="129.6" hidden="1" x14ac:dyDescent="0.3">
      <c r="A1326" s="47">
        <f t="shared" si="60"/>
        <v>2024</v>
      </c>
      <c r="B1326" s="46">
        <f t="shared" si="61"/>
        <v>15</v>
      </c>
      <c r="C1326" s="46">
        <f t="shared" si="62"/>
        <v>18</v>
      </c>
      <c r="E1326" s="19" t="s">
        <v>3842</v>
      </c>
      <c r="F1326" s="19" t="s">
        <v>3843</v>
      </c>
      <c r="G1326" s="1" t="s">
        <v>10</v>
      </c>
      <c r="H1326" s="1" t="s">
        <v>2520</v>
      </c>
      <c r="I1326" s="227">
        <v>45392</v>
      </c>
      <c r="J1326" s="3">
        <v>0.62361111111111112</v>
      </c>
      <c r="K1326" s="1" t="s">
        <v>88</v>
      </c>
      <c r="L1326" s="227">
        <v>45411</v>
      </c>
      <c r="M1326" s="3">
        <v>0.63124999999999998</v>
      </c>
      <c r="N1326" s="19" t="s">
        <v>3844</v>
      </c>
    </row>
    <row r="1327" spans="1:14" ht="100.8" hidden="1" x14ac:dyDescent="0.3">
      <c r="A1327" s="47">
        <f t="shared" si="60"/>
        <v>2024</v>
      </c>
      <c r="B1327" s="46">
        <f t="shared" si="61"/>
        <v>16</v>
      </c>
      <c r="C1327" s="46">
        <f t="shared" si="62"/>
        <v>18</v>
      </c>
      <c r="E1327" s="19" t="s">
        <v>3845</v>
      </c>
      <c r="F1327" s="83" t="s">
        <v>3846</v>
      </c>
      <c r="G1327" s="1" t="s">
        <v>10</v>
      </c>
      <c r="H1327" s="1" t="s">
        <v>2520</v>
      </c>
      <c r="I1327" s="227">
        <v>45398</v>
      </c>
      <c r="J1327" s="3">
        <v>0.66597222222222219</v>
      </c>
      <c r="K1327" s="1" t="s">
        <v>88</v>
      </c>
      <c r="L1327" s="227">
        <v>45413</v>
      </c>
      <c r="M1327" s="233">
        <v>0.56805555555555554</v>
      </c>
      <c r="N1327" s="19" t="s">
        <v>3847</v>
      </c>
    </row>
    <row r="1328" spans="1:14" ht="129.6" hidden="1" x14ac:dyDescent="0.3">
      <c r="A1328" s="47">
        <f t="shared" si="60"/>
        <v>2024</v>
      </c>
      <c r="B1328" s="46">
        <f t="shared" si="61"/>
        <v>14</v>
      </c>
      <c r="C1328" s="46">
        <f t="shared" si="62"/>
        <v>18</v>
      </c>
      <c r="E1328" s="19" t="s">
        <v>3848</v>
      </c>
      <c r="F1328" s="19" t="s">
        <v>3849</v>
      </c>
      <c r="G1328" s="1" t="s">
        <v>10</v>
      </c>
      <c r="H1328" s="1" t="s">
        <v>2520</v>
      </c>
      <c r="I1328" s="227">
        <v>45383</v>
      </c>
      <c r="J1328" s="3">
        <v>0.66666666666666663</v>
      </c>
      <c r="K1328" s="1" t="s">
        <v>88</v>
      </c>
      <c r="L1328" s="227">
        <v>45413</v>
      </c>
      <c r="M1328" s="233">
        <v>0.59930555555555554</v>
      </c>
      <c r="N1328" s="19" t="s">
        <v>3850</v>
      </c>
    </row>
    <row r="1329" spans="1:14" ht="158.4" hidden="1" x14ac:dyDescent="0.3">
      <c r="A1329" s="47">
        <f t="shared" si="60"/>
        <v>2024</v>
      </c>
      <c r="B1329" s="46">
        <f t="shared" si="61"/>
        <v>15</v>
      </c>
      <c r="C1329" s="46">
        <f t="shared" si="62"/>
        <v>18</v>
      </c>
      <c r="E1329" s="19" t="s">
        <v>3851</v>
      </c>
      <c r="F1329" s="19" t="s">
        <v>3852</v>
      </c>
      <c r="G1329" s="1" t="s">
        <v>10</v>
      </c>
      <c r="H1329" s="1" t="s">
        <v>2520</v>
      </c>
      <c r="I1329" s="227">
        <v>45391</v>
      </c>
      <c r="J1329" s="3">
        <v>0.58819444444444446</v>
      </c>
      <c r="K1329" s="1" t="s">
        <v>88</v>
      </c>
      <c r="L1329" s="227">
        <v>45413</v>
      </c>
      <c r="M1329" s="233">
        <v>0.60972222222222217</v>
      </c>
      <c r="N1329" s="19" t="s">
        <v>3853</v>
      </c>
    </row>
    <row r="1330" spans="1:14" ht="144" hidden="1" x14ac:dyDescent="0.3">
      <c r="A1330" s="47">
        <f t="shared" si="60"/>
        <v>2024</v>
      </c>
      <c r="B1330" s="46">
        <f t="shared" si="61"/>
        <v>15</v>
      </c>
      <c r="C1330" s="46">
        <f t="shared" si="62"/>
        <v>18</v>
      </c>
      <c r="E1330" s="19" t="s">
        <v>3855</v>
      </c>
      <c r="F1330" s="19" t="s">
        <v>3856</v>
      </c>
      <c r="G1330" s="1" t="s">
        <v>10</v>
      </c>
      <c r="H1330" s="1" t="s">
        <v>2520</v>
      </c>
      <c r="I1330" s="227">
        <v>45394</v>
      </c>
      <c r="J1330" s="233">
        <v>0.42499999999999999</v>
      </c>
      <c r="K1330" s="1" t="s">
        <v>88</v>
      </c>
      <c r="L1330" s="227">
        <v>45413</v>
      </c>
      <c r="M1330" s="233">
        <v>0.75277777777777777</v>
      </c>
      <c r="N1330" s="19" t="s">
        <v>3857</v>
      </c>
    </row>
    <row r="1331" spans="1:14" ht="158.4" hidden="1" x14ac:dyDescent="0.3">
      <c r="A1331" s="47">
        <f t="shared" si="60"/>
        <v>2024</v>
      </c>
      <c r="B1331" s="46">
        <f t="shared" si="61"/>
        <v>16</v>
      </c>
      <c r="C1331" s="46">
        <f t="shared" si="62"/>
        <v>18</v>
      </c>
      <c r="E1331" s="19" t="s">
        <v>3858</v>
      </c>
      <c r="F1331" s="83" t="s">
        <v>3859</v>
      </c>
      <c r="G1331" s="1" t="s">
        <v>10</v>
      </c>
      <c r="H1331" s="1" t="s">
        <v>2520</v>
      </c>
      <c r="I1331" s="2">
        <v>45399</v>
      </c>
      <c r="J1331" s="12">
        <v>0.37152777777777773</v>
      </c>
      <c r="K1331" s="1" t="s">
        <v>88</v>
      </c>
      <c r="L1331" s="227">
        <v>45415</v>
      </c>
      <c r="M1331" s="3">
        <v>0.4770833333333333</v>
      </c>
      <c r="N1331" s="19" t="s">
        <v>3860</v>
      </c>
    </row>
    <row r="1332" spans="1:14" ht="129.6" hidden="1" x14ac:dyDescent="0.3">
      <c r="A1332" s="47">
        <f t="shared" si="60"/>
        <v>2024</v>
      </c>
      <c r="B1332" s="46">
        <f t="shared" si="61"/>
        <v>17</v>
      </c>
      <c r="C1332" s="46">
        <f t="shared" si="62"/>
        <v>19</v>
      </c>
      <c r="E1332" s="19" t="s">
        <v>3854</v>
      </c>
      <c r="F1332" s="19" t="s">
        <v>3861</v>
      </c>
      <c r="G1332" s="1" t="s">
        <v>10</v>
      </c>
      <c r="H1332" s="1" t="s">
        <v>2520</v>
      </c>
      <c r="I1332" s="227">
        <v>45408</v>
      </c>
      <c r="J1332" s="3">
        <v>0.66041666666666665</v>
      </c>
      <c r="K1332" s="1" t="s">
        <v>88</v>
      </c>
      <c r="L1332" s="2">
        <v>45418</v>
      </c>
      <c r="M1332" s="3">
        <v>0.36874999999999997</v>
      </c>
      <c r="N1332" s="83" t="s">
        <v>3862</v>
      </c>
    </row>
    <row r="1333" spans="1:14" ht="144" hidden="1" x14ac:dyDescent="0.3">
      <c r="A1333" s="47">
        <f t="shared" si="60"/>
        <v>2024</v>
      </c>
      <c r="B1333" s="46">
        <f t="shared" si="61"/>
        <v>17</v>
      </c>
      <c r="C1333" s="46">
        <f t="shared" si="62"/>
        <v>19</v>
      </c>
      <c r="E1333" s="19" t="s">
        <v>3863</v>
      </c>
      <c r="F1333" s="83" t="s">
        <v>3864</v>
      </c>
      <c r="G1333" s="1" t="s">
        <v>10</v>
      </c>
      <c r="H1333" s="1" t="s">
        <v>2520</v>
      </c>
      <c r="I1333" s="227">
        <v>45408</v>
      </c>
      <c r="J1333" s="3">
        <v>0.6791666666666667</v>
      </c>
      <c r="K1333" s="1" t="s">
        <v>88</v>
      </c>
      <c r="L1333" s="227">
        <v>45418</v>
      </c>
      <c r="M1333" s="3">
        <v>0.44236111111111115</v>
      </c>
      <c r="N1333" s="19" t="s">
        <v>3865</v>
      </c>
    </row>
    <row r="1334" spans="1:14" ht="100.8" hidden="1" x14ac:dyDescent="0.3">
      <c r="A1334" s="47">
        <f t="shared" si="60"/>
        <v>2024</v>
      </c>
      <c r="B1334" s="46">
        <f t="shared" si="61"/>
        <v>16</v>
      </c>
      <c r="C1334" s="46">
        <f t="shared" si="62"/>
        <v>19</v>
      </c>
      <c r="E1334" s="1" t="s">
        <v>3868</v>
      </c>
      <c r="F1334" s="19" t="s">
        <v>3867</v>
      </c>
      <c r="G1334" s="1" t="s">
        <v>10</v>
      </c>
      <c r="H1334" s="1" t="s">
        <v>2520</v>
      </c>
      <c r="I1334" s="227">
        <v>45398</v>
      </c>
      <c r="J1334" s="3">
        <v>0.67708333333333337</v>
      </c>
      <c r="K1334" s="1" t="s">
        <v>88</v>
      </c>
      <c r="L1334" s="227">
        <v>45418</v>
      </c>
      <c r="M1334" s="3">
        <v>0.44236111111111115</v>
      </c>
      <c r="N1334" s="19" t="s">
        <v>3866</v>
      </c>
    </row>
    <row r="1335" spans="1:14" ht="100.8" hidden="1" x14ac:dyDescent="0.3">
      <c r="A1335" s="47">
        <f t="shared" si="60"/>
        <v>2024</v>
      </c>
      <c r="B1335" s="46">
        <f t="shared" si="61"/>
        <v>15</v>
      </c>
      <c r="C1335" s="46">
        <f t="shared" si="62"/>
        <v>20</v>
      </c>
      <c r="E1335" s="1" t="s">
        <v>3870</v>
      </c>
      <c r="F1335" s="19" t="s">
        <v>3871</v>
      </c>
      <c r="G1335" s="1" t="s">
        <v>9</v>
      </c>
      <c r="H1335" s="1" t="s">
        <v>2520</v>
      </c>
      <c r="I1335" s="227">
        <v>45391</v>
      </c>
      <c r="J1335" s="3">
        <v>0.58333333333333337</v>
      </c>
      <c r="K1335" s="1" t="s">
        <v>88</v>
      </c>
      <c r="L1335" s="227">
        <v>45428</v>
      </c>
      <c r="M1335" s="3">
        <v>0.51388888888888895</v>
      </c>
      <c r="N1335" s="19" t="s">
        <v>3869</v>
      </c>
    </row>
    <row r="1336" spans="1:14" ht="57.6" hidden="1" x14ac:dyDescent="0.3">
      <c r="A1336" s="47">
        <f t="shared" si="60"/>
        <v>2024</v>
      </c>
      <c r="B1336" s="46">
        <f t="shared" si="61"/>
        <v>10</v>
      </c>
      <c r="C1336" s="46">
        <f t="shared" si="62"/>
        <v>20</v>
      </c>
      <c r="E1336" s="1" t="s">
        <v>3874</v>
      </c>
      <c r="F1336" s="19" t="s">
        <v>3873</v>
      </c>
      <c r="G1336" s="1" t="s">
        <v>9</v>
      </c>
      <c r="H1336" s="1" t="s">
        <v>2520</v>
      </c>
      <c r="I1336" s="262">
        <v>45357</v>
      </c>
      <c r="J1336" s="3">
        <v>0.67708333333333337</v>
      </c>
      <c r="K1336" s="1" t="s">
        <v>88</v>
      </c>
      <c r="L1336" s="227">
        <v>45428</v>
      </c>
      <c r="M1336" s="3">
        <v>0.5493055555555556</v>
      </c>
      <c r="N1336" s="19" t="s">
        <v>3872</v>
      </c>
    </row>
    <row r="1337" spans="1:14" ht="57.6" hidden="1" x14ac:dyDescent="0.3">
      <c r="A1337" s="47">
        <f t="shared" si="60"/>
        <v>2024</v>
      </c>
      <c r="B1337" s="46">
        <f t="shared" si="61"/>
        <v>0</v>
      </c>
      <c r="C1337" s="46">
        <f t="shared" si="62"/>
        <v>20</v>
      </c>
      <c r="E1337" s="1" t="s">
        <v>3876</v>
      </c>
      <c r="F1337" s="19" t="s">
        <v>3877</v>
      </c>
      <c r="G1337" s="1" t="s">
        <v>9</v>
      </c>
      <c r="H1337" s="1" t="s">
        <v>2520</v>
      </c>
      <c r="I1337" s="19"/>
      <c r="K1337" s="1" t="s">
        <v>88</v>
      </c>
      <c r="L1337" s="227">
        <v>45428</v>
      </c>
      <c r="M1337" s="3">
        <v>0.60347222222222219</v>
      </c>
      <c r="N1337" s="19" t="s">
        <v>3875</v>
      </c>
    </row>
    <row r="1338" spans="1:14" ht="72" hidden="1" x14ac:dyDescent="0.3">
      <c r="A1338" s="47">
        <f t="shared" si="60"/>
        <v>2024</v>
      </c>
      <c r="B1338" s="46">
        <f t="shared" si="61"/>
        <v>15</v>
      </c>
      <c r="C1338" s="46">
        <f t="shared" si="62"/>
        <v>20</v>
      </c>
      <c r="E1338" s="1" t="s">
        <v>3880</v>
      </c>
      <c r="F1338" s="19" t="s">
        <v>3878</v>
      </c>
      <c r="G1338" s="1" t="s">
        <v>9</v>
      </c>
      <c r="H1338" s="1" t="s">
        <v>2520</v>
      </c>
      <c r="I1338" s="227">
        <v>45391</v>
      </c>
      <c r="J1338" s="3">
        <v>0.58333333333333337</v>
      </c>
      <c r="K1338" s="1" t="s">
        <v>88</v>
      </c>
      <c r="L1338" s="227">
        <v>45428</v>
      </c>
      <c r="M1338" s="3">
        <v>0.60902777777777783</v>
      </c>
      <c r="N1338" s="19" t="s">
        <v>3879</v>
      </c>
    </row>
    <row r="1339" spans="1:14" ht="86.4" hidden="1" x14ac:dyDescent="0.3">
      <c r="A1339" s="47">
        <f t="shared" si="60"/>
        <v>2024</v>
      </c>
      <c r="B1339" s="46">
        <f t="shared" si="61"/>
        <v>15</v>
      </c>
      <c r="C1339" s="46">
        <f t="shared" si="62"/>
        <v>20</v>
      </c>
      <c r="E1339" s="1" t="s">
        <v>3881</v>
      </c>
      <c r="F1339" s="90" t="s">
        <v>3882</v>
      </c>
      <c r="G1339" s="1" t="s">
        <v>9</v>
      </c>
      <c r="H1339" s="1" t="s">
        <v>2520</v>
      </c>
      <c r="I1339" s="227">
        <v>45392</v>
      </c>
      <c r="K1339" s="1" t="s">
        <v>88</v>
      </c>
      <c r="L1339" s="227">
        <v>45429</v>
      </c>
      <c r="M1339" s="3">
        <v>0.4465277777777778</v>
      </c>
      <c r="N1339" s="19" t="s">
        <v>3883</v>
      </c>
    </row>
    <row r="1340" spans="1:14" ht="57.6" hidden="1" x14ac:dyDescent="0.3">
      <c r="A1340" s="47">
        <f t="shared" si="60"/>
        <v>2024</v>
      </c>
      <c r="B1340" s="46">
        <f t="shared" si="61"/>
        <v>15</v>
      </c>
      <c r="C1340" s="46">
        <f t="shared" si="62"/>
        <v>20</v>
      </c>
      <c r="E1340" s="1" t="s">
        <v>3885</v>
      </c>
      <c r="F1340" s="90" t="s">
        <v>3886</v>
      </c>
      <c r="G1340" s="1" t="s">
        <v>9</v>
      </c>
      <c r="H1340" s="1" t="s">
        <v>2520</v>
      </c>
      <c r="I1340" s="227">
        <v>45393</v>
      </c>
      <c r="J1340" s="3">
        <v>0.37638888888888888</v>
      </c>
      <c r="K1340" s="1" t="s">
        <v>88</v>
      </c>
      <c r="L1340" s="227">
        <v>45429</v>
      </c>
      <c r="M1340" s="3">
        <v>0.4465277777777778</v>
      </c>
      <c r="N1340" s="19" t="s">
        <v>3884</v>
      </c>
    </row>
    <row r="1341" spans="1:14" ht="72" hidden="1" x14ac:dyDescent="0.3">
      <c r="A1341" s="47">
        <f t="shared" si="60"/>
        <v>2024</v>
      </c>
      <c r="B1341" s="46">
        <f t="shared" si="61"/>
        <v>15</v>
      </c>
      <c r="C1341" s="46">
        <f t="shared" si="62"/>
        <v>20</v>
      </c>
      <c r="E1341" s="1" t="s">
        <v>3889</v>
      </c>
      <c r="F1341" s="90" t="s">
        <v>3888</v>
      </c>
      <c r="G1341" s="1" t="s">
        <v>9</v>
      </c>
      <c r="H1341" s="1" t="s">
        <v>2520</v>
      </c>
      <c r="I1341" s="227">
        <v>45393</v>
      </c>
      <c r="J1341" s="3">
        <v>0.65625</v>
      </c>
      <c r="K1341" s="1" t="s">
        <v>88</v>
      </c>
      <c r="L1341" s="227">
        <v>45429</v>
      </c>
      <c r="M1341" s="3">
        <v>0.68541666666666667</v>
      </c>
      <c r="N1341" s="19" t="s">
        <v>3890</v>
      </c>
    </row>
    <row r="1342" spans="1:14" ht="57.6" hidden="1" x14ac:dyDescent="0.3">
      <c r="A1342" s="47">
        <f t="shared" si="60"/>
        <v>2024</v>
      </c>
      <c r="B1342" s="46">
        <f t="shared" si="61"/>
        <v>19</v>
      </c>
      <c r="C1342" s="46">
        <f t="shared" si="62"/>
        <v>20</v>
      </c>
      <c r="E1342" s="1" t="s">
        <v>3892</v>
      </c>
      <c r="F1342" s="90" t="s">
        <v>3891</v>
      </c>
      <c r="G1342" s="1" t="s">
        <v>9</v>
      </c>
      <c r="H1342" s="1" t="s">
        <v>2520</v>
      </c>
      <c r="I1342" s="262">
        <v>45420</v>
      </c>
      <c r="J1342" s="3">
        <v>0.6958333333333333</v>
      </c>
      <c r="K1342" s="1" t="s">
        <v>88</v>
      </c>
      <c r="L1342" s="227">
        <v>45429</v>
      </c>
      <c r="M1342" s="3">
        <v>0.7104166666666667</v>
      </c>
      <c r="N1342" s="19" t="s">
        <v>3896</v>
      </c>
    </row>
    <row r="1343" spans="1:14" ht="57.6" hidden="1" x14ac:dyDescent="0.3">
      <c r="A1343" s="47">
        <f t="shared" si="60"/>
        <v>2024</v>
      </c>
      <c r="B1343" s="46">
        <f t="shared" si="61"/>
        <v>19</v>
      </c>
      <c r="C1343" s="46">
        <f t="shared" si="62"/>
        <v>20</v>
      </c>
      <c r="E1343" s="1" t="s">
        <v>3887</v>
      </c>
      <c r="F1343" s="90" t="s">
        <v>3893</v>
      </c>
      <c r="G1343" s="1" t="s">
        <v>9</v>
      </c>
      <c r="H1343" s="1" t="s">
        <v>2520</v>
      </c>
      <c r="I1343" s="262">
        <v>45420</v>
      </c>
      <c r="J1343" s="3">
        <v>0.70347222222222217</v>
      </c>
      <c r="K1343" s="1" t="s">
        <v>88</v>
      </c>
      <c r="L1343" s="227">
        <v>45429</v>
      </c>
      <c r="M1343" s="3">
        <v>0.72430555555555554</v>
      </c>
      <c r="N1343" s="19" t="s">
        <v>3895</v>
      </c>
    </row>
    <row r="1344" spans="1:14" ht="86.4" hidden="1" x14ac:dyDescent="0.3">
      <c r="A1344" s="47">
        <f t="shared" si="60"/>
        <v>2024</v>
      </c>
      <c r="B1344" s="46">
        <f t="shared" si="61"/>
        <v>16</v>
      </c>
      <c r="C1344" s="46">
        <f t="shared" si="62"/>
        <v>21</v>
      </c>
      <c r="E1344" s="1" t="s">
        <v>3894</v>
      </c>
      <c r="F1344" s="19" t="s">
        <v>3897</v>
      </c>
      <c r="G1344" s="1" t="s">
        <v>10</v>
      </c>
      <c r="H1344" s="1" t="s">
        <v>2520</v>
      </c>
      <c r="I1344" s="262">
        <v>45398</v>
      </c>
      <c r="J1344" s="3">
        <v>0.71736111111111101</v>
      </c>
      <c r="K1344" s="1" t="s">
        <v>88</v>
      </c>
      <c r="L1344" s="2">
        <v>45432</v>
      </c>
      <c r="M1344" s="3">
        <v>0.66111111111111109</v>
      </c>
      <c r="N1344" s="19" t="s">
        <v>1888</v>
      </c>
    </row>
    <row r="1345" spans="1:14" ht="100.8" hidden="1" x14ac:dyDescent="0.3">
      <c r="A1345" s="47">
        <f t="shared" si="60"/>
        <v>2024</v>
      </c>
      <c r="B1345" s="46">
        <f t="shared" si="61"/>
        <v>17</v>
      </c>
      <c r="C1345" s="46">
        <f t="shared" si="62"/>
        <v>21</v>
      </c>
      <c r="E1345" s="1" t="s">
        <v>3898</v>
      </c>
      <c r="F1345" s="19" t="s">
        <v>3905</v>
      </c>
      <c r="G1345" s="1" t="s">
        <v>10</v>
      </c>
      <c r="H1345" s="1" t="s">
        <v>2520</v>
      </c>
      <c r="I1345" s="262">
        <v>45408</v>
      </c>
      <c r="J1345" s="3">
        <v>0.60833333333333328</v>
      </c>
      <c r="K1345" s="1" t="s">
        <v>88</v>
      </c>
      <c r="L1345" s="2">
        <v>45432</v>
      </c>
      <c r="M1345" s="3">
        <v>0.67361111111111116</v>
      </c>
      <c r="N1345" s="19" t="s">
        <v>1888</v>
      </c>
    </row>
    <row r="1346" spans="1:14" ht="100.8" hidden="1" x14ac:dyDescent="0.3">
      <c r="A1346" s="47">
        <f t="shared" si="60"/>
        <v>2024</v>
      </c>
      <c r="B1346" s="46">
        <f t="shared" si="61"/>
        <v>19</v>
      </c>
      <c r="C1346" s="46">
        <f t="shared" si="62"/>
        <v>21</v>
      </c>
      <c r="E1346" s="38" t="s">
        <v>3899</v>
      </c>
      <c r="F1346" s="19" t="s">
        <v>3900</v>
      </c>
      <c r="G1346" s="1" t="s">
        <v>10</v>
      </c>
      <c r="H1346" s="1" t="s">
        <v>2520</v>
      </c>
      <c r="I1346" s="262">
        <v>45419</v>
      </c>
      <c r="J1346" s="3">
        <v>0.68819444444444444</v>
      </c>
      <c r="K1346" s="1" t="s">
        <v>88</v>
      </c>
      <c r="L1346" s="2">
        <v>45433</v>
      </c>
      <c r="M1346" s="3">
        <v>0.61041666666666672</v>
      </c>
      <c r="N1346" s="19" t="s">
        <v>3901</v>
      </c>
    </row>
    <row r="1347" spans="1:14" ht="57.6" hidden="1" x14ac:dyDescent="0.3">
      <c r="A1347" s="47">
        <f t="shared" ref="A1347:A1410" si="63">YEAR(L1347)</f>
        <v>2024</v>
      </c>
      <c r="B1347" s="46">
        <f t="shared" ref="B1347:B1410" si="64">WEEKNUM(I1347)</f>
        <v>15</v>
      </c>
      <c r="C1347" s="46">
        <f t="shared" ref="C1347:C1410" si="65">WEEKNUM(L1347)</f>
        <v>21</v>
      </c>
      <c r="E1347" s="1" t="s">
        <v>3902</v>
      </c>
      <c r="F1347" s="19" t="s">
        <v>3903</v>
      </c>
      <c r="G1347" s="1" t="s">
        <v>9</v>
      </c>
      <c r="H1347" s="1" t="s">
        <v>2520</v>
      </c>
      <c r="I1347" s="262">
        <v>45391</v>
      </c>
      <c r="J1347" s="3">
        <v>0.5625</v>
      </c>
      <c r="K1347" s="1" t="s">
        <v>88</v>
      </c>
      <c r="L1347" s="2">
        <v>45433</v>
      </c>
      <c r="M1347" s="3">
        <v>0.65208333333333335</v>
      </c>
      <c r="N1347" s="19" t="s">
        <v>3904</v>
      </c>
    </row>
    <row r="1348" spans="1:14" ht="86.4" hidden="1" x14ac:dyDescent="0.3">
      <c r="A1348" s="47">
        <f t="shared" si="63"/>
        <v>2024</v>
      </c>
      <c r="B1348" s="46">
        <f t="shared" si="64"/>
        <v>19</v>
      </c>
      <c r="C1348" s="46">
        <f t="shared" si="65"/>
        <v>21</v>
      </c>
      <c r="E1348" s="1" t="s">
        <v>3907</v>
      </c>
      <c r="F1348" s="19" t="s">
        <v>3906</v>
      </c>
      <c r="G1348" s="1" t="s">
        <v>9</v>
      </c>
      <c r="H1348" s="1" t="s">
        <v>2520</v>
      </c>
      <c r="I1348" s="262">
        <v>45419</v>
      </c>
      <c r="J1348" s="3">
        <v>0.71736111111111101</v>
      </c>
      <c r="K1348" s="1" t="s">
        <v>88</v>
      </c>
      <c r="L1348" s="2">
        <v>45433</v>
      </c>
      <c r="M1348" s="3">
        <v>0.66875000000000007</v>
      </c>
      <c r="N1348" s="19" t="s">
        <v>3908</v>
      </c>
    </row>
    <row r="1349" spans="1:14" ht="86.4" hidden="1" x14ac:dyDescent="0.3">
      <c r="A1349" s="47">
        <f t="shared" si="63"/>
        <v>2024</v>
      </c>
      <c r="B1349" s="46">
        <f t="shared" si="64"/>
        <v>19</v>
      </c>
      <c r="C1349" s="46">
        <f t="shared" si="65"/>
        <v>21</v>
      </c>
      <c r="E1349" s="1" t="s">
        <v>3909</v>
      </c>
      <c r="F1349" s="19" t="s">
        <v>3910</v>
      </c>
      <c r="G1349" s="1" t="s">
        <v>9</v>
      </c>
      <c r="H1349" s="1" t="s">
        <v>2520</v>
      </c>
      <c r="I1349" s="262">
        <v>45422</v>
      </c>
      <c r="J1349" s="3">
        <v>0.6166666666666667</v>
      </c>
      <c r="K1349" s="1" t="s">
        <v>88</v>
      </c>
      <c r="L1349" s="2">
        <v>45434</v>
      </c>
      <c r="M1349" s="3">
        <v>0.65902777777777777</v>
      </c>
      <c r="N1349" s="19" t="s">
        <v>3911</v>
      </c>
    </row>
    <row r="1350" spans="1:14" ht="72" hidden="1" x14ac:dyDescent="0.3">
      <c r="A1350" s="47">
        <f t="shared" si="63"/>
        <v>2024</v>
      </c>
      <c r="B1350" s="46">
        <f t="shared" si="64"/>
        <v>21</v>
      </c>
      <c r="C1350" s="46">
        <f t="shared" si="65"/>
        <v>21</v>
      </c>
      <c r="E1350" s="1" t="s">
        <v>3913</v>
      </c>
      <c r="F1350" s="19" t="s">
        <v>3912</v>
      </c>
      <c r="G1350" s="1" t="s">
        <v>10</v>
      </c>
      <c r="H1350" s="1" t="s">
        <v>2520</v>
      </c>
      <c r="I1350" s="262">
        <v>45434</v>
      </c>
      <c r="J1350" s="3">
        <v>0.40277777777777773</v>
      </c>
      <c r="K1350" s="1" t="s">
        <v>88</v>
      </c>
      <c r="L1350" s="2">
        <v>45435</v>
      </c>
      <c r="M1350" s="3">
        <v>0.60625000000000007</v>
      </c>
      <c r="N1350" s="19" t="s">
        <v>3914</v>
      </c>
    </row>
    <row r="1351" spans="1:14" ht="388.8" hidden="1" x14ac:dyDescent="0.3">
      <c r="A1351" s="47">
        <f t="shared" si="63"/>
        <v>2024</v>
      </c>
      <c r="B1351" s="46">
        <f t="shared" si="64"/>
        <v>21</v>
      </c>
      <c r="C1351" s="46">
        <f t="shared" si="65"/>
        <v>22</v>
      </c>
      <c r="E1351" s="38" t="s">
        <v>3915</v>
      </c>
      <c r="F1351" s="19" t="s">
        <v>3916</v>
      </c>
      <c r="G1351" s="1" t="s">
        <v>10</v>
      </c>
      <c r="H1351" s="1" t="s">
        <v>2520</v>
      </c>
      <c r="I1351" s="262">
        <v>45434</v>
      </c>
      <c r="J1351" s="3">
        <v>0.39930555555555558</v>
      </c>
      <c r="K1351" s="1" t="s">
        <v>88</v>
      </c>
      <c r="L1351" s="2">
        <v>45440</v>
      </c>
      <c r="M1351" s="3">
        <v>0.33333333333333331</v>
      </c>
      <c r="N1351" s="19" t="s">
        <v>4190</v>
      </c>
    </row>
    <row r="1352" spans="1:14" ht="100.8" hidden="1" x14ac:dyDescent="0.3">
      <c r="A1352" s="47">
        <f t="shared" si="63"/>
        <v>2024</v>
      </c>
      <c r="B1352" s="46">
        <f t="shared" si="64"/>
        <v>22</v>
      </c>
      <c r="C1352" s="46">
        <f t="shared" si="65"/>
        <v>22</v>
      </c>
      <c r="E1352" s="1" t="s">
        <v>3917</v>
      </c>
      <c r="F1352" s="19" t="s">
        <v>3919</v>
      </c>
      <c r="G1352" s="1" t="s">
        <v>10</v>
      </c>
      <c r="H1352" s="1" t="s">
        <v>2520</v>
      </c>
      <c r="I1352" s="262">
        <v>45439</v>
      </c>
      <c r="J1352" s="3">
        <v>0.38680555555555557</v>
      </c>
      <c r="K1352" s="1" t="s">
        <v>88</v>
      </c>
      <c r="L1352" s="2">
        <v>45440</v>
      </c>
      <c r="M1352" s="3">
        <v>0.37152777777777773</v>
      </c>
      <c r="N1352" s="19" t="s">
        <v>3918</v>
      </c>
    </row>
    <row r="1353" spans="1:14" ht="72" hidden="1" x14ac:dyDescent="0.3">
      <c r="A1353" s="47">
        <f t="shared" si="63"/>
        <v>2024</v>
      </c>
      <c r="B1353" s="46">
        <f t="shared" si="64"/>
        <v>16</v>
      </c>
      <c r="C1353" s="46">
        <f t="shared" si="65"/>
        <v>22</v>
      </c>
      <c r="E1353" s="95" t="s">
        <v>3922</v>
      </c>
      <c r="F1353" s="19" t="s">
        <v>3921</v>
      </c>
      <c r="G1353" s="1" t="s">
        <v>10</v>
      </c>
      <c r="H1353" s="1" t="s">
        <v>2520</v>
      </c>
      <c r="I1353" s="262">
        <v>45400</v>
      </c>
      <c r="J1353" s="3">
        <v>0.68819444444444444</v>
      </c>
      <c r="K1353" s="1" t="s">
        <v>88</v>
      </c>
      <c r="L1353" s="2">
        <v>45440</v>
      </c>
      <c r="M1353" s="3">
        <v>0.43541666666666662</v>
      </c>
      <c r="N1353" s="19" t="s">
        <v>3920</v>
      </c>
    </row>
    <row r="1354" spans="1:14" ht="345.6" hidden="1" x14ac:dyDescent="0.3">
      <c r="A1354" s="47">
        <f t="shared" si="63"/>
        <v>2024</v>
      </c>
      <c r="B1354" s="46">
        <f t="shared" si="64"/>
        <v>20</v>
      </c>
      <c r="C1354" s="46">
        <f t="shared" si="65"/>
        <v>22</v>
      </c>
      <c r="E1354" s="38" t="s">
        <v>3925</v>
      </c>
      <c r="F1354" s="19" t="s">
        <v>3926</v>
      </c>
      <c r="G1354" s="1" t="s">
        <v>3924</v>
      </c>
      <c r="H1354" s="1" t="s">
        <v>2520</v>
      </c>
      <c r="I1354" s="262">
        <v>45427</v>
      </c>
      <c r="J1354" s="3">
        <v>0.61458333333333337</v>
      </c>
      <c r="K1354" s="1" t="s">
        <v>88</v>
      </c>
      <c r="L1354" s="2">
        <v>45440</v>
      </c>
      <c r="M1354" s="3">
        <v>0.47916666666666669</v>
      </c>
      <c r="N1354" s="19" t="s">
        <v>3923</v>
      </c>
    </row>
    <row r="1355" spans="1:14" ht="115.2" hidden="1" x14ac:dyDescent="0.3">
      <c r="A1355" s="47">
        <f t="shared" si="63"/>
        <v>2024</v>
      </c>
      <c r="B1355" s="46">
        <f t="shared" si="64"/>
        <v>21</v>
      </c>
      <c r="C1355" s="46">
        <f t="shared" si="65"/>
        <v>22</v>
      </c>
      <c r="E1355" s="1" t="s">
        <v>3929</v>
      </c>
      <c r="F1355" s="19" t="s">
        <v>3928</v>
      </c>
      <c r="G1355" s="1" t="s">
        <v>3924</v>
      </c>
      <c r="H1355" s="1" t="s">
        <v>2520</v>
      </c>
      <c r="I1355" s="262">
        <v>45432</v>
      </c>
      <c r="J1355" s="3">
        <v>0.71111111111111114</v>
      </c>
      <c r="K1355" s="1" t="s">
        <v>88</v>
      </c>
      <c r="L1355" s="2">
        <v>45440</v>
      </c>
      <c r="M1355" s="3">
        <v>0.50763888888888886</v>
      </c>
      <c r="N1355" s="19" t="s">
        <v>3927</v>
      </c>
    </row>
    <row r="1356" spans="1:14" ht="72" hidden="1" x14ac:dyDescent="0.3">
      <c r="A1356" s="47">
        <f t="shared" si="63"/>
        <v>2024</v>
      </c>
      <c r="B1356" s="46">
        <f t="shared" si="64"/>
        <v>16</v>
      </c>
      <c r="C1356" s="46">
        <f t="shared" si="65"/>
        <v>22</v>
      </c>
      <c r="E1356" s="95" t="s">
        <v>3930</v>
      </c>
      <c r="F1356" s="19" t="s">
        <v>3931</v>
      </c>
      <c r="G1356" s="1" t="s">
        <v>10</v>
      </c>
      <c r="H1356" s="1" t="s">
        <v>2520</v>
      </c>
      <c r="I1356" s="262">
        <v>45400</v>
      </c>
      <c r="J1356" s="3">
        <v>0.68819444444444444</v>
      </c>
      <c r="K1356" s="1" t="s">
        <v>88</v>
      </c>
      <c r="L1356" s="2">
        <v>45440</v>
      </c>
      <c r="M1356" s="3">
        <v>0.54375000000000007</v>
      </c>
      <c r="N1356" s="19" t="s">
        <v>3932</v>
      </c>
    </row>
    <row r="1357" spans="1:14" hidden="1" x14ac:dyDescent="0.3">
      <c r="A1357" s="47">
        <f t="shared" si="63"/>
        <v>2024</v>
      </c>
      <c r="B1357" s="46">
        <f t="shared" si="64"/>
        <v>0</v>
      </c>
      <c r="C1357" s="46">
        <f t="shared" si="65"/>
        <v>20</v>
      </c>
      <c r="E1357" s="21" t="s">
        <v>3933</v>
      </c>
      <c r="F1357" s="263"/>
      <c r="I1357" s="19"/>
      <c r="K1357" s="1" t="s">
        <v>3946</v>
      </c>
      <c r="L1357" s="281">
        <v>45427.379861111112</v>
      </c>
    </row>
    <row r="1358" spans="1:14" hidden="1" x14ac:dyDescent="0.3">
      <c r="A1358" s="47">
        <f t="shared" si="63"/>
        <v>2024</v>
      </c>
      <c r="B1358" s="46">
        <f t="shared" si="64"/>
        <v>0</v>
      </c>
      <c r="C1358" s="46">
        <f t="shared" si="65"/>
        <v>19</v>
      </c>
      <c r="E1358" s="21" t="s">
        <v>3934</v>
      </c>
      <c r="F1358" s="263"/>
      <c r="I1358" s="19"/>
      <c r="K1358" s="1" t="s">
        <v>3946</v>
      </c>
      <c r="L1358" s="281">
        <v>45422.414583333331</v>
      </c>
    </row>
    <row r="1359" spans="1:14" hidden="1" x14ac:dyDescent="0.3">
      <c r="A1359" s="47">
        <f t="shared" si="63"/>
        <v>2024</v>
      </c>
      <c r="B1359" s="46">
        <f t="shared" si="64"/>
        <v>0</v>
      </c>
      <c r="C1359" s="46">
        <f t="shared" si="65"/>
        <v>19</v>
      </c>
      <c r="E1359" s="21" t="s">
        <v>3935</v>
      </c>
      <c r="F1359" s="263"/>
      <c r="I1359" s="19"/>
      <c r="K1359" s="1" t="s">
        <v>3946</v>
      </c>
      <c r="L1359" s="281">
        <v>45421.726388888892</v>
      </c>
    </row>
    <row r="1360" spans="1:14" hidden="1" x14ac:dyDescent="0.3">
      <c r="A1360" s="47">
        <f t="shared" si="63"/>
        <v>2024</v>
      </c>
      <c r="B1360" s="46">
        <f t="shared" si="64"/>
        <v>0</v>
      </c>
      <c r="C1360" s="46">
        <f t="shared" si="65"/>
        <v>19</v>
      </c>
      <c r="E1360" s="21" t="s">
        <v>3936</v>
      </c>
      <c r="F1360" s="263"/>
      <c r="I1360" s="19"/>
      <c r="K1360" s="1" t="s">
        <v>3946</v>
      </c>
      <c r="L1360" s="281">
        <v>45421.724305555559</v>
      </c>
    </row>
    <row r="1361" spans="1:14" hidden="1" x14ac:dyDescent="0.3">
      <c r="A1361" s="47">
        <f t="shared" si="63"/>
        <v>2024</v>
      </c>
      <c r="B1361" s="46">
        <f t="shared" si="64"/>
        <v>0</v>
      </c>
      <c r="C1361" s="46">
        <f t="shared" si="65"/>
        <v>19</v>
      </c>
      <c r="E1361" s="21" t="s">
        <v>3937</v>
      </c>
      <c r="F1361" s="263"/>
      <c r="I1361" s="19"/>
      <c r="K1361" s="1" t="s">
        <v>3946</v>
      </c>
      <c r="L1361" s="281">
        <v>45422.404861111114</v>
      </c>
    </row>
    <row r="1362" spans="1:14" hidden="1" x14ac:dyDescent="0.3">
      <c r="A1362" s="47">
        <f t="shared" si="63"/>
        <v>2024</v>
      </c>
      <c r="B1362" s="46">
        <f t="shared" si="64"/>
        <v>0</v>
      </c>
      <c r="C1362" s="46">
        <f t="shared" si="65"/>
        <v>19</v>
      </c>
      <c r="E1362" s="21" t="s">
        <v>3938</v>
      </c>
      <c r="F1362" s="263"/>
      <c r="I1362" s="19"/>
      <c r="K1362" s="1" t="s">
        <v>3946</v>
      </c>
      <c r="L1362" s="281">
        <v>45422.412499999999</v>
      </c>
    </row>
    <row r="1363" spans="1:14" hidden="1" x14ac:dyDescent="0.3">
      <c r="A1363" s="47">
        <f t="shared" si="63"/>
        <v>2024</v>
      </c>
      <c r="B1363" s="46">
        <f t="shared" si="64"/>
        <v>0</v>
      </c>
      <c r="C1363" s="46">
        <f t="shared" si="65"/>
        <v>19</v>
      </c>
      <c r="E1363" s="21" t="s">
        <v>3922</v>
      </c>
      <c r="F1363" s="263"/>
      <c r="I1363" s="19"/>
      <c r="K1363" s="1" t="s">
        <v>3946</v>
      </c>
      <c r="L1363" s="281">
        <v>45422.408333333333</v>
      </c>
    </row>
    <row r="1364" spans="1:14" hidden="1" x14ac:dyDescent="0.3">
      <c r="A1364" s="47">
        <f t="shared" si="63"/>
        <v>2024</v>
      </c>
      <c r="B1364" s="46">
        <f t="shared" si="64"/>
        <v>0</v>
      </c>
      <c r="C1364" s="46">
        <f t="shared" si="65"/>
        <v>19</v>
      </c>
      <c r="E1364" s="21" t="s">
        <v>3930</v>
      </c>
      <c r="F1364" s="263"/>
      <c r="I1364" s="19"/>
      <c r="K1364" s="1" t="s">
        <v>3946</v>
      </c>
      <c r="L1364" s="281">
        <v>45422.407638888886</v>
      </c>
    </row>
    <row r="1365" spans="1:14" hidden="1" x14ac:dyDescent="0.3">
      <c r="A1365" s="47">
        <f t="shared" si="63"/>
        <v>2024</v>
      </c>
      <c r="B1365" s="46">
        <f t="shared" si="64"/>
        <v>0</v>
      </c>
      <c r="C1365" s="46">
        <f t="shared" si="65"/>
        <v>19</v>
      </c>
      <c r="E1365" s="21" t="s">
        <v>3939</v>
      </c>
      <c r="F1365" s="263"/>
      <c r="I1365" s="19"/>
      <c r="K1365" s="1" t="s">
        <v>3946</v>
      </c>
      <c r="L1365" s="281">
        <v>45421.738194444442</v>
      </c>
    </row>
    <row r="1366" spans="1:14" hidden="1" x14ac:dyDescent="0.3">
      <c r="A1366" s="47">
        <f t="shared" si="63"/>
        <v>2024</v>
      </c>
      <c r="B1366" s="46">
        <f t="shared" si="64"/>
        <v>0</v>
      </c>
      <c r="C1366" s="46">
        <f t="shared" si="65"/>
        <v>19</v>
      </c>
      <c r="E1366" s="21" t="s">
        <v>3940</v>
      </c>
      <c r="F1366" s="263"/>
      <c r="I1366" s="19"/>
      <c r="K1366" s="1" t="s">
        <v>3946</v>
      </c>
      <c r="L1366" s="281">
        <v>45422.40625</v>
      </c>
    </row>
    <row r="1367" spans="1:14" hidden="1" x14ac:dyDescent="0.3">
      <c r="A1367" s="47">
        <f t="shared" si="63"/>
        <v>2024</v>
      </c>
      <c r="B1367" s="46">
        <f t="shared" si="64"/>
        <v>0</v>
      </c>
      <c r="C1367" s="46">
        <f t="shared" si="65"/>
        <v>19</v>
      </c>
      <c r="E1367" s="21" t="s">
        <v>3941</v>
      </c>
      <c r="F1367" s="263"/>
      <c r="I1367" s="19"/>
      <c r="K1367" s="1" t="s">
        <v>3946</v>
      </c>
      <c r="L1367" s="281">
        <v>45422.432638888888</v>
      </c>
    </row>
    <row r="1368" spans="1:14" hidden="1" x14ac:dyDescent="0.3">
      <c r="A1368" s="47">
        <f t="shared" si="63"/>
        <v>2024</v>
      </c>
      <c r="B1368" s="46">
        <f t="shared" si="64"/>
        <v>0</v>
      </c>
      <c r="C1368" s="46">
        <f t="shared" si="65"/>
        <v>19</v>
      </c>
      <c r="E1368" s="21" t="s">
        <v>3942</v>
      </c>
      <c r="F1368" s="263"/>
      <c r="I1368" s="19"/>
      <c r="K1368" s="1" t="s">
        <v>3946</v>
      </c>
      <c r="L1368" s="281">
        <v>45422.435416666667</v>
      </c>
    </row>
    <row r="1369" spans="1:14" hidden="1" x14ac:dyDescent="0.3">
      <c r="A1369" s="47">
        <f t="shared" si="63"/>
        <v>2024</v>
      </c>
      <c r="B1369" s="46">
        <f t="shared" si="64"/>
        <v>0</v>
      </c>
      <c r="C1369" s="46">
        <f t="shared" si="65"/>
        <v>19</v>
      </c>
      <c r="E1369" s="21" t="s">
        <v>3943</v>
      </c>
      <c r="F1369" s="263"/>
      <c r="I1369" s="19"/>
      <c r="K1369" s="1" t="s">
        <v>3946</v>
      </c>
      <c r="L1369" s="281">
        <v>45422.411111111112</v>
      </c>
    </row>
    <row r="1370" spans="1:14" hidden="1" x14ac:dyDescent="0.3">
      <c r="A1370" s="47">
        <f t="shared" si="63"/>
        <v>2024</v>
      </c>
      <c r="B1370" s="46">
        <f t="shared" si="64"/>
        <v>0</v>
      </c>
      <c r="C1370" s="46">
        <f t="shared" si="65"/>
        <v>19</v>
      </c>
      <c r="E1370" s="21" t="s">
        <v>3944</v>
      </c>
      <c r="F1370" s="263"/>
      <c r="I1370" s="19"/>
      <c r="K1370" s="1" t="s">
        <v>3946</v>
      </c>
      <c r="L1370" s="281">
        <v>45422.414583333331</v>
      </c>
    </row>
    <row r="1371" spans="1:14" hidden="1" x14ac:dyDescent="0.3">
      <c r="A1371" s="47" t="e">
        <f t="shared" si="63"/>
        <v>#VALUE!</v>
      </c>
      <c r="B1371" s="46">
        <f t="shared" si="64"/>
        <v>0</v>
      </c>
      <c r="C1371" s="46" t="e">
        <f t="shared" si="65"/>
        <v>#VALUE!</v>
      </c>
      <c r="E1371" s="21" t="s">
        <v>3854</v>
      </c>
      <c r="I1371" s="19"/>
      <c r="K1371" s="1" t="s">
        <v>3946</v>
      </c>
      <c r="L1371" s="21" t="s">
        <v>3945</v>
      </c>
    </row>
    <row r="1372" spans="1:14" ht="72" hidden="1" x14ac:dyDescent="0.3">
      <c r="A1372" s="47">
        <f t="shared" si="63"/>
        <v>2024</v>
      </c>
      <c r="B1372" s="46">
        <f t="shared" si="64"/>
        <v>21</v>
      </c>
      <c r="C1372" s="46">
        <f t="shared" si="65"/>
        <v>22</v>
      </c>
      <c r="E1372" s="296" t="s">
        <v>3948</v>
      </c>
      <c r="F1372" s="19" t="s">
        <v>3949</v>
      </c>
      <c r="G1372" s="1" t="s">
        <v>10</v>
      </c>
      <c r="H1372" s="1" t="s">
        <v>2520</v>
      </c>
      <c r="I1372" s="262">
        <v>45433</v>
      </c>
      <c r="J1372" s="3">
        <v>0.63472222222222219</v>
      </c>
      <c r="K1372" s="1" t="s">
        <v>88</v>
      </c>
      <c r="L1372" s="2">
        <v>45440</v>
      </c>
      <c r="M1372" s="3">
        <v>0.69861111111111107</v>
      </c>
      <c r="N1372" s="19" t="s">
        <v>3947</v>
      </c>
    </row>
    <row r="1373" spans="1:14" ht="86.4" hidden="1" x14ac:dyDescent="0.3">
      <c r="A1373" s="47">
        <f t="shared" si="63"/>
        <v>2024</v>
      </c>
      <c r="B1373" s="46">
        <f t="shared" si="64"/>
        <v>17</v>
      </c>
      <c r="C1373" s="46">
        <f t="shared" si="65"/>
        <v>22</v>
      </c>
      <c r="E1373" s="296" t="s">
        <v>3950</v>
      </c>
      <c r="F1373" s="19" t="s">
        <v>3951</v>
      </c>
      <c r="G1373" s="1" t="s">
        <v>10</v>
      </c>
      <c r="H1373" s="1" t="s">
        <v>2520</v>
      </c>
      <c r="I1373" s="262">
        <v>45403</v>
      </c>
      <c r="J1373" s="3">
        <v>0.63888888888888895</v>
      </c>
      <c r="K1373" s="1" t="s">
        <v>88</v>
      </c>
      <c r="L1373" s="2">
        <v>45441</v>
      </c>
      <c r="M1373" s="3">
        <v>0.40347222222222223</v>
      </c>
      <c r="N1373" s="19" t="s">
        <v>3953</v>
      </c>
    </row>
    <row r="1374" spans="1:14" ht="187.2" hidden="1" x14ac:dyDescent="0.3">
      <c r="A1374" s="47">
        <f t="shared" si="63"/>
        <v>2024</v>
      </c>
      <c r="B1374" s="46">
        <f t="shared" si="64"/>
        <v>18</v>
      </c>
      <c r="C1374" s="46">
        <f t="shared" si="65"/>
        <v>22</v>
      </c>
      <c r="E1374" s="296" t="s">
        <v>3955</v>
      </c>
      <c r="F1374" s="19" t="s">
        <v>3956</v>
      </c>
      <c r="G1374" s="1" t="s">
        <v>10</v>
      </c>
      <c r="H1374" s="1" t="s">
        <v>2520</v>
      </c>
      <c r="I1374" s="262">
        <v>45414</v>
      </c>
      <c r="J1374" s="3">
        <v>0.62569444444444444</v>
      </c>
      <c r="K1374" s="1" t="s">
        <v>88</v>
      </c>
      <c r="L1374" s="2">
        <v>45441</v>
      </c>
      <c r="M1374" s="3">
        <v>0.63680555555555551</v>
      </c>
      <c r="N1374" s="19" t="s">
        <v>3954</v>
      </c>
    </row>
    <row r="1375" spans="1:14" ht="158.4" hidden="1" x14ac:dyDescent="0.3">
      <c r="A1375" s="47">
        <f t="shared" si="63"/>
        <v>2024</v>
      </c>
      <c r="B1375" s="46">
        <f t="shared" si="64"/>
        <v>20</v>
      </c>
      <c r="C1375" s="46">
        <f t="shared" si="65"/>
        <v>22</v>
      </c>
      <c r="E1375" s="1" t="s">
        <v>3957</v>
      </c>
      <c r="F1375" s="19" t="s">
        <v>3958</v>
      </c>
      <c r="G1375" s="1" t="s">
        <v>10</v>
      </c>
      <c r="H1375" s="1" t="s">
        <v>2520</v>
      </c>
      <c r="I1375" s="262">
        <v>45427</v>
      </c>
      <c r="J1375" s="3">
        <v>0.6743055555555556</v>
      </c>
      <c r="K1375" s="1" t="s">
        <v>88</v>
      </c>
      <c r="L1375" s="2">
        <v>45441</v>
      </c>
      <c r="M1375" s="3">
        <v>0.64513888888888882</v>
      </c>
      <c r="N1375" s="19" t="s">
        <v>3959</v>
      </c>
    </row>
    <row r="1376" spans="1:14" ht="72" hidden="1" x14ac:dyDescent="0.3">
      <c r="A1376" s="47">
        <f t="shared" si="63"/>
        <v>2024</v>
      </c>
      <c r="B1376" s="46">
        <f t="shared" si="64"/>
        <v>20</v>
      </c>
      <c r="C1376" s="46">
        <f t="shared" si="65"/>
        <v>22</v>
      </c>
      <c r="E1376" s="1" t="s">
        <v>3961</v>
      </c>
      <c r="F1376" s="19" t="s">
        <v>3962</v>
      </c>
      <c r="G1376" s="1" t="s">
        <v>900</v>
      </c>
      <c r="H1376" s="1" t="s">
        <v>2520</v>
      </c>
      <c r="I1376" s="262">
        <v>45425</v>
      </c>
      <c r="J1376" s="3">
        <v>0.45277777777777778</v>
      </c>
      <c r="K1376" s="1" t="s">
        <v>88</v>
      </c>
      <c r="L1376" s="2">
        <v>45441</v>
      </c>
      <c r="M1376" s="3">
        <v>0.70763888888888893</v>
      </c>
      <c r="N1376" s="19" t="s">
        <v>3960</v>
      </c>
    </row>
    <row r="1377" spans="1:14" ht="100.8" hidden="1" x14ac:dyDescent="0.3">
      <c r="A1377" s="47">
        <f t="shared" si="63"/>
        <v>2024</v>
      </c>
      <c r="B1377" s="46">
        <f t="shared" si="64"/>
        <v>21</v>
      </c>
      <c r="C1377" s="46">
        <f t="shared" si="65"/>
        <v>22</v>
      </c>
      <c r="E1377" s="1" t="s">
        <v>3963</v>
      </c>
      <c r="F1377" s="19" t="s">
        <v>3964</v>
      </c>
      <c r="G1377" s="1" t="s">
        <v>3924</v>
      </c>
      <c r="H1377" s="1" t="s">
        <v>2520</v>
      </c>
      <c r="I1377" s="262">
        <v>45432</v>
      </c>
      <c r="J1377" s="3">
        <v>0.40972222222222227</v>
      </c>
      <c r="K1377" s="1" t="s">
        <v>88</v>
      </c>
      <c r="L1377" s="2">
        <v>45441</v>
      </c>
      <c r="M1377" s="3">
        <v>0.72083333333333333</v>
      </c>
      <c r="N1377" s="19" t="s">
        <v>3965</v>
      </c>
    </row>
    <row r="1378" spans="1:14" ht="100.8" hidden="1" x14ac:dyDescent="0.3">
      <c r="A1378" s="47">
        <f t="shared" si="63"/>
        <v>2024</v>
      </c>
      <c r="B1378" s="46">
        <f t="shared" si="64"/>
        <v>20</v>
      </c>
      <c r="C1378" s="46">
        <f t="shared" si="65"/>
        <v>22</v>
      </c>
      <c r="E1378" s="1" t="s">
        <v>3967</v>
      </c>
      <c r="F1378" s="19" t="s">
        <v>3968</v>
      </c>
      <c r="G1378" s="1" t="s">
        <v>900</v>
      </c>
      <c r="H1378" s="1" t="s">
        <v>2520</v>
      </c>
      <c r="I1378" s="262">
        <v>45425</v>
      </c>
      <c r="J1378" s="3">
        <v>0.4465277777777778</v>
      </c>
      <c r="K1378" s="1" t="s">
        <v>88</v>
      </c>
      <c r="L1378" s="2">
        <v>45442</v>
      </c>
      <c r="M1378" s="3">
        <v>0.60555555555555551</v>
      </c>
      <c r="N1378" s="19" t="s">
        <v>3966</v>
      </c>
    </row>
    <row r="1379" spans="1:14" ht="100.8" hidden="1" x14ac:dyDescent="0.3">
      <c r="A1379" s="47">
        <f t="shared" si="63"/>
        <v>2024</v>
      </c>
      <c r="B1379" s="46">
        <f t="shared" si="64"/>
        <v>20</v>
      </c>
      <c r="C1379" s="46">
        <f t="shared" si="65"/>
        <v>22</v>
      </c>
      <c r="E1379" s="1" t="s">
        <v>3971</v>
      </c>
      <c r="F1379" s="19" t="s">
        <v>3970</v>
      </c>
      <c r="G1379" s="1" t="s">
        <v>900</v>
      </c>
      <c r="H1379" s="1" t="s">
        <v>2520</v>
      </c>
      <c r="I1379" s="262">
        <v>45427</v>
      </c>
      <c r="J1379" s="3">
        <v>0.67013888888888884</v>
      </c>
      <c r="K1379" s="1" t="s">
        <v>88</v>
      </c>
      <c r="L1379" s="2">
        <v>45442</v>
      </c>
      <c r="M1379" s="3">
        <v>0.62083333333333335</v>
      </c>
      <c r="N1379" s="19" t="s">
        <v>3969</v>
      </c>
    </row>
    <row r="1380" spans="1:14" ht="100.8" hidden="1" x14ac:dyDescent="0.3">
      <c r="A1380" s="47">
        <f t="shared" si="63"/>
        <v>2024</v>
      </c>
      <c r="B1380" s="46">
        <f t="shared" si="64"/>
        <v>16</v>
      </c>
      <c r="C1380" s="46">
        <f t="shared" si="65"/>
        <v>24</v>
      </c>
      <c r="E1380" s="1" t="s">
        <v>3973</v>
      </c>
      <c r="F1380" s="19" t="s">
        <v>3846</v>
      </c>
      <c r="G1380" s="1" t="s">
        <v>10</v>
      </c>
      <c r="H1380" s="1" t="s">
        <v>2520</v>
      </c>
      <c r="I1380" s="262">
        <v>45398</v>
      </c>
      <c r="J1380" s="3">
        <v>0.67361111111111116</v>
      </c>
      <c r="K1380" s="1" t="s">
        <v>88</v>
      </c>
      <c r="L1380" s="2">
        <v>45455</v>
      </c>
      <c r="M1380" s="3">
        <v>0.66597222222222219</v>
      </c>
      <c r="N1380" s="19" t="s">
        <v>3972</v>
      </c>
    </row>
    <row r="1381" spans="1:14" ht="100.8" hidden="1" x14ac:dyDescent="0.3">
      <c r="A1381" s="47">
        <f t="shared" si="63"/>
        <v>2024</v>
      </c>
      <c r="B1381" s="46">
        <f t="shared" si="64"/>
        <v>16</v>
      </c>
      <c r="C1381" s="46">
        <f t="shared" si="65"/>
        <v>24</v>
      </c>
      <c r="E1381" s="38" t="s">
        <v>3975</v>
      </c>
      <c r="F1381" s="19" t="s">
        <v>3846</v>
      </c>
      <c r="G1381" s="1" t="s">
        <v>10</v>
      </c>
      <c r="H1381" s="1" t="s">
        <v>2520</v>
      </c>
      <c r="I1381" s="262">
        <v>45398</v>
      </c>
      <c r="J1381" s="3">
        <v>0.69374999999999998</v>
      </c>
      <c r="K1381" s="1" t="s">
        <v>88</v>
      </c>
      <c r="L1381" s="2">
        <v>45455</v>
      </c>
      <c r="M1381" s="3">
        <v>0.70208333333333339</v>
      </c>
      <c r="N1381" s="19" t="s">
        <v>3974</v>
      </c>
    </row>
    <row r="1382" spans="1:14" ht="187.2" hidden="1" x14ac:dyDescent="0.3">
      <c r="A1382" s="47">
        <f t="shared" si="63"/>
        <v>2024</v>
      </c>
      <c r="B1382" s="46">
        <f t="shared" si="64"/>
        <v>16</v>
      </c>
      <c r="C1382" s="46">
        <f t="shared" si="65"/>
        <v>24</v>
      </c>
      <c r="E1382" s="38" t="s">
        <v>3977</v>
      </c>
      <c r="F1382" s="19" t="s">
        <v>3978</v>
      </c>
      <c r="G1382" s="1" t="s">
        <v>10</v>
      </c>
      <c r="H1382" s="1" t="s">
        <v>2520</v>
      </c>
      <c r="I1382" s="262">
        <v>45399</v>
      </c>
      <c r="J1382" s="3">
        <v>0.38055555555555554</v>
      </c>
      <c r="K1382" s="1" t="s">
        <v>88</v>
      </c>
      <c r="L1382" s="2">
        <v>45455</v>
      </c>
      <c r="M1382" s="3">
        <v>0.75</v>
      </c>
      <c r="N1382" s="19" t="s">
        <v>3976</v>
      </c>
    </row>
    <row r="1383" spans="1:14" ht="144" hidden="1" x14ac:dyDescent="0.3">
      <c r="A1383" s="47">
        <f t="shared" si="63"/>
        <v>2024</v>
      </c>
      <c r="B1383" s="46">
        <f t="shared" si="64"/>
        <v>23</v>
      </c>
      <c r="C1383" s="46">
        <f t="shared" si="65"/>
        <v>24</v>
      </c>
      <c r="E1383" s="38" t="s">
        <v>3979</v>
      </c>
      <c r="F1383" s="19" t="s">
        <v>3980</v>
      </c>
      <c r="G1383" s="1" t="s">
        <v>10</v>
      </c>
      <c r="H1383" s="1" t="s">
        <v>2520</v>
      </c>
      <c r="I1383" s="262">
        <v>45448</v>
      </c>
      <c r="J1383" s="3">
        <v>0.70138888888888884</v>
      </c>
      <c r="K1383" s="1" t="s">
        <v>88</v>
      </c>
      <c r="L1383" s="2">
        <v>45456</v>
      </c>
      <c r="M1383" s="3">
        <v>0.75</v>
      </c>
      <c r="N1383" s="19" t="s">
        <v>3981</v>
      </c>
    </row>
    <row r="1384" spans="1:14" ht="86.4" hidden="1" x14ac:dyDescent="0.3">
      <c r="A1384" s="47">
        <f t="shared" si="63"/>
        <v>2024</v>
      </c>
      <c r="B1384" s="46">
        <f t="shared" si="64"/>
        <v>11</v>
      </c>
      <c r="C1384" s="46">
        <f t="shared" si="65"/>
        <v>24</v>
      </c>
      <c r="E1384" s="1" t="s">
        <v>3983</v>
      </c>
      <c r="F1384" s="19" t="s">
        <v>3984</v>
      </c>
      <c r="G1384" s="1" t="s">
        <v>10</v>
      </c>
      <c r="H1384" s="1" t="s">
        <v>2520</v>
      </c>
      <c r="I1384" s="262">
        <v>45363</v>
      </c>
      <c r="J1384" s="3">
        <v>0.4680555555555555</v>
      </c>
      <c r="K1384" s="1" t="s">
        <v>88</v>
      </c>
      <c r="L1384" s="2">
        <v>45456</v>
      </c>
      <c r="M1384" s="3">
        <v>0.7680555555555556</v>
      </c>
      <c r="N1384" s="19" t="s">
        <v>3982</v>
      </c>
    </row>
    <row r="1385" spans="1:14" ht="115.2" hidden="1" x14ac:dyDescent="0.3">
      <c r="A1385" s="47">
        <f t="shared" si="63"/>
        <v>2024</v>
      </c>
      <c r="B1385" s="46">
        <f t="shared" si="64"/>
        <v>18</v>
      </c>
      <c r="C1385" s="46">
        <f t="shared" si="65"/>
        <v>24</v>
      </c>
      <c r="E1385" s="1" t="s">
        <v>3986</v>
      </c>
      <c r="F1385" s="19" t="s">
        <v>3985</v>
      </c>
      <c r="G1385" s="1" t="s">
        <v>10</v>
      </c>
      <c r="H1385" s="1" t="s">
        <v>2520</v>
      </c>
      <c r="I1385" s="262">
        <v>45415</v>
      </c>
      <c r="J1385" s="3">
        <v>0.70833333333333337</v>
      </c>
      <c r="K1385" s="1" t="s">
        <v>88</v>
      </c>
      <c r="L1385" s="2">
        <v>45457</v>
      </c>
      <c r="M1385" s="3">
        <v>0.70208333333333339</v>
      </c>
      <c r="N1385" s="19" t="s">
        <v>2544</v>
      </c>
    </row>
    <row r="1386" spans="1:14" ht="144" hidden="1" x14ac:dyDescent="0.3">
      <c r="A1386" s="47">
        <f t="shared" si="63"/>
        <v>2024</v>
      </c>
      <c r="B1386" s="46">
        <f t="shared" si="64"/>
        <v>21</v>
      </c>
      <c r="C1386" s="46">
        <f t="shared" si="65"/>
        <v>24</v>
      </c>
      <c r="E1386" s="1" t="s">
        <v>3987</v>
      </c>
      <c r="F1386" s="19" t="s">
        <v>3988</v>
      </c>
      <c r="G1386" s="1" t="s">
        <v>10</v>
      </c>
      <c r="H1386" s="1" t="s">
        <v>2520</v>
      </c>
      <c r="I1386" s="262">
        <v>45433</v>
      </c>
      <c r="J1386" s="3">
        <v>0.63888888888888895</v>
      </c>
      <c r="K1386" s="1" t="s">
        <v>88</v>
      </c>
      <c r="L1386" s="2">
        <v>45457</v>
      </c>
      <c r="M1386" s="3">
        <v>0.70208333333333339</v>
      </c>
      <c r="N1386" s="19" t="s">
        <v>2544</v>
      </c>
    </row>
    <row r="1387" spans="1:14" ht="129.6" hidden="1" x14ac:dyDescent="0.3">
      <c r="A1387" s="47">
        <f t="shared" si="63"/>
        <v>2024</v>
      </c>
      <c r="B1387" s="46">
        <f t="shared" si="64"/>
        <v>20</v>
      </c>
      <c r="C1387" s="46">
        <f t="shared" si="65"/>
        <v>24</v>
      </c>
      <c r="E1387" s="1" t="s">
        <v>3991</v>
      </c>
      <c r="F1387" s="19" t="s">
        <v>3992</v>
      </c>
      <c r="G1387" s="1" t="s">
        <v>10</v>
      </c>
      <c r="H1387" s="1" t="s">
        <v>2520</v>
      </c>
      <c r="I1387" s="262">
        <v>45425</v>
      </c>
      <c r="J1387" s="3">
        <v>0.61249999999999993</v>
      </c>
      <c r="K1387" s="1" t="s">
        <v>88</v>
      </c>
      <c r="L1387" s="2">
        <v>45457</v>
      </c>
      <c r="M1387" s="3">
        <v>0.7631944444444444</v>
      </c>
      <c r="N1387" s="19" t="s">
        <v>3990</v>
      </c>
    </row>
    <row r="1388" spans="1:14" ht="144" hidden="1" x14ac:dyDescent="0.3">
      <c r="A1388" s="47">
        <f t="shared" si="63"/>
        <v>2024</v>
      </c>
      <c r="B1388" s="46">
        <f t="shared" si="64"/>
        <v>20</v>
      </c>
      <c r="C1388" s="46">
        <f t="shared" si="65"/>
        <v>24</v>
      </c>
      <c r="E1388" s="1" t="s">
        <v>3993</v>
      </c>
      <c r="F1388" s="19" t="s">
        <v>3994</v>
      </c>
      <c r="G1388" s="1" t="s">
        <v>10</v>
      </c>
      <c r="H1388" s="1" t="s">
        <v>2520</v>
      </c>
      <c r="I1388" s="262">
        <v>45425</v>
      </c>
      <c r="J1388" s="3">
        <v>0.60625000000000007</v>
      </c>
      <c r="K1388" s="1" t="s">
        <v>88</v>
      </c>
      <c r="L1388" s="2">
        <v>45457</v>
      </c>
      <c r="M1388" s="3">
        <v>0.7680555555555556</v>
      </c>
      <c r="N1388" s="19" t="s">
        <v>3989</v>
      </c>
    </row>
    <row r="1389" spans="1:14" ht="144" hidden="1" x14ac:dyDescent="0.3">
      <c r="A1389" s="47">
        <f t="shared" si="63"/>
        <v>2024</v>
      </c>
      <c r="B1389" s="46">
        <f t="shared" si="64"/>
        <v>19</v>
      </c>
      <c r="C1389" s="46">
        <f t="shared" si="65"/>
        <v>24</v>
      </c>
      <c r="E1389" s="1" t="s">
        <v>3996</v>
      </c>
      <c r="F1389" s="19" t="s">
        <v>3995</v>
      </c>
      <c r="G1389" s="1" t="s">
        <v>10</v>
      </c>
      <c r="H1389" s="1" t="s">
        <v>2520</v>
      </c>
      <c r="I1389" s="262">
        <v>45421</v>
      </c>
      <c r="J1389" s="3">
        <v>0.71458333333333324</v>
      </c>
      <c r="K1389" s="1" t="s">
        <v>88</v>
      </c>
      <c r="L1389" s="2">
        <v>45457</v>
      </c>
      <c r="M1389" s="3">
        <v>0.7680555555555556</v>
      </c>
      <c r="N1389" s="19" t="s">
        <v>3997</v>
      </c>
    </row>
    <row r="1390" spans="1:14" ht="115.2" hidden="1" x14ac:dyDescent="0.3">
      <c r="A1390" s="47">
        <f t="shared" si="63"/>
        <v>2024</v>
      </c>
      <c r="B1390" s="46">
        <f t="shared" si="64"/>
        <v>19</v>
      </c>
      <c r="C1390" s="46">
        <f t="shared" si="65"/>
        <v>24</v>
      </c>
      <c r="E1390" s="38" t="s">
        <v>4004</v>
      </c>
      <c r="F1390" s="19" t="s">
        <v>4051</v>
      </c>
      <c r="G1390" s="1" t="s">
        <v>10</v>
      </c>
      <c r="H1390" s="1" t="s">
        <v>2520</v>
      </c>
      <c r="I1390" s="262">
        <v>45420</v>
      </c>
      <c r="J1390" s="3">
        <v>0.65902777777777777</v>
      </c>
      <c r="K1390" s="1" t="s">
        <v>88</v>
      </c>
      <c r="L1390" s="2">
        <v>45458</v>
      </c>
      <c r="M1390" s="3">
        <v>0.31666666666666665</v>
      </c>
      <c r="N1390" s="19" t="s">
        <v>4050</v>
      </c>
    </row>
    <row r="1391" spans="1:14" ht="100.8" hidden="1" x14ac:dyDescent="0.3">
      <c r="A1391" s="47">
        <f t="shared" si="63"/>
        <v>2024</v>
      </c>
      <c r="B1391" s="46">
        <f t="shared" si="64"/>
        <v>19</v>
      </c>
      <c r="C1391" s="46">
        <f t="shared" si="65"/>
        <v>24</v>
      </c>
      <c r="E1391" s="1" t="s">
        <v>4041</v>
      </c>
      <c r="F1391" s="19" t="s">
        <v>4052</v>
      </c>
      <c r="G1391" s="1" t="s">
        <v>900</v>
      </c>
      <c r="H1391" s="1" t="s">
        <v>2520</v>
      </c>
      <c r="I1391" s="262">
        <v>45422</v>
      </c>
      <c r="J1391" s="3">
        <v>0.7055555555555556</v>
      </c>
      <c r="K1391" s="1" t="s">
        <v>88</v>
      </c>
      <c r="L1391" s="2">
        <v>45458</v>
      </c>
      <c r="M1391" s="3">
        <v>0.3527777777777778</v>
      </c>
      <c r="N1391" s="19" t="s">
        <v>4053</v>
      </c>
    </row>
    <row r="1392" spans="1:14" ht="126.6" hidden="1" customHeight="1" x14ac:dyDescent="0.3">
      <c r="A1392" s="47">
        <f t="shared" si="63"/>
        <v>2024</v>
      </c>
      <c r="B1392" s="46">
        <f t="shared" si="64"/>
        <v>23</v>
      </c>
      <c r="C1392" s="46">
        <f t="shared" si="65"/>
        <v>24</v>
      </c>
      <c r="E1392" s="38" t="s">
        <v>3998</v>
      </c>
      <c r="F1392" s="19" t="s">
        <v>4055</v>
      </c>
      <c r="G1392" s="1" t="s">
        <v>10</v>
      </c>
      <c r="H1392" s="1" t="s">
        <v>2520</v>
      </c>
      <c r="I1392" s="262">
        <v>45450</v>
      </c>
      <c r="J1392" s="3">
        <v>0.50694444444444442</v>
      </c>
      <c r="K1392" s="1" t="s">
        <v>88</v>
      </c>
      <c r="L1392" s="2">
        <v>45458</v>
      </c>
      <c r="M1392" s="3">
        <v>0.36319444444444443</v>
      </c>
      <c r="N1392" s="19" t="s">
        <v>4054</v>
      </c>
    </row>
    <row r="1393" spans="1:14" ht="216" hidden="1" x14ac:dyDescent="0.3">
      <c r="A1393" s="47">
        <f t="shared" si="63"/>
        <v>2024</v>
      </c>
      <c r="B1393" s="46">
        <f t="shared" si="64"/>
        <v>17</v>
      </c>
      <c r="C1393" s="46">
        <f t="shared" si="65"/>
        <v>24</v>
      </c>
      <c r="E1393" s="19" t="s">
        <v>4043</v>
      </c>
      <c r="F1393" s="19" t="s">
        <v>4057</v>
      </c>
      <c r="G1393" s="1" t="s">
        <v>900</v>
      </c>
      <c r="H1393" s="1" t="s">
        <v>2520</v>
      </c>
      <c r="I1393" s="262">
        <v>45405</v>
      </c>
      <c r="J1393" s="3">
        <v>0.47152777777777777</v>
      </c>
      <c r="K1393" s="1" t="s">
        <v>88</v>
      </c>
      <c r="L1393" s="2">
        <v>45458</v>
      </c>
      <c r="M1393" s="3">
        <v>0.43194444444444446</v>
      </c>
      <c r="N1393" s="19" t="s">
        <v>4056</v>
      </c>
    </row>
    <row r="1394" spans="1:14" ht="115.2" hidden="1" x14ac:dyDescent="0.3">
      <c r="A1394" s="47">
        <f t="shared" si="63"/>
        <v>2024</v>
      </c>
      <c r="B1394" s="46">
        <f t="shared" si="64"/>
        <v>19</v>
      </c>
      <c r="C1394" s="46">
        <f t="shared" si="65"/>
        <v>24</v>
      </c>
      <c r="E1394" s="1" t="s">
        <v>4006</v>
      </c>
      <c r="F1394" s="19" t="s">
        <v>4051</v>
      </c>
      <c r="G1394" s="1" t="s">
        <v>10</v>
      </c>
      <c r="H1394" s="1" t="s">
        <v>2520</v>
      </c>
      <c r="I1394" s="262">
        <v>45420</v>
      </c>
      <c r="J1394" s="3">
        <v>0.67361111111111116</v>
      </c>
      <c r="K1394" s="1" t="s">
        <v>88</v>
      </c>
      <c r="L1394" s="2">
        <v>45458</v>
      </c>
      <c r="M1394" s="3">
        <v>0.43958333333333338</v>
      </c>
      <c r="N1394" s="19" t="s">
        <v>4058</v>
      </c>
    </row>
    <row r="1395" spans="1:14" ht="100.8" hidden="1" x14ac:dyDescent="0.3">
      <c r="A1395" s="47">
        <f t="shared" si="63"/>
        <v>2024</v>
      </c>
      <c r="B1395" s="46">
        <f t="shared" si="64"/>
        <v>19</v>
      </c>
      <c r="C1395" s="46">
        <f t="shared" si="65"/>
        <v>24</v>
      </c>
      <c r="E1395" s="1" t="s">
        <v>4008</v>
      </c>
      <c r="F1395" s="19" t="s">
        <v>4059</v>
      </c>
      <c r="G1395" s="1" t="s">
        <v>10</v>
      </c>
      <c r="H1395" s="1" t="s">
        <v>2520</v>
      </c>
      <c r="I1395" s="262">
        <v>45420</v>
      </c>
      <c r="J1395" s="3">
        <v>0.66041666666666665</v>
      </c>
      <c r="K1395" s="1" t="s">
        <v>88</v>
      </c>
      <c r="L1395" s="2">
        <v>45458</v>
      </c>
      <c r="M1395" s="3">
        <v>0.45</v>
      </c>
      <c r="N1395" s="19" t="s">
        <v>4058</v>
      </c>
    </row>
    <row r="1396" spans="1:14" ht="129.6" hidden="1" x14ac:dyDescent="0.3">
      <c r="A1396" s="47">
        <f t="shared" si="63"/>
        <v>2024</v>
      </c>
      <c r="B1396" s="46">
        <f t="shared" si="64"/>
        <v>19</v>
      </c>
      <c r="C1396" s="46">
        <f t="shared" si="65"/>
        <v>24</v>
      </c>
      <c r="E1396" s="1" t="s">
        <v>4019</v>
      </c>
      <c r="F1396" s="19" t="s">
        <v>4060</v>
      </c>
      <c r="G1396" s="1" t="s">
        <v>10</v>
      </c>
      <c r="H1396" s="1" t="s">
        <v>2520</v>
      </c>
      <c r="I1396" s="262">
        <v>45419</v>
      </c>
      <c r="J1396" s="3">
        <v>0.78333333333333333</v>
      </c>
      <c r="K1396" s="1" t="s">
        <v>88</v>
      </c>
      <c r="L1396" s="2">
        <v>45458</v>
      </c>
      <c r="M1396" s="3">
        <v>0.45347222222222222</v>
      </c>
      <c r="N1396" s="19" t="s">
        <v>1888</v>
      </c>
    </row>
    <row r="1397" spans="1:14" ht="129.6" hidden="1" x14ac:dyDescent="0.3">
      <c r="A1397" s="47">
        <f t="shared" si="63"/>
        <v>2024</v>
      </c>
      <c r="B1397" s="46">
        <f t="shared" si="64"/>
        <v>19</v>
      </c>
      <c r="C1397" s="46">
        <f t="shared" si="65"/>
        <v>24</v>
      </c>
      <c r="E1397" s="1" t="s">
        <v>4062</v>
      </c>
      <c r="F1397" s="19" t="s">
        <v>4060</v>
      </c>
      <c r="G1397" s="1" t="s">
        <v>10</v>
      </c>
      <c r="H1397" s="1" t="s">
        <v>2520</v>
      </c>
      <c r="I1397" s="262">
        <v>45419</v>
      </c>
      <c r="J1397" s="3">
        <v>0.70000000000000007</v>
      </c>
      <c r="K1397" s="1" t="s">
        <v>88</v>
      </c>
      <c r="L1397" s="2">
        <v>45458</v>
      </c>
      <c r="M1397" s="3">
        <v>0.45555555555555555</v>
      </c>
      <c r="N1397" s="19" t="s">
        <v>4061</v>
      </c>
    </row>
    <row r="1398" spans="1:14" ht="115.2" hidden="1" x14ac:dyDescent="0.3">
      <c r="A1398" s="47">
        <f t="shared" si="63"/>
        <v>2024</v>
      </c>
      <c r="B1398" s="46">
        <f t="shared" si="64"/>
        <v>19</v>
      </c>
      <c r="C1398" s="46">
        <f t="shared" si="65"/>
        <v>24</v>
      </c>
      <c r="E1398" s="1" t="s">
        <v>4025</v>
      </c>
      <c r="F1398" s="19" t="s">
        <v>4063</v>
      </c>
      <c r="G1398" s="1" t="s">
        <v>10</v>
      </c>
      <c r="H1398" s="1" t="s">
        <v>2520</v>
      </c>
      <c r="I1398" s="262">
        <v>45419</v>
      </c>
      <c r="J1398" s="3">
        <v>0.69513888888888886</v>
      </c>
      <c r="K1398" s="1" t="s">
        <v>88</v>
      </c>
      <c r="L1398" s="2">
        <v>45458</v>
      </c>
      <c r="M1398" s="3">
        <v>0.45763888888888887</v>
      </c>
      <c r="N1398" s="19" t="s">
        <v>4061</v>
      </c>
    </row>
    <row r="1399" spans="1:14" ht="148.5" hidden="1" customHeight="1" x14ac:dyDescent="0.3">
      <c r="A1399" s="47">
        <f t="shared" si="63"/>
        <v>2024</v>
      </c>
      <c r="B1399" s="46">
        <f t="shared" si="64"/>
        <v>19</v>
      </c>
      <c r="C1399" s="46">
        <f t="shared" si="65"/>
        <v>24</v>
      </c>
      <c r="E1399" s="1" t="s">
        <v>4021</v>
      </c>
      <c r="F1399" s="19" t="s">
        <v>4065</v>
      </c>
      <c r="G1399" s="1" t="s">
        <v>10</v>
      </c>
      <c r="H1399" s="1" t="s">
        <v>2520</v>
      </c>
      <c r="I1399" s="262">
        <v>45419</v>
      </c>
      <c r="J1399" s="3">
        <v>0.64930555555555558</v>
      </c>
      <c r="K1399" s="1" t="s">
        <v>88</v>
      </c>
      <c r="L1399" s="2">
        <v>45458</v>
      </c>
      <c r="M1399" s="3">
        <v>0.46249999999999997</v>
      </c>
      <c r="N1399" s="19" t="s">
        <v>4064</v>
      </c>
    </row>
    <row r="1400" spans="1:14" ht="115.2" hidden="1" x14ac:dyDescent="0.3">
      <c r="A1400" s="47">
        <f t="shared" si="63"/>
        <v>2024</v>
      </c>
      <c r="B1400" s="46">
        <f t="shared" si="64"/>
        <v>21</v>
      </c>
      <c r="C1400" s="46">
        <f t="shared" si="65"/>
        <v>24</v>
      </c>
      <c r="E1400" s="1" t="s">
        <v>4016</v>
      </c>
      <c r="F1400" s="19" t="s">
        <v>4067</v>
      </c>
      <c r="G1400" s="1" t="s">
        <v>10</v>
      </c>
      <c r="H1400" s="1" t="s">
        <v>2520</v>
      </c>
      <c r="I1400" s="262">
        <v>45433</v>
      </c>
      <c r="J1400" s="3">
        <v>0.63194444444444442</v>
      </c>
      <c r="K1400" s="1" t="s">
        <v>88</v>
      </c>
      <c r="L1400" s="2">
        <v>45458</v>
      </c>
      <c r="M1400" s="3">
        <v>0.51458333333333328</v>
      </c>
      <c r="N1400" s="19" t="s">
        <v>4066</v>
      </c>
    </row>
    <row r="1401" spans="1:14" ht="121.05" hidden="1" customHeight="1" x14ac:dyDescent="0.3">
      <c r="A1401" s="47">
        <f t="shared" si="63"/>
        <v>2024</v>
      </c>
      <c r="B1401" s="46">
        <f t="shared" si="64"/>
        <v>21</v>
      </c>
      <c r="C1401" s="46">
        <f t="shared" si="65"/>
        <v>24</v>
      </c>
      <c r="E1401" s="1" t="s">
        <v>4026</v>
      </c>
      <c r="F1401" s="19" t="s">
        <v>4068</v>
      </c>
      <c r="G1401" s="1" t="s">
        <v>10</v>
      </c>
      <c r="H1401" s="1" t="s">
        <v>2520</v>
      </c>
      <c r="I1401" s="262">
        <v>45435</v>
      </c>
      <c r="J1401" s="3">
        <v>0.37638888888888888</v>
      </c>
      <c r="K1401" s="1" t="s">
        <v>88</v>
      </c>
      <c r="L1401" s="2">
        <v>45458</v>
      </c>
      <c r="M1401" s="3">
        <v>0.52083333333333337</v>
      </c>
      <c r="N1401" s="19" t="s">
        <v>4066</v>
      </c>
    </row>
    <row r="1402" spans="1:14" ht="115.2" hidden="1" x14ac:dyDescent="0.3">
      <c r="A1402" s="47">
        <f t="shared" si="63"/>
        <v>2024</v>
      </c>
      <c r="B1402" s="46">
        <f t="shared" si="64"/>
        <v>20</v>
      </c>
      <c r="C1402" s="46">
        <f t="shared" si="65"/>
        <v>24</v>
      </c>
      <c r="E1402" s="1" t="s">
        <v>4027</v>
      </c>
      <c r="F1402" s="19" t="s">
        <v>4070</v>
      </c>
      <c r="G1402" s="1" t="s">
        <v>10</v>
      </c>
      <c r="H1402" s="1" t="s">
        <v>2520</v>
      </c>
      <c r="I1402" s="262">
        <v>45425</v>
      </c>
      <c r="J1402" s="3">
        <v>0.46527777777777773</v>
      </c>
      <c r="K1402" s="1" t="s">
        <v>88</v>
      </c>
      <c r="L1402" s="2">
        <v>45458</v>
      </c>
      <c r="M1402" s="3">
        <v>0.5395833333333333</v>
      </c>
      <c r="N1402" s="19" t="s">
        <v>4069</v>
      </c>
    </row>
    <row r="1403" spans="1:14" ht="86.4" hidden="1" x14ac:dyDescent="0.3">
      <c r="A1403" s="47">
        <f t="shared" si="63"/>
        <v>2024</v>
      </c>
      <c r="B1403" s="46">
        <f t="shared" si="64"/>
        <v>9</v>
      </c>
      <c r="C1403" s="46">
        <f t="shared" si="65"/>
        <v>14</v>
      </c>
      <c r="E1403" s="38" t="s">
        <v>4071</v>
      </c>
      <c r="F1403" s="19" t="s">
        <v>4072</v>
      </c>
      <c r="G1403" s="1" t="s">
        <v>10</v>
      </c>
      <c r="H1403" s="1" t="s">
        <v>2520</v>
      </c>
      <c r="I1403" s="262">
        <v>45349</v>
      </c>
      <c r="J1403" s="3">
        <v>0.51597222222222217</v>
      </c>
      <c r="K1403" s="1" t="s">
        <v>73</v>
      </c>
      <c r="L1403" s="2">
        <v>45384</v>
      </c>
      <c r="M1403" s="3">
        <v>0.47986111111111113</v>
      </c>
      <c r="N1403" s="19" t="s">
        <v>4076</v>
      </c>
    </row>
    <row r="1404" spans="1:14" ht="72" hidden="1" x14ac:dyDescent="0.3">
      <c r="A1404" s="47">
        <f t="shared" si="63"/>
        <v>2024</v>
      </c>
      <c r="B1404" s="46">
        <f t="shared" si="64"/>
        <v>9</v>
      </c>
      <c r="C1404" s="46">
        <f t="shared" si="65"/>
        <v>14</v>
      </c>
      <c r="E1404" s="1" t="s">
        <v>4073</v>
      </c>
      <c r="F1404" s="19" t="s">
        <v>4074</v>
      </c>
      <c r="G1404" s="1" t="s">
        <v>10</v>
      </c>
      <c r="H1404" s="1" t="s">
        <v>2520</v>
      </c>
      <c r="I1404" s="262">
        <v>45349</v>
      </c>
      <c r="J1404" s="3">
        <v>0.50902777777777775</v>
      </c>
      <c r="K1404" s="1" t="s">
        <v>73</v>
      </c>
      <c r="L1404" s="2">
        <v>45384</v>
      </c>
      <c r="M1404" s="3">
        <v>0.46875</v>
      </c>
      <c r="N1404" s="19" t="s">
        <v>4075</v>
      </c>
    </row>
    <row r="1405" spans="1:14" ht="100.8" hidden="1" x14ac:dyDescent="0.3">
      <c r="A1405" s="47">
        <f t="shared" si="63"/>
        <v>2024</v>
      </c>
      <c r="B1405" s="46">
        <f t="shared" si="64"/>
        <v>19</v>
      </c>
      <c r="C1405" s="46">
        <f t="shared" si="65"/>
        <v>24</v>
      </c>
      <c r="E1405" s="38" t="s">
        <v>4003</v>
      </c>
      <c r="F1405" s="19" t="s">
        <v>4077</v>
      </c>
      <c r="G1405" s="1" t="s">
        <v>10</v>
      </c>
      <c r="H1405" s="1" t="s">
        <v>2520</v>
      </c>
      <c r="I1405" s="262">
        <v>45418</v>
      </c>
      <c r="J1405" s="3">
        <v>0.38125000000000003</v>
      </c>
      <c r="K1405" s="1" t="s">
        <v>88</v>
      </c>
      <c r="L1405" s="2">
        <v>45458</v>
      </c>
      <c r="M1405" s="3">
        <v>0.55069444444444449</v>
      </c>
      <c r="N1405" s="19" t="s">
        <v>4078</v>
      </c>
    </row>
    <row r="1406" spans="1:14" ht="144" hidden="1" x14ac:dyDescent="0.3">
      <c r="A1406" s="47">
        <f t="shared" si="63"/>
        <v>2024</v>
      </c>
      <c r="B1406" s="46">
        <f t="shared" si="64"/>
        <v>17</v>
      </c>
      <c r="C1406" s="46">
        <f t="shared" si="65"/>
        <v>24</v>
      </c>
      <c r="E1406" s="1" t="s">
        <v>4010</v>
      </c>
      <c r="F1406" s="19" t="s">
        <v>4080</v>
      </c>
      <c r="G1406" s="1" t="s">
        <v>10</v>
      </c>
      <c r="H1406" s="1" t="s">
        <v>2520</v>
      </c>
      <c r="I1406" s="262">
        <v>45405</v>
      </c>
      <c r="J1406" s="3">
        <v>0.46458333333333335</v>
      </c>
      <c r="K1406" s="1" t="s">
        <v>88</v>
      </c>
      <c r="L1406" s="2">
        <v>45458</v>
      </c>
      <c r="M1406" s="3">
        <v>0.55069444444444449</v>
      </c>
      <c r="N1406" s="19" t="s">
        <v>4079</v>
      </c>
    </row>
    <row r="1407" spans="1:14" ht="115.2" hidden="1" x14ac:dyDescent="0.3">
      <c r="A1407" s="47">
        <f t="shared" si="63"/>
        <v>2024</v>
      </c>
      <c r="B1407" s="46">
        <f t="shared" si="64"/>
        <v>20</v>
      </c>
      <c r="C1407" s="46">
        <f t="shared" si="65"/>
        <v>24</v>
      </c>
      <c r="E1407" s="1" t="s">
        <v>4081</v>
      </c>
      <c r="F1407" s="19" t="s">
        <v>4070</v>
      </c>
      <c r="G1407" s="1" t="s">
        <v>10</v>
      </c>
      <c r="H1407" s="1" t="s">
        <v>2520</v>
      </c>
      <c r="I1407" s="262">
        <v>45425</v>
      </c>
      <c r="J1407" s="3">
        <v>0.58750000000000002</v>
      </c>
      <c r="K1407" s="1" t="s">
        <v>88</v>
      </c>
      <c r="L1407" s="2">
        <v>45458</v>
      </c>
      <c r="M1407" s="3">
        <v>0.56597222222222221</v>
      </c>
      <c r="N1407" s="19" t="s">
        <v>4082</v>
      </c>
    </row>
    <row r="1408" spans="1:14" ht="129.6" hidden="1" x14ac:dyDescent="0.3">
      <c r="A1408" s="47">
        <f t="shared" si="63"/>
        <v>2024</v>
      </c>
      <c r="B1408" s="46">
        <f t="shared" si="64"/>
        <v>20</v>
      </c>
      <c r="C1408" s="46">
        <f t="shared" si="65"/>
        <v>24</v>
      </c>
      <c r="E1408" s="21" t="s">
        <v>4023</v>
      </c>
      <c r="F1408" s="19" t="s">
        <v>4083</v>
      </c>
      <c r="G1408" s="1" t="s">
        <v>10</v>
      </c>
      <c r="H1408" s="1" t="s">
        <v>2520</v>
      </c>
      <c r="I1408" s="262">
        <v>45425</v>
      </c>
      <c r="J1408" s="3">
        <v>0.60069444444444442</v>
      </c>
      <c r="K1408" s="1" t="s">
        <v>88</v>
      </c>
      <c r="L1408" s="2">
        <v>45458</v>
      </c>
      <c r="M1408" s="3">
        <v>0.57777777777777783</v>
      </c>
      <c r="N1408" s="19" t="s">
        <v>4084</v>
      </c>
    </row>
    <row r="1409" spans="1:14" ht="86.4" hidden="1" x14ac:dyDescent="0.3">
      <c r="A1409" s="47">
        <f t="shared" si="63"/>
        <v>2024</v>
      </c>
      <c r="B1409" s="46">
        <f t="shared" si="64"/>
        <v>20</v>
      </c>
      <c r="C1409" s="46">
        <f t="shared" si="65"/>
        <v>24</v>
      </c>
      <c r="E1409" s="1" t="s">
        <v>4085</v>
      </c>
      <c r="F1409" s="19" t="s">
        <v>4086</v>
      </c>
      <c r="G1409" s="1" t="s">
        <v>900</v>
      </c>
      <c r="H1409" s="1" t="s">
        <v>2520</v>
      </c>
      <c r="I1409" s="262">
        <v>45428</v>
      </c>
      <c r="J1409" s="3">
        <v>0.69930555555555562</v>
      </c>
      <c r="K1409" s="1" t="s">
        <v>88</v>
      </c>
      <c r="L1409" s="2">
        <v>45458</v>
      </c>
      <c r="M1409" s="3">
        <v>0.59305555555555556</v>
      </c>
      <c r="N1409" s="19" t="s">
        <v>4066</v>
      </c>
    </row>
    <row r="1410" spans="1:14" ht="129.6" hidden="1" x14ac:dyDescent="0.3">
      <c r="A1410" s="47">
        <f t="shared" si="63"/>
        <v>2024</v>
      </c>
      <c r="B1410" s="46">
        <f t="shared" si="64"/>
        <v>19</v>
      </c>
      <c r="C1410" s="46">
        <f t="shared" si="65"/>
        <v>24</v>
      </c>
      <c r="E1410" s="1" t="s">
        <v>4020</v>
      </c>
      <c r="F1410" s="19" t="s">
        <v>4087</v>
      </c>
      <c r="G1410" s="1" t="s">
        <v>10</v>
      </c>
      <c r="H1410" s="1" t="s">
        <v>2520</v>
      </c>
      <c r="I1410" s="262">
        <v>45419</v>
      </c>
      <c r="J1410" s="3">
        <v>0.69791666666666663</v>
      </c>
      <c r="K1410" s="1" t="s">
        <v>88</v>
      </c>
      <c r="L1410" s="2">
        <v>45458</v>
      </c>
      <c r="M1410" s="3">
        <v>0.59861111111111109</v>
      </c>
      <c r="N1410" s="19" t="s">
        <v>4088</v>
      </c>
    </row>
    <row r="1411" spans="1:14" ht="100.8" hidden="1" x14ac:dyDescent="0.3">
      <c r="A1411" s="47">
        <f t="shared" ref="A1411:A1473" si="66">YEAR(L1411)</f>
        <v>2024</v>
      </c>
      <c r="B1411" s="46">
        <f t="shared" ref="B1411:B1473" si="67">WEEKNUM(I1411)</f>
        <v>19</v>
      </c>
      <c r="C1411" s="46">
        <f t="shared" ref="C1411:C1473" si="68">WEEKNUM(L1411)</f>
        <v>24</v>
      </c>
      <c r="E1411" s="19" t="s">
        <v>4013</v>
      </c>
      <c r="F1411" s="19" t="s">
        <v>4090</v>
      </c>
      <c r="G1411" s="1" t="s">
        <v>10</v>
      </c>
      <c r="H1411" s="1" t="s">
        <v>2520</v>
      </c>
      <c r="I1411" s="262">
        <v>45419</v>
      </c>
      <c r="J1411" s="3">
        <v>0.71111111111111114</v>
      </c>
      <c r="K1411" s="1" t="s">
        <v>88</v>
      </c>
      <c r="L1411" s="2">
        <v>45458</v>
      </c>
      <c r="M1411" s="3">
        <v>0.60555555555555551</v>
      </c>
      <c r="N1411" s="19" t="s">
        <v>4089</v>
      </c>
    </row>
    <row r="1412" spans="1:14" ht="100.8" hidden="1" x14ac:dyDescent="0.3">
      <c r="A1412" s="47">
        <f t="shared" si="66"/>
        <v>2024</v>
      </c>
      <c r="B1412" s="46">
        <f t="shared" si="67"/>
        <v>19</v>
      </c>
      <c r="C1412" s="46">
        <f t="shared" si="68"/>
        <v>24</v>
      </c>
      <c r="E1412" s="1" t="s">
        <v>4012</v>
      </c>
      <c r="F1412" s="19" t="s">
        <v>4092</v>
      </c>
      <c r="G1412" s="1" t="s">
        <v>10</v>
      </c>
      <c r="H1412" s="1" t="s">
        <v>2520</v>
      </c>
      <c r="I1412" s="262">
        <v>45419</v>
      </c>
      <c r="J1412" s="3">
        <v>0.71388888888888891</v>
      </c>
      <c r="K1412" s="1" t="s">
        <v>88</v>
      </c>
      <c r="L1412" s="2">
        <v>45458</v>
      </c>
      <c r="M1412" s="3">
        <v>0.60902777777777783</v>
      </c>
      <c r="N1412" s="19" t="s">
        <v>4091</v>
      </c>
    </row>
    <row r="1413" spans="1:14" ht="100.8" hidden="1" x14ac:dyDescent="0.3">
      <c r="A1413" s="47">
        <f t="shared" si="66"/>
        <v>2024</v>
      </c>
      <c r="B1413" s="46">
        <f t="shared" si="67"/>
        <v>19</v>
      </c>
      <c r="C1413" s="46">
        <f t="shared" si="68"/>
        <v>24</v>
      </c>
      <c r="E1413" s="21" t="s">
        <v>4011</v>
      </c>
      <c r="F1413" s="19" t="s">
        <v>4092</v>
      </c>
      <c r="G1413" s="1" t="s">
        <v>10</v>
      </c>
      <c r="H1413" s="1" t="s">
        <v>2520</v>
      </c>
      <c r="I1413" s="262">
        <v>45420</v>
      </c>
      <c r="J1413" s="3">
        <v>0.66319444444444442</v>
      </c>
      <c r="K1413" s="1" t="s">
        <v>88</v>
      </c>
      <c r="L1413" s="2">
        <v>45458</v>
      </c>
      <c r="M1413" s="3">
        <v>0.61319444444444449</v>
      </c>
      <c r="N1413" s="19" t="s">
        <v>4093</v>
      </c>
    </row>
    <row r="1414" spans="1:14" ht="115.2" hidden="1" x14ac:dyDescent="0.3">
      <c r="A1414" s="47">
        <f t="shared" si="66"/>
        <v>2024</v>
      </c>
      <c r="B1414" s="46">
        <f t="shared" si="67"/>
        <v>19</v>
      </c>
      <c r="C1414" s="46">
        <f t="shared" si="68"/>
        <v>24</v>
      </c>
      <c r="E1414" s="38" t="s">
        <v>4007</v>
      </c>
      <c r="F1414" s="19" t="s">
        <v>4094</v>
      </c>
      <c r="G1414" s="1" t="s">
        <v>10</v>
      </c>
      <c r="H1414" s="1" t="s">
        <v>2520</v>
      </c>
      <c r="I1414" s="262">
        <v>45420</v>
      </c>
      <c r="J1414" s="3">
        <v>0.68055555555555547</v>
      </c>
      <c r="K1414" s="1" t="s">
        <v>88</v>
      </c>
      <c r="L1414" s="2">
        <v>45458</v>
      </c>
      <c r="M1414" s="3">
        <v>0.6166666666666667</v>
      </c>
      <c r="N1414" s="19" t="s">
        <v>4095</v>
      </c>
    </row>
    <row r="1415" spans="1:14" ht="100.8" hidden="1" x14ac:dyDescent="0.3">
      <c r="A1415" s="47">
        <f t="shared" si="66"/>
        <v>2024</v>
      </c>
      <c r="B1415" s="46">
        <f t="shared" si="67"/>
        <v>19</v>
      </c>
      <c r="C1415" s="46">
        <f t="shared" si="68"/>
        <v>24</v>
      </c>
      <c r="E1415" s="272" t="s">
        <v>4005</v>
      </c>
      <c r="F1415" s="19" t="s">
        <v>4097</v>
      </c>
      <c r="G1415" s="1" t="s">
        <v>10</v>
      </c>
      <c r="H1415" s="1" t="s">
        <v>2520</v>
      </c>
      <c r="I1415" s="262">
        <v>45420</v>
      </c>
      <c r="K1415" s="1" t="s">
        <v>88</v>
      </c>
      <c r="L1415" s="2">
        <v>45458</v>
      </c>
      <c r="M1415" s="3">
        <v>0.62430555555555556</v>
      </c>
      <c r="N1415" s="19" t="s">
        <v>4096</v>
      </c>
    </row>
    <row r="1416" spans="1:14" ht="100.8" hidden="1" x14ac:dyDescent="0.3">
      <c r="A1416" s="47">
        <f t="shared" si="66"/>
        <v>2024</v>
      </c>
      <c r="B1416" s="46">
        <f t="shared" si="67"/>
        <v>23</v>
      </c>
      <c r="C1416" s="46">
        <f t="shared" si="68"/>
        <v>24</v>
      </c>
      <c r="E1416" s="1" t="s">
        <v>4031</v>
      </c>
      <c r="F1416" s="19" t="s">
        <v>4099</v>
      </c>
      <c r="G1416" s="1" t="s">
        <v>10</v>
      </c>
      <c r="H1416" s="1" t="s">
        <v>2520</v>
      </c>
      <c r="I1416" s="262">
        <v>45448</v>
      </c>
      <c r="J1416" s="3">
        <v>0.66666666666666663</v>
      </c>
      <c r="K1416" s="1" t="s">
        <v>88</v>
      </c>
      <c r="L1416" s="2">
        <v>45458</v>
      </c>
      <c r="M1416" s="3">
        <v>0.63194444444444442</v>
      </c>
      <c r="N1416" s="19" t="s">
        <v>4098</v>
      </c>
    </row>
    <row r="1417" spans="1:14" ht="86.4" hidden="1" x14ac:dyDescent="0.3">
      <c r="A1417" s="47">
        <f t="shared" si="66"/>
        <v>2024</v>
      </c>
      <c r="B1417" s="46">
        <f t="shared" si="67"/>
        <v>24</v>
      </c>
      <c r="C1417" s="46">
        <f t="shared" si="68"/>
        <v>24</v>
      </c>
      <c r="E1417" s="1" t="s">
        <v>4036</v>
      </c>
      <c r="F1417" s="19" t="s">
        <v>4101</v>
      </c>
      <c r="G1417" s="1" t="s">
        <v>10</v>
      </c>
      <c r="H1417" s="1" t="s">
        <v>2520</v>
      </c>
      <c r="I1417" s="262">
        <v>45457</v>
      </c>
      <c r="J1417" s="3">
        <v>0.56736111111111109</v>
      </c>
      <c r="K1417" s="1" t="s">
        <v>88</v>
      </c>
      <c r="L1417" s="2">
        <v>45458</v>
      </c>
      <c r="M1417" s="3">
        <v>0.63611111111111118</v>
      </c>
      <c r="N1417" s="19" t="s">
        <v>4100</v>
      </c>
    </row>
    <row r="1418" spans="1:14" ht="100.8" hidden="1" x14ac:dyDescent="0.3">
      <c r="A1418" s="47">
        <f t="shared" si="66"/>
        <v>2024</v>
      </c>
      <c r="B1418" s="46">
        <f t="shared" si="67"/>
        <v>20</v>
      </c>
      <c r="C1418" s="46">
        <f t="shared" si="68"/>
        <v>25</v>
      </c>
      <c r="E1418" s="38" t="s">
        <v>4009</v>
      </c>
      <c r="F1418" s="19" t="s">
        <v>4103</v>
      </c>
      <c r="G1418" s="1" t="s">
        <v>10</v>
      </c>
      <c r="H1418" s="1" t="s">
        <v>2520</v>
      </c>
      <c r="I1418" s="2">
        <v>45427</v>
      </c>
      <c r="J1418" s="3">
        <v>0.60277777777777775</v>
      </c>
      <c r="K1418" s="1" t="s">
        <v>88</v>
      </c>
      <c r="L1418" s="2">
        <v>45460</v>
      </c>
      <c r="M1418" s="3">
        <v>0.4465277777777778</v>
      </c>
      <c r="N1418" s="19" t="s">
        <v>4102</v>
      </c>
    </row>
    <row r="1419" spans="1:14" ht="86.4" hidden="1" x14ac:dyDescent="0.3">
      <c r="A1419" s="47">
        <f t="shared" si="66"/>
        <v>2024</v>
      </c>
      <c r="B1419" s="46">
        <f t="shared" si="67"/>
        <v>20</v>
      </c>
      <c r="C1419" s="46">
        <f t="shared" si="68"/>
        <v>25</v>
      </c>
      <c r="E1419" s="296" t="s">
        <v>4105</v>
      </c>
      <c r="F1419" s="19" t="s">
        <v>4106</v>
      </c>
      <c r="G1419" s="1" t="s">
        <v>10</v>
      </c>
      <c r="H1419" s="1" t="s">
        <v>2520</v>
      </c>
      <c r="I1419" s="2">
        <v>45425</v>
      </c>
      <c r="J1419" s="3">
        <v>0.39305555555555555</v>
      </c>
      <c r="K1419" s="1" t="s">
        <v>88</v>
      </c>
      <c r="L1419" s="2">
        <v>45460</v>
      </c>
      <c r="M1419" s="3">
        <v>0.48194444444444445</v>
      </c>
      <c r="N1419" s="19" t="s">
        <v>4104</v>
      </c>
    </row>
    <row r="1420" spans="1:14" ht="115.2" hidden="1" x14ac:dyDescent="0.3">
      <c r="A1420" s="47">
        <f t="shared" si="66"/>
        <v>2024</v>
      </c>
      <c r="B1420" s="46">
        <f t="shared" si="67"/>
        <v>22</v>
      </c>
      <c r="C1420" s="46">
        <f t="shared" si="68"/>
        <v>25</v>
      </c>
      <c r="E1420" s="38" t="s">
        <v>4014</v>
      </c>
      <c r="F1420" s="19" t="s">
        <v>4108</v>
      </c>
      <c r="G1420" s="1" t="s">
        <v>10</v>
      </c>
      <c r="H1420" s="1" t="s">
        <v>2520</v>
      </c>
      <c r="I1420" s="2">
        <v>45439</v>
      </c>
      <c r="J1420" s="3">
        <v>0.40208333333333335</v>
      </c>
      <c r="K1420" s="1" t="s">
        <v>88</v>
      </c>
      <c r="L1420" s="2">
        <v>45460</v>
      </c>
      <c r="M1420" s="3">
        <v>0.55277777777777781</v>
      </c>
      <c r="N1420" s="19" t="s">
        <v>4107</v>
      </c>
    </row>
    <row r="1421" spans="1:14" ht="86.4" hidden="1" x14ac:dyDescent="0.3">
      <c r="A1421" s="47">
        <f t="shared" si="66"/>
        <v>2024</v>
      </c>
      <c r="B1421" s="46">
        <f t="shared" si="67"/>
        <v>21</v>
      </c>
      <c r="C1421" s="46">
        <f t="shared" si="68"/>
        <v>25</v>
      </c>
      <c r="E1421" s="1" t="s">
        <v>4111</v>
      </c>
      <c r="F1421" s="19" t="s">
        <v>4112</v>
      </c>
      <c r="G1421" s="1" t="s">
        <v>10</v>
      </c>
      <c r="H1421" s="1" t="s">
        <v>2520</v>
      </c>
      <c r="I1421" s="262">
        <v>45433</v>
      </c>
      <c r="J1421" s="3">
        <v>0.58958333333333335</v>
      </c>
      <c r="K1421" s="1" t="s">
        <v>88</v>
      </c>
      <c r="L1421" s="2">
        <v>45460</v>
      </c>
      <c r="M1421" s="3">
        <v>0.70347222222222217</v>
      </c>
      <c r="N1421" s="19" t="s">
        <v>4110</v>
      </c>
    </row>
    <row r="1422" spans="1:14" ht="72" hidden="1" x14ac:dyDescent="0.3">
      <c r="A1422" s="47">
        <f t="shared" si="66"/>
        <v>2024</v>
      </c>
      <c r="B1422" s="46">
        <f t="shared" si="67"/>
        <v>8</v>
      </c>
      <c r="C1422" s="46">
        <f t="shared" si="68"/>
        <v>25</v>
      </c>
      <c r="E1422" s="1" t="s">
        <v>4113</v>
      </c>
      <c r="F1422" s="19" t="s">
        <v>4115</v>
      </c>
      <c r="G1422" s="1" t="s">
        <v>10</v>
      </c>
      <c r="H1422" s="1" t="s">
        <v>251</v>
      </c>
      <c r="I1422" s="262">
        <v>45341</v>
      </c>
      <c r="J1422" s="3">
        <v>0.68055555555555547</v>
      </c>
      <c r="K1422" s="1" t="s">
        <v>88</v>
      </c>
      <c r="L1422" s="2">
        <v>45460</v>
      </c>
      <c r="M1422" s="3">
        <v>0.72777777777777775</v>
      </c>
      <c r="N1422" s="19" t="s">
        <v>4114</v>
      </c>
    </row>
    <row r="1423" spans="1:14" ht="100.8" hidden="1" x14ac:dyDescent="0.3">
      <c r="A1423" s="47">
        <f t="shared" si="66"/>
        <v>2024</v>
      </c>
      <c r="B1423" s="46">
        <f t="shared" si="67"/>
        <v>8</v>
      </c>
      <c r="C1423" s="46">
        <f t="shared" si="68"/>
        <v>25</v>
      </c>
      <c r="E1423" s="1" t="s">
        <v>4116</v>
      </c>
      <c r="F1423" s="19" t="s">
        <v>4117</v>
      </c>
      <c r="G1423" s="1" t="s">
        <v>10</v>
      </c>
      <c r="H1423" s="1" t="s">
        <v>251</v>
      </c>
      <c r="I1423" s="262">
        <v>45344</v>
      </c>
      <c r="J1423" s="3">
        <v>0.68055555555555547</v>
      </c>
      <c r="K1423" s="1" t="s">
        <v>88</v>
      </c>
      <c r="L1423" s="2">
        <v>45460</v>
      </c>
      <c r="M1423" s="3">
        <v>0.76944444444444438</v>
      </c>
      <c r="N1423" s="19" t="s">
        <v>4118</v>
      </c>
    </row>
    <row r="1424" spans="1:14" ht="115.2" hidden="1" x14ac:dyDescent="0.3">
      <c r="A1424" s="47">
        <f t="shared" si="66"/>
        <v>2024</v>
      </c>
      <c r="B1424" s="46">
        <f t="shared" si="67"/>
        <v>20</v>
      </c>
      <c r="C1424" s="46">
        <f t="shared" si="68"/>
        <v>25</v>
      </c>
      <c r="E1424" s="1" t="s">
        <v>4121</v>
      </c>
      <c r="F1424" s="19" t="s">
        <v>4120</v>
      </c>
      <c r="G1424" s="1" t="s">
        <v>10</v>
      </c>
      <c r="H1424" s="1" t="s">
        <v>2520</v>
      </c>
      <c r="I1424" s="262">
        <v>45425</v>
      </c>
      <c r="J1424" s="3">
        <v>0.61736111111111114</v>
      </c>
      <c r="K1424" s="1" t="s">
        <v>88</v>
      </c>
      <c r="L1424" s="2">
        <v>45462</v>
      </c>
      <c r="M1424" s="3">
        <v>0.38541666666666669</v>
      </c>
      <c r="N1424" s="19" t="s">
        <v>4119</v>
      </c>
    </row>
    <row r="1425" spans="1:14" ht="72" hidden="1" x14ac:dyDescent="0.3">
      <c r="A1425" s="47">
        <f t="shared" si="66"/>
        <v>2024</v>
      </c>
      <c r="B1425" s="46">
        <f t="shared" si="67"/>
        <v>21</v>
      </c>
      <c r="C1425" s="46">
        <f t="shared" si="68"/>
        <v>25</v>
      </c>
      <c r="E1425" s="1" t="s">
        <v>4028</v>
      </c>
      <c r="F1425" s="19" t="s">
        <v>4123</v>
      </c>
      <c r="G1425" s="1" t="s">
        <v>10</v>
      </c>
      <c r="H1425" s="1" t="s">
        <v>2520</v>
      </c>
      <c r="I1425" s="262">
        <v>45433</v>
      </c>
      <c r="J1425" s="3">
        <v>0.64722222222222225</v>
      </c>
      <c r="K1425" s="1" t="s">
        <v>88</v>
      </c>
      <c r="L1425" s="2">
        <v>45462</v>
      </c>
      <c r="M1425" s="3">
        <v>0.40277777777777773</v>
      </c>
      <c r="N1425" s="19" t="s">
        <v>4122</v>
      </c>
    </row>
    <row r="1426" spans="1:14" ht="144" hidden="1" x14ac:dyDescent="0.3">
      <c r="A1426" s="47">
        <f t="shared" si="66"/>
        <v>2024</v>
      </c>
      <c r="B1426" s="46">
        <f t="shared" si="67"/>
        <v>21</v>
      </c>
      <c r="C1426" s="46">
        <f t="shared" si="68"/>
        <v>25</v>
      </c>
      <c r="E1426" s="1" t="s">
        <v>4032</v>
      </c>
      <c r="F1426" s="19" t="s">
        <v>4124</v>
      </c>
      <c r="G1426" s="1" t="s">
        <v>10</v>
      </c>
      <c r="H1426" s="1" t="s">
        <v>2520</v>
      </c>
      <c r="I1426" s="262">
        <v>45434</v>
      </c>
      <c r="J1426" s="3">
        <v>0.3888888888888889</v>
      </c>
      <c r="K1426" s="1" t="s">
        <v>88</v>
      </c>
      <c r="L1426" s="2">
        <v>45462</v>
      </c>
      <c r="M1426" s="3">
        <v>0.49444444444444446</v>
      </c>
      <c r="N1426" s="19" t="s">
        <v>4125</v>
      </c>
    </row>
    <row r="1427" spans="1:14" ht="100.8" hidden="1" x14ac:dyDescent="0.3">
      <c r="A1427" s="47">
        <f t="shared" si="66"/>
        <v>2024</v>
      </c>
      <c r="B1427" s="46">
        <f t="shared" si="67"/>
        <v>23</v>
      </c>
      <c r="C1427" s="46">
        <f t="shared" si="68"/>
        <v>25</v>
      </c>
      <c r="E1427" s="1" t="s">
        <v>4030</v>
      </c>
      <c r="F1427" s="19" t="s">
        <v>4127</v>
      </c>
      <c r="G1427" s="1" t="s">
        <v>10</v>
      </c>
      <c r="H1427" s="1" t="s">
        <v>2520</v>
      </c>
      <c r="I1427" s="262">
        <v>45446</v>
      </c>
      <c r="J1427" s="3">
        <v>0.57291666666666663</v>
      </c>
      <c r="K1427" s="1" t="s">
        <v>88</v>
      </c>
      <c r="L1427" s="2">
        <v>45462</v>
      </c>
      <c r="M1427" s="3">
        <v>0.50624999999999998</v>
      </c>
      <c r="N1427" s="19" t="s">
        <v>4126</v>
      </c>
    </row>
    <row r="1428" spans="1:14" ht="117.6" hidden="1" customHeight="1" x14ac:dyDescent="0.3">
      <c r="A1428" s="47">
        <f t="shared" si="66"/>
        <v>2024</v>
      </c>
      <c r="B1428" s="46">
        <f t="shared" si="67"/>
        <v>24</v>
      </c>
      <c r="C1428" s="46">
        <f t="shared" si="68"/>
        <v>25</v>
      </c>
      <c r="E1428" s="1" t="s">
        <v>4033</v>
      </c>
      <c r="F1428" s="19" t="s">
        <v>4128</v>
      </c>
      <c r="G1428" s="1" t="s">
        <v>900</v>
      </c>
      <c r="H1428" s="1" t="s">
        <v>2520</v>
      </c>
      <c r="I1428" s="262">
        <v>45454</v>
      </c>
      <c r="J1428" s="3">
        <v>0.69861111111111107</v>
      </c>
      <c r="K1428" s="1" t="s">
        <v>88</v>
      </c>
      <c r="L1428" s="2">
        <v>45464</v>
      </c>
      <c r="M1428" s="3">
        <v>0.33124999999999999</v>
      </c>
      <c r="N1428" s="19" t="s">
        <v>4129</v>
      </c>
    </row>
    <row r="1429" spans="1:14" ht="72" hidden="1" x14ac:dyDescent="0.3">
      <c r="A1429" s="47">
        <f t="shared" si="66"/>
        <v>2024</v>
      </c>
      <c r="B1429" s="46">
        <f t="shared" si="67"/>
        <v>15</v>
      </c>
      <c r="C1429" s="46">
        <f t="shared" si="68"/>
        <v>26</v>
      </c>
      <c r="E1429" s="1" t="s">
        <v>4131</v>
      </c>
      <c r="F1429" s="19" t="s">
        <v>4132</v>
      </c>
      <c r="G1429" s="1" t="s">
        <v>900</v>
      </c>
      <c r="H1429" s="1" t="s">
        <v>2520</v>
      </c>
      <c r="I1429" s="262">
        <v>45393</v>
      </c>
      <c r="J1429" s="3">
        <v>0.6972222222222223</v>
      </c>
      <c r="K1429" s="1" t="s">
        <v>88</v>
      </c>
      <c r="L1429" s="2">
        <v>45472</v>
      </c>
      <c r="M1429" s="3">
        <v>0.33194444444444443</v>
      </c>
      <c r="N1429" s="19" t="s">
        <v>4130</v>
      </c>
    </row>
    <row r="1430" spans="1:14" ht="72" hidden="1" x14ac:dyDescent="0.3">
      <c r="A1430" s="47">
        <f t="shared" si="66"/>
        <v>2024</v>
      </c>
      <c r="B1430" s="46">
        <f t="shared" si="67"/>
        <v>16</v>
      </c>
      <c r="C1430" s="46">
        <f t="shared" si="68"/>
        <v>26</v>
      </c>
      <c r="E1430" s="1" t="s">
        <v>4040</v>
      </c>
      <c r="F1430" s="19" t="s">
        <v>4134</v>
      </c>
      <c r="G1430" s="1" t="s">
        <v>900</v>
      </c>
      <c r="H1430" s="1" t="s">
        <v>2520</v>
      </c>
      <c r="I1430" s="262">
        <v>45401</v>
      </c>
      <c r="J1430" s="3">
        <v>0.64166666666666672</v>
      </c>
      <c r="K1430" s="1" t="s">
        <v>88</v>
      </c>
      <c r="L1430" s="2">
        <v>45472</v>
      </c>
      <c r="M1430" s="3">
        <v>0.3659722222222222</v>
      </c>
      <c r="N1430" s="19" t="s">
        <v>4133</v>
      </c>
    </row>
    <row r="1431" spans="1:14" ht="86.4" hidden="1" x14ac:dyDescent="0.3">
      <c r="A1431" s="47">
        <f t="shared" si="66"/>
        <v>2024</v>
      </c>
      <c r="B1431" s="46">
        <f t="shared" si="67"/>
        <v>19</v>
      </c>
      <c r="C1431" s="46">
        <f t="shared" si="68"/>
        <v>26</v>
      </c>
      <c r="E1431" s="1" t="s">
        <v>4136</v>
      </c>
      <c r="F1431" s="19" t="s">
        <v>4135</v>
      </c>
      <c r="G1431" s="1" t="s">
        <v>9</v>
      </c>
      <c r="H1431" s="1" t="s">
        <v>2520</v>
      </c>
      <c r="I1431" s="262">
        <v>45422</v>
      </c>
      <c r="J1431" s="3">
        <v>0.29722222222222222</v>
      </c>
      <c r="K1431" s="1" t="s">
        <v>88</v>
      </c>
      <c r="L1431" s="2">
        <v>45472</v>
      </c>
      <c r="M1431" s="3">
        <v>0.3833333333333333</v>
      </c>
      <c r="N1431" s="19" t="s">
        <v>4137</v>
      </c>
    </row>
    <row r="1432" spans="1:14" ht="57.6" hidden="1" x14ac:dyDescent="0.3">
      <c r="A1432" s="47">
        <f t="shared" si="66"/>
        <v>2024</v>
      </c>
      <c r="B1432" s="46">
        <f t="shared" si="67"/>
        <v>21</v>
      </c>
      <c r="C1432" s="46">
        <f t="shared" si="68"/>
        <v>26</v>
      </c>
      <c r="E1432" s="1" t="s">
        <v>4140</v>
      </c>
      <c r="F1432" s="19" t="s">
        <v>4138</v>
      </c>
      <c r="G1432" s="1" t="s">
        <v>9</v>
      </c>
      <c r="H1432" s="1" t="s">
        <v>2520</v>
      </c>
      <c r="I1432" s="262">
        <v>45435</v>
      </c>
      <c r="J1432" s="3">
        <v>0.37222222222222223</v>
      </c>
      <c r="K1432" s="1" t="s">
        <v>88</v>
      </c>
      <c r="L1432" s="2">
        <v>45472</v>
      </c>
      <c r="M1432" s="3">
        <v>0.38958333333333334</v>
      </c>
      <c r="N1432" s="19" t="s">
        <v>4139</v>
      </c>
    </row>
    <row r="1433" spans="1:14" ht="72" hidden="1" x14ac:dyDescent="0.3">
      <c r="A1433" s="47">
        <f t="shared" si="66"/>
        <v>2024</v>
      </c>
      <c r="B1433" s="46">
        <f t="shared" si="67"/>
        <v>22</v>
      </c>
      <c r="C1433" s="46">
        <f t="shared" si="68"/>
        <v>26</v>
      </c>
      <c r="E1433" s="1" t="s">
        <v>4142</v>
      </c>
      <c r="F1433" s="19" t="s">
        <v>4141</v>
      </c>
      <c r="G1433" s="1" t="s">
        <v>900</v>
      </c>
      <c r="H1433" s="1" t="s">
        <v>2520</v>
      </c>
      <c r="I1433" s="262">
        <v>45439</v>
      </c>
      <c r="J1433" s="3">
        <v>0.39652777777777781</v>
      </c>
      <c r="K1433" s="1" t="s">
        <v>88</v>
      </c>
      <c r="L1433" s="2">
        <v>45472</v>
      </c>
      <c r="M1433" s="3">
        <v>0.39305555555555555</v>
      </c>
      <c r="N1433" s="19" t="s">
        <v>4143</v>
      </c>
    </row>
    <row r="1434" spans="1:14" ht="115.2" hidden="1" x14ac:dyDescent="0.3">
      <c r="A1434" s="47">
        <f t="shared" si="66"/>
        <v>2024</v>
      </c>
      <c r="B1434" s="46">
        <f t="shared" si="67"/>
        <v>23</v>
      </c>
      <c r="C1434" s="46">
        <f t="shared" si="68"/>
        <v>26</v>
      </c>
      <c r="E1434" s="1" t="s">
        <v>4039</v>
      </c>
      <c r="F1434" s="19" t="s">
        <v>4144</v>
      </c>
      <c r="G1434" s="1" t="s">
        <v>900</v>
      </c>
      <c r="H1434" s="1" t="s">
        <v>2520</v>
      </c>
      <c r="I1434" s="262">
        <v>45446</v>
      </c>
      <c r="J1434" s="3">
        <v>0.56527777777777777</v>
      </c>
      <c r="K1434" s="1" t="s">
        <v>88</v>
      </c>
      <c r="L1434" s="2">
        <v>45472</v>
      </c>
      <c r="M1434" s="3">
        <v>0.48333333333333334</v>
      </c>
      <c r="N1434" s="19" t="s">
        <v>4145</v>
      </c>
    </row>
    <row r="1435" spans="1:14" ht="158.4" hidden="1" x14ac:dyDescent="0.3">
      <c r="A1435" s="47">
        <f t="shared" si="66"/>
        <v>2024</v>
      </c>
      <c r="B1435" s="46">
        <f t="shared" si="67"/>
        <v>23</v>
      </c>
      <c r="C1435" s="46">
        <f t="shared" si="68"/>
        <v>26</v>
      </c>
      <c r="E1435" s="1" t="s">
        <v>4147</v>
      </c>
      <c r="F1435" s="19" t="s">
        <v>4148</v>
      </c>
      <c r="G1435" s="1" t="s">
        <v>10</v>
      </c>
      <c r="H1435" s="1" t="s">
        <v>2520</v>
      </c>
      <c r="I1435" s="262">
        <v>45446</v>
      </c>
      <c r="J1435" s="3">
        <v>0.56527777777777777</v>
      </c>
      <c r="K1435" s="1" t="s">
        <v>88</v>
      </c>
      <c r="L1435" s="2">
        <v>45472</v>
      </c>
      <c r="M1435" s="3">
        <v>0.61319444444444449</v>
      </c>
      <c r="N1435" s="19" t="s">
        <v>4146</v>
      </c>
    </row>
    <row r="1436" spans="1:14" ht="86.4" hidden="1" x14ac:dyDescent="0.3">
      <c r="A1436" s="47">
        <f t="shared" si="66"/>
        <v>2024</v>
      </c>
      <c r="B1436" s="46">
        <f t="shared" si="67"/>
        <v>25</v>
      </c>
      <c r="C1436" s="46">
        <f t="shared" si="68"/>
        <v>27</v>
      </c>
      <c r="E1436" s="95" t="s">
        <v>4150</v>
      </c>
      <c r="F1436" s="19" t="s">
        <v>4151</v>
      </c>
      <c r="G1436" s="1" t="s">
        <v>10</v>
      </c>
      <c r="H1436" s="1" t="s">
        <v>2520</v>
      </c>
      <c r="I1436" s="262">
        <v>45463</v>
      </c>
      <c r="J1436" s="3">
        <v>0.36319444444444443</v>
      </c>
      <c r="K1436" s="1" t="s">
        <v>88</v>
      </c>
      <c r="L1436" s="2">
        <v>45476</v>
      </c>
      <c r="N1436" s="19" t="s">
        <v>4149</v>
      </c>
    </row>
    <row r="1437" spans="1:14" ht="115.2" hidden="1" x14ac:dyDescent="0.3">
      <c r="A1437" s="47">
        <f t="shared" si="66"/>
        <v>2024</v>
      </c>
      <c r="B1437" s="46">
        <f t="shared" si="67"/>
        <v>26</v>
      </c>
      <c r="C1437" s="46">
        <f t="shared" si="68"/>
        <v>27</v>
      </c>
      <c r="E1437" s="1" t="s">
        <v>4152</v>
      </c>
      <c r="F1437" s="19" t="s">
        <v>4153</v>
      </c>
      <c r="G1437" s="1" t="s">
        <v>10</v>
      </c>
      <c r="H1437" s="1" t="s">
        <v>2520</v>
      </c>
      <c r="I1437" s="262">
        <v>45467</v>
      </c>
      <c r="J1437" s="3">
        <v>0.41111111111111115</v>
      </c>
      <c r="K1437" s="1" t="s">
        <v>73</v>
      </c>
      <c r="L1437" s="2">
        <v>45476</v>
      </c>
      <c r="N1437" s="19" t="s">
        <v>4154</v>
      </c>
    </row>
    <row r="1438" spans="1:14" ht="86.4" hidden="1" x14ac:dyDescent="0.3">
      <c r="A1438" s="47">
        <f t="shared" si="66"/>
        <v>2024</v>
      </c>
      <c r="B1438" s="46">
        <f t="shared" si="67"/>
        <v>26</v>
      </c>
      <c r="C1438" s="46">
        <f t="shared" si="68"/>
        <v>27</v>
      </c>
      <c r="E1438" s="1" t="s">
        <v>4155</v>
      </c>
      <c r="F1438" s="19" t="s">
        <v>4156</v>
      </c>
      <c r="G1438" s="1" t="s">
        <v>10</v>
      </c>
      <c r="H1438" s="1" t="s">
        <v>2520</v>
      </c>
      <c r="I1438" s="262">
        <v>45469</v>
      </c>
      <c r="J1438" s="3">
        <v>0.70763888888888893</v>
      </c>
      <c r="K1438" s="1" t="s">
        <v>73</v>
      </c>
      <c r="L1438" s="2">
        <v>45477</v>
      </c>
      <c r="M1438" s="3">
        <v>0.72499999999999998</v>
      </c>
      <c r="N1438" s="19" t="s">
        <v>4157</v>
      </c>
    </row>
    <row r="1439" spans="1:14" ht="100.8" hidden="1" x14ac:dyDescent="0.3">
      <c r="A1439" s="47">
        <f t="shared" si="66"/>
        <v>2024</v>
      </c>
      <c r="B1439" s="46">
        <f t="shared" si="67"/>
        <v>26</v>
      </c>
      <c r="C1439" s="46">
        <f t="shared" si="68"/>
        <v>27</v>
      </c>
      <c r="E1439" s="1" t="s">
        <v>4158</v>
      </c>
      <c r="F1439" s="19" t="s">
        <v>4159</v>
      </c>
      <c r="G1439" s="1" t="s">
        <v>10</v>
      </c>
      <c r="H1439" s="1" t="s">
        <v>2520</v>
      </c>
      <c r="I1439" s="262">
        <v>45469</v>
      </c>
      <c r="J1439" s="3">
        <v>0.70138888888888884</v>
      </c>
      <c r="K1439" s="1" t="s">
        <v>88</v>
      </c>
      <c r="L1439" s="2">
        <v>45478</v>
      </c>
      <c r="M1439" s="3">
        <v>0.24652777777777779</v>
      </c>
      <c r="N1439" s="19" t="s">
        <v>4189</v>
      </c>
    </row>
    <row r="1440" spans="1:14" ht="129.6" hidden="1" x14ac:dyDescent="0.3">
      <c r="A1440" s="47">
        <f t="shared" si="66"/>
        <v>2024</v>
      </c>
      <c r="B1440" s="46">
        <f t="shared" si="67"/>
        <v>26</v>
      </c>
      <c r="C1440" s="46">
        <f t="shared" si="68"/>
        <v>27</v>
      </c>
      <c r="E1440" s="1" t="s">
        <v>4158</v>
      </c>
      <c r="F1440" s="19" t="s">
        <v>4159</v>
      </c>
      <c r="G1440" s="1" t="s">
        <v>10</v>
      </c>
      <c r="H1440" s="1" t="s">
        <v>2520</v>
      </c>
      <c r="I1440" s="262">
        <v>45469</v>
      </c>
      <c r="J1440" s="3">
        <v>0.70138888888888884</v>
      </c>
      <c r="K1440" s="1" t="s">
        <v>73</v>
      </c>
      <c r="L1440" s="2">
        <v>45478</v>
      </c>
      <c r="M1440" s="3">
        <v>0.71388888888888891</v>
      </c>
      <c r="N1440" s="19" t="s">
        <v>4160</v>
      </c>
    </row>
    <row r="1441" spans="1:14" ht="100.8" hidden="1" x14ac:dyDescent="0.3">
      <c r="A1441" s="47">
        <f t="shared" si="66"/>
        <v>2024</v>
      </c>
      <c r="B1441" s="46">
        <f t="shared" si="67"/>
        <v>26</v>
      </c>
      <c r="C1441" s="46">
        <f t="shared" si="68"/>
        <v>28</v>
      </c>
      <c r="E1441" s="1" t="s">
        <v>4162</v>
      </c>
      <c r="F1441" s="38" t="s">
        <v>10</v>
      </c>
      <c r="G1441" s="1" t="s">
        <v>10</v>
      </c>
      <c r="H1441" s="1" t="s">
        <v>2520</v>
      </c>
      <c r="I1441" s="262">
        <v>45467</v>
      </c>
      <c r="J1441" s="3">
        <v>0.42638888888888887</v>
      </c>
      <c r="K1441" s="1" t="s">
        <v>73</v>
      </c>
      <c r="L1441" s="2">
        <v>45481</v>
      </c>
      <c r="M1441" s="3">
        <v>0.73333333333333339</v>
      </c>
      <c r="N1441" s="19" t="s">
        <v>4161</v>
      </c>
    </row>
    <row r="1442" spans="1:14" ht="158.4" hidden="1" x14ac:dyDescent="0.3">
      <c r="A1442" s="47">
        <f t="shared" si="66"/>
        <v>2024</v>
      </c>
      <c r="B1442" s="46">
        <f t="shared" si="67"/>
        <v>27</v>
      </c>
      <c r="C1442" s="46">
        <f t="shared" si="68"/>
        <v>28</v>
      </c>
      <c r="E1442" s="1" t="s">
        <v>4164</v>
      </c>
      <c r="F1442" s="19" t="s">
        <v>4163</v>
      </c>
      <c r="G1442" s="1" t="s">
        <v>10</v>
      </c>
      <c r="H1442" s="1" t="s">
        <v>2520</v>
      </c>
      <c r="I1442" s="262">
        <v>45476</v>
      </c>
      <c r="J1442" s="3">
        <v>0.36388888888888887</v>
      </c>
      <c r="K1442" s="1" t="s">
        <v>73</v>
      </c>
      <c r="L1442" s="2">
        <v>45482</v>
      </c>
      <c r="M1442" s="1" t="s">
        <v>4166</v>
      </c>
      <c r="N1442" s="19" t="s">
        <v>4165</v>
      </c>
    </row>
    <row r="1443" spans="1:14" ht="57.6" hidden="1" x14ac:dyDescent="0.3">
      <c r="A1443" s="47">
        <f t="shared" si="66"/>
        <v>2024</v>
      </c>
      <c r="B1443" s="46">
        <f t="shared" si="67"/>
        <v>28</v>
      </c>
      <c r="C1443" s="46">
        <f t="shared" si="68"/>
        <v>28</v>
      </c>
      <c r="E1443" s="1" t="s">
        <v>4164</v>
      </c>
      <c r="F1443" s="19" t="s">
        <v>4167</v>
      </c>
      <c r="G1443" s="1" t="s">
        <v>4168</v>
      </c>
      <c r="H1443" s="1" t="s">
        <v>251</v>
      </c>
      <c r="I1443" s="262">
        <v>45481</v>
      </c>
      <c r="J1443" s="3">
        <v>0.40486111111111112</v>
      </c>
      <c r="K1443" s="1" t="s">
        <v>73</v>
      </c>
      <c r="L1443" s="2">
        <v>45482</v>
      </c>
      <c r="M1443" s="3">
        <v>0.64930555555555558</v>
      </c>
      <c r="N1443" s="19" t="s">
        <v>4169</v>
      </c>
    </row>
    <row r="1444" spans="1:14" ht="115.2" hidden="1" x14ac:dyDescent="0.3">
      <c r="A1444" s="47">
        <f t="shared" si="66"/>
        <v>2024</v>
      </c>
      <c r="B1444" s="46">
        <f t="shared" si="67"/>
        <v>9</v>
      </c>
      <c r="C1444" s="46">
        <f t="shared" si="68"/>
        <v>28</v>
      </c>
      <c r="E1444" s="1" t="s">
        <v>4170</v>
      </c>
      <c r="F1444" s="19" t="s">
        <v>4172</v>
      </c>
      <c r="G1444" s="1" t="s">
        <v>10</v>
      </c>
      <c r="H1444" s="1" t="s">
        <v>2520</v>
      </c>
      <c r="I1444" s="262">
        <v>45349</v>
      </c>
      <c r="J1444" s="3">
        <v>0.4375</v>
      </c>
      <c r="K1444" s="1" t="s">
        <v>88</v>
      </c>
      <c r="L1444" s="2">
        <v>45482</v>
      </c>
      <c r="M1444" s="3">
        <v>0.65763888888888888</v>
      </c>
      <c r="N1444" s="19" t="s">
        <v>4171</v>
      </c>
    </row>
    <row r="1445" spans="1:14" ht="115.2" hidden="1" x14ac:dyDescent="0.3">
      <c r="A1445" s="47">
        <f t="shared" si="66"/>
        <v>2024</v>
      </c>
      <c r="B1445" s="46">
        <f t="shared" si="67"/>
        <v>9</v>
      </c>
      <c r="C1445" s="46">
        <f t="shared" si="68"/>
        <v>28</v>
      </c>
      <c r="E1445" s="1" t="s">
        <v>4175</v>
      </c>
      <c r="F1445" s="19" t="s">
        <v>4174</v>
      </c>
      <c r="G1445" s="1" t="s">
        <v>10</v>
      </c>
      <c r="H1445" s="1" t="s">
        <v>2520</v>
      </c>
      <c r="I1445" s="262">
        <v>45351</v>
      </c>
      <c r="J1445" s="3">
        <v>0.50416666666666665</v>
      </c>
      <c r="K1445" s="1" t="s">
        <v>88</v>
      </c>
      <c r="L1445" s="2">
        <v>45483</v>
      </c>
      <c r="M1445" s="3">
        <v>0.63888888888888895</v>
      </c>
      <c r="N1445" s="19" t="s">
        <v>4173</v>
      </c>
    </row>
    <row r="1446" spans="1:14" ht="100.8" hidden="1" x14ac:dyDescent="0.3">
      <c r="A1446" s="47">
        <f t="shared" si="66"/>
        <v>2024</v>
      </c>
      <c r="B1446" s="46">
        <f t="shared" si="67"/>
        <v>9</v>
      </c>
      <c r="C1446" s="46">
        <f t="shared" si="68"/>
        <v>28</v>
      </c>
      <c r="E1446" s="1" t="s">
        <v>4177</v>
      </c>
      <c r="F1446" s="19" t="s">
        <v>4178</v>
      </c>
      <c r="G1446" s="1" t="s">
        <v>10</v>
      </c>
      <c r="H1446" s="1" t="s">
        <v>2520</v>
      </c>
      <c r="I1446" s="262">
        <v>45351</v>
      </c>
      <c r="J1446" s="3">
        <v>0.41875000000000001</v>
      </c>
      <c r="K1446" s="1" t="s">
        <v>88</v>
      </c>
      <c r="L1446" s="2">
        <v>45483</v>
      </c>
      <c r="M1446" s="3">
        <v>0.63750000000000007</v>
      </c>
      <c r="N1446" s="19" t="s">
        <v>4176</v>
      </c>
    </row>
    <row r="1447" spans="1:14" ht="115.2" hidden="1" x14ac:dyDescent="0.3">
      <c r="A1447" s="47">
        <f t="shared" si="66"/>
        <v>2024</v>
      </c>
      <c r="B1447" s="46">
        <f t="shared" si="67"/>
        <v>9</v>
      </c>
      <c r="C1447" s="46">
        <f t="shared" si="68"/>
        <v>28</v>
      </c>
      <c r="E1447" s="1" t="s">
        <v>4180</v>
      </c>
      <c r="F1447" s="19" t="s">
        <v>4179</v>
      </c>
      <c r="G1447" s="1" t="s">
        <v>10</v>
      </c>
      <c r="H1447" s="1" t="s">
        <v>2520</v>
      </c>
      <c r="I1447" s="262">
        <v>45351</v>
      </c>
      <c r="J1447" s="3">
        <v>0.42152777777777778</v>
      </c>
      <c r="K1447" s="1" t="s">
        <v>88</v>
      </c>
      <c r="L1447" s="2">
        <v>45483</v>
      </c>
      <c r="M1447" s="3">
        <v>0.63750000000000007</v>
      </c>
      <c r="N1447" s="19" t="s">
        <v>4186</v>
      </c>
    </row>
    <row r="1448" spans="1:14" ht="86.4" hidden="1" x14ac:dyDescent="0.3">
      <c r="A1448" s="47">
        <f t="shared" si="66"/>
        <v>2024</v>
      </c>
      <c r="B1448" s="46">
        <f t="shared" si="67"/>
        <v>9</v>
      </c>
      <c r="C1448" s="46">
        <f t="shared" si="68"/>
        <v>28</v>
      </c>
      <c r="E1448" s="1" t="s">
        <v>4182</v>
      </c>
      <c r="F1448" s="19" t="s">
        <v>4181</v>
      </c>
      <c r="G1448" s="1" t="s">
        <v>10</v>
      </c>
      <c r="H1448" s="1" t="s">
        <v>2520</v>
      </c>
      <c r="I1448" s="262">
        <v>45351</v>
      </c>
      <c r="J1448" s="3">
        <v>0.42083333333333334</v>
      </c>
      <c r="K1448" s="1" t="s">
        <v>88</v>
      </c>
      <c r="L1448" s="2">
        <v>45483</v>
      </c>
      <c r="M1448" s="3">
        <v>0.6381944444444444</v>
      </c>
      <c r="N1448" s="19" t="s">
        <v>4185</v>
      </c>
    </row>
    <row r="1449" spans="1:14" ht="86.4" hidden="1" x14ac:dyDescent="0.3">
      <c r="A1449" s="47">
        <f t="shared" si="66"/>
        <v>2024</v>
      </c>
      <c r="B1449" s="46">
        <f t="shared" si="67"/>
        <v>9</v>
      </c>
      <c r="C1449" s="46">
        <f t="shared" si="68"/>
        <v>28</v>
      </c>
      <c r="E1449" s="1" t="s">
        <v>4183</v>
      </c>
      <c r="F1449" s="19" t="s">
        <v>4184</v>
      </c>
      <c r="G1449" s="1" t="s">
        <v>10</v>
      </c>
      <c r="H1449" s="1" t="s">
        <v>2520</v>
      </c>
      <c r="I1449" s="262">
        <v>45351</v>
      </c>
      <c r="J1449" s="3">
        <v>0.4694444444444445</v>
      </c>
      <c r="K1449" s="1" t="s">
        <v>88</v>
      </c>
      <c r="L1449" s="2">
        <v>45483</v>
      </c>
      <c r="M1449" s="3">
        <v>0.63750000000000007</v>
      </c>
      <c r="N1449" s="19" t="s">
        <v>4185</v>
      </c>
    </row>
    <row r="1450" spans="1:14" ht="72" hidden="1" x14ac:dyDescent="0.3">
      <c r="A1450" s="47">
        <f t="shared" si="66"/>
        <v>2024</v>
      </c>
      <c r="B1450" s="46">
        <f t="shared" si="67"/>
        <v>21</v>
      </c>
      <c r="C1450" s="46">
        <f t="shared" si="68"/>
        <v>28</v>
      </c>
      <c r="E1450" s="1" t="s">
        <v>4188</v>
      </c>
      <c r="F1450" s="19" t="s">
        <v>4187</v>
      </c>
      <c r="G1450" s="1" t="s">
        <v>10</v>
      </c>
      <c r="H1450" s="1" t="s">
        <v>2520</v>
      </c>
      <c r="I1450" s="262">
        <v>45432</v>
      </c>
      <c r="J1450" s="3">
        <v>0.41805555555555557</v>
      </c>
      <c r="K1450" s="1" t="s">
        <v>88</v>
      </c>
      <c r="L1450" s="2">
        <v>45483</v>
      </c>
      <c r="M1450" s="3">
        <v>0.65069444444444446</v>
      </c>
      <c r="N1450" s="19" t="s">
        <v>3564</v>
      </c>
    </row>
    <row r="1451" spans="1:14" ht="72" hidden="1" x14ac:dyDescent="0.3">
      <c r="A1451" s="47">
        <f t="shared" si="66"/>
        <v>2024</v>
      </c>
      <c r="B1451" s="46">
        <f t="shared" si="67"/>
        <v>27</v>
      </c>
      <c r="C1451" s="46">
        <f t="shared" si="68"/>
        <v>28</v>
      </c>
      <c r="E1451" s="1" t="s">
        <v>4192</v>
      </c>
      <c r="F1451" s="19" t="s">
        <v>4193</v>
      </c>
      <c r="G1451" s="1" t="s">
        <v>10</v>
      </c>
      <c r="H1451" s="1" t="s">
        <v>2520</v>
      </c>
      <c r="I1451" s="262">
        <v>45477</v>
      </c>
      <c r="J1451" s="3">
        <v>0.40833333333333338</v>
      </c>
      <c r="K1451" s="1" t="s">
        <v>73</v>
      </c>
      <c r="L1451" s="2">
        <v>45485</v>
      </c>
      <c r="M1451" s="3">
        <v>0.30694444444444441</v>
      </c>
      <c r="N1451" s="19" t="s">
        <v>4194</v>
      </c>
    </row>
    <row r="1452" spans="1:14" ht="129.6" hidden="1" x14ac:dyDescent="0.3">
      <c r="A1452" s="47">
        <f t="shared" si="66"/>
        <v>2024</v>
      </c>
      <c r="B1452" s="46">
        <f t="shared" si="67"/>
        <v>27</v>
      </c>
      <c r="C1452" s="46">
        <f t="shared" si="68"/>
        <v>28</v>
      </c>
      <c r="E1452" s="1" t="s">
        <v>4195</v>
      </c>
      <c r="F1452" s="19" t="s">
        <v>4246</v>
      </c>
      <c r="G1452" s="1" t="s">
        <v>10</v>
      </c>
      <c r="H1452" s="1" t="s">
        <v>2520</v>
      </c>
      <c r="I1452" s="262">
        <v>45477</v>
      </c>
      <c r="J1452" s="3">
        <v>0.69444444444444453</v>
      </c>
      <c r="K1452" s="1" t="s">
        <v>88</v>
      </c>
      <c r="L1452" s="2">
        <v>45486</v>
      </c>
      <c r="M1452" s="3">
        <v>0.28263888888888888</v>
      </c>
      <c r="N1452" s="19" t="s">
        <v>1888</v>
      </c>
    </row>
    <row r="1453" spans="1:14" ht="86.4" hidden="1" x14ac:dyDescent="0.3">
      <c r="A1453" s="47">
        <f t="shared" si="66"/>
        <v>2024</v>
      </c>
      <c r="B1453" s="46">
        <f t="shared" si="67"/>
        <v>28</v>
      </c>
      <c r="C1453" s="46">
        <f t="shared" si="68"/>
        <v>28</v>
      </c>
      <c r="E1453" s="1" t="s">
        <v>4207</v>
      </c>
      <c r="F1453" s="19" t="s">
        <v>4247</v>
      </c>
      <c r="G1453" s="1" t="s">
        <v>10</v>
      </c>
      <c r="H1453" s="1" t="s">
        <v>2520</v>
      </c>
      <c r="I1453" s="262">
        <v>45482</v>
      </c>
      <c r="J1453" s="3">
        <v>0.43541666666666662</v>
      </c>
      <c r="K1453" s="1" t="s">
        <v>88</v>
      </c>
      <c r="L1453" s="2">
        <v>45486</v>
      </c>
      <c r="M1453" s="3">
        <v>0.29652777777777778</v>
      </c>
      <c r="N1453" s="19" t="s">
        <v>4058</v>
      </c>
    </row>
    <row r="1454" spans="1:14" ht="72" hidden="1" x14ac:dyDescent="0.3">
      <c r="A1454" s="47">
        <f t="shared" si="66"/>
        <v>2024</v>
      </c>
      <c r="B1454" s="46">
        <f t="shared" si="67"/>
        <v>28</v>
      </c>
      <c r="C1454" s="46">
        <f t="shared" si="68"/>
        <v>28</v>
      </c>
      <c r="E1454" s="95" t="s">
        <v>4191</v>
      </c>
      <c r="F1454" s="19" t="s">
        <v>4248</v>
      </c>
      <c r="G1454" s="1" t="s">
        <v>10</v>
      </c>
      <c r="H1454" s="1" t="s">
        <v>2520</v>
      </c>
      <c r="I1454" s="262">
        <v>45481</v>
      </c>
      <c r="J1454" s="3">
        <v>0.54513888888888895</v>
      </c>
      <c r="K1454" s="1" t="s">
        <v>88</v>
      </c>
      <c r="L1454" s="2">
        <v>45485</v>
      </c>
      <c r="M1454" s="3">
        <v>0.62847222222222221</v>
      </c>
      <c r="N1454" s="19" t="s">
        <v>4249</v>
      </c>
    </row>
    <row r="1455" spans="1:14" ht="57.6" hidden="1" x14ac:dyDescent="0.3">
      <c r="A1455" s="47">
        <f t="shared" si="66"/>
        <v>2024</v>
      </c>
      <c r="B1455" s="46">
        <f t="shared" si="67"/>
        <v>28</v>
      </c>
      <c r="C1455" s="46">
        <f t="shared" si="68"/>
        <v>28</v>
      </c>
      <c r="E1455" s="38" t="s">
        <v>4208</v>
      </c>
      <c r="F1455" s="19" t="s">
        <v>4250</v>
      </c>
      <c r="G1455" s="1" t="s">
        <v>10</v>
      </c>
      <c r="H1455" s="1" t="s">
        <v>2520</v>
      </c>
      <c r="I1455" s="262">
        <v>45484</v>
      </c>
      <c r="J1455" s="3">
        <v>0.71527777777777779</v>
      </c>
      <c r="K1455" s="1" t="s">
        <v>88</v>
      </c>
      <c r="L1455" s="2">
        <v>45486</v>
      </c>
      <c r="M1455" s="3">
        <v>0.38958333333333334</v>
      </c>
      <c r="N1455" s="19" t="s">
        <v>4251</v>
      </c>
    </row>
    <row r="1456" spans="1:14" ht="86.4" hidden="1" x14ac:dyDescent="0.3">
      <c r="A1456" s="47">
        <f t="shared" si="66"/>
        <v>2024</v>
      </c>
      <c r="B1456" s="46">
        <f t="shared" si="67"/>
        <v>14</v>
      </c>
      <c r="C1456" s="46">
        <f t="shared" si="68"/>
        <v>28</v>
      </c>
      <c r="E1456" s="1" t="s">
        <v>4212</v>
      </c>
      <c r="F1456" s="19" t="s">
        <v>4252</v>
      </c>
      <c r="G1456" s="1" t="s">
        <v>10</v>
      </c>
      <c r="H1456" s="1" t="s">
        <v>2520</v>
      </c>
      <c r="I1456" s="262">
        <v>45386</v>
      </c>
      <c r="J1456" s="3">
        <v>0.70347222222222217</v>
      </c>
      <c r="K1456" s="1" t="s">
        <v>88</v>
      </c>
      <c r="L1456" s="2">
        <v>45486</v>
      </c>
      <c r="M1456" s="3">
        <v>0.44097222222222227</v>
      </c>
      <c r="N1456" s="19" t="s">
        <v>4253</v>
      </c>
    </row>
    <row r="1457" spans="1:14" ht="86.4" hidden="1" x14ac:dyDescent="0.3">
      <c r="A1457" s="47">
        <f t="shared" si="66"/>
        <v>2024</v>
      </c>
      <c r="B1457" s="46">
        <f t="shared" si="67"/>
        <v>10</v>
      </c>
      <c r="C1457" s="46">
        <f t="shared" si="68"/>
        <v>28</v>
      </c>
      <c r="E1457" s="1" t="s">
        <v>4213</v>
      </c>
      <c r="F1457" s="19" t="s">
        <v>4255</v>
      </c>
      <c r="G1457" s="1" t="s">
        <v>10</v>
      </c>
      <c r="H1457" s="1" t="s">
        <v>2520</v>
      </c>
      <c r="I1457" s="262">
        <v>45355</v>
      </c>
      <c r="J1457" s="3">
        <v>0.70763888888888893</v>
      </c>
      <c r="K1457" s="1" t="s">
        <v>88</v>
      </c>
      <c r="L1457" s="2">
        <v>45486</v>
      </c>
      <c r="M1457" s="3">
        <v>0.52013888888888882</v>
      </c>
      <c r="N1457" s="19" t="s">
        <v>4254</v>
      </c>
    </row>
    <row r="1458" spans="1:14" ht="72" hidden="1" x14ac:dyDescent="0.3">
      <c r="A1458" s="47">
        <f t="shared" si="66"/>
        <v>2024</v>
      </c>
      <c r="B1458" s="46">
        <f t="shared" si="67"/>
        <v>21</v>
      </c>
      <c r="C1458" s="46">
        <f t="shared" si="68"/>
        <v>28</v>
      </c>
      <c r="E1458" s="1" t="s">
        <v>4243</v>
      </c>
      <c r="F1458" s="19" t="s">
        <v>4257</v>
      </c>
      <c r="G1458" s="1" t="s">
        <v>10</v>
      </c>
      <c r="H1458" s="1" t="s">
        <v>2520</v>
      </c>
      <c r="I1458" s="262">
        <v>45432</v>
      </c>
      <c r="J1458" s="3">
        <v>0.36874999999999997</v>
      </c>
      <c r="K1458" s="1" t="s">
        <v>88</v>
      </c>
      <c r="L1458" s="2">
        <v>45486</v>
      </c>
      <c r="M1458" s="3">
        <v>0.52708333333333335</v>
      </c>
      <c r="N1458" s="19" t="s">
        <v>4256</v>
      </c>
    </row>
    <row r="1459" spans="1:14" ht="57.6" hidden="1" x14ac:dyDescent="0.3">
      <c r="A1459" s="47">
        <f t="shared" si="66"/>
        <v>2024</v>
      </c>
      <c r="B1459" s="46" t="e">
        <f t="shared" si="67"/>
        <v>#VALUE!</v>
      </c>
      <c r="C1459" s="46">
        <f t="shared" si="68"/>
        <v>28</v>
      </c>
      <c r="E1459" s="1" t="s">
        <v>4242</v>
      </c>
      <c r="F1459" s="19" t="s">
        <v>4259</v>
      </c>
      <c r="G1459" s="1" t="s">
        <v>10</v>
      </c>
      <c r="H1459" s="1" t="s">
        <v>2520</v>
      </c>
      <c r="I1459" s="19" t="s">
        <v>4258</v>
      </c>
      <c r="J1459" s="3">
        <v>0.50069444444444444</v>
      </c>
      <c r="K1459" s="1" t="s">
        <v>88</v>
      </c>
      <c r="L1459" s="2">
        <v>45486</v>
      </c>
      <c r="M1459" s="3">
        <v>0.53125</v>
      </c>
      <c r="N1459" s="19" t="s">
        <v>3384</v>
      </c>
    </row>
    <row r="1460" spans="1:14" ht="57.6" hidden="1" x14ac:dyDescent="0.3">
      <c r="A1460" s="47">
        <f t="shared" si="66"/>
        <v>2024</v>
      </c>
      <c r="B1460" s="46">
        <f t="shared" si="67"/>
        <v>11</v>
      </c>
      <c r="C1460" s="46">
        <f t="shared" si="68"/>
        <v>28</v>
      </c>
      <c r="E1460" s="1" t="s">
        <v>4217</v>
      </c>
      <c r="F1460" s="19" t="s">
        <v>4261</v>
      </c>
      <c r="G1460" s="1" t="s">
        <v>10</v>
      </c>
      <c r="H1460" s="1" t="s">
        <v>2520</v>
      </c>
      <c r="I1460" s="262">
        <v>45363</v>
      </c>
      <c r="J1460" s="3">
        <v>0.53680555555555554</v>
      </c>
      <c r="K1460" s="1" t="s">
        <v>88</v>
      </c>
      <c r="L1460" s="2">
        <v>45486</v>
      </c>
      <c r="M1460" s="3">
        <v>0.53402777777777777</v>
      </c>
      <c r="N1460" s="19" t="s">
        <v>4260</v>
      </c>
    </row>
    <row r="1461" spans="1:14" ht="57.6" hidden="1" x14ac:dyDescent="0.3">
      <c r="A1461" s="47">
        <f t="shared" si="66"/>
        <v>2024</v>
      </c>
      <c r="B1461" s="46">
        <f t="shared" si="67"/>
        <v>17</v>
      </c>
      <c r="C1461" s="46">
        <f t="shared" si="68"/>
        <v>28</v>
      </c>
      <c r="E1461" s="1" t="s">
        <v>4226</v>
      </c>
      <c r="F1461" s="19" t="s">
        <v>4262</v>
      </c>
      <c r="G1461" s="1" t="s">
        <v>10</v>
      </c>
      <c r="H1461" s="1" t="s">
        <v>2520</v>
      </c>
      <c r="I1461" s="262">
        <v>45408</v>
      </c>
      <c r="J1461" s="3">
        <v>0.64374999999999993</v>
      </c>
      <c r="K1461" s="1" t="s">
        <v>88</v>
      </c>
      <c r="L1461" s="2">
        <v>45486</v>
      </c>
      <c r="M1461" s="3">
        <v>0.54375000000000007</v>
      </c>
      <c r="N1461" s="19" t="s">
        <v>4260</v>
      </c>
    </row>
    <row r="1462" spans="1:14" ht="57.6" hidden="1" x14ac:dyDescent="0.3">
      <c r="A1462" s="47">
        <f t="shared" si="66"/>
        <v>2024</v>
      </c>
      <c r="B1462" s="46">
        <f t="shared" si="67"/>
        <v>16</v>
      </c>
      <c r="C1462" s="46">
        <f t="shared" si="68"/>
        <v>28</v>
      </c>
      <c r="E1462" s="1" t="s">
        <v>4225</v>
      </c>
      <c r="F1462" s="19" t="s">
        <v>4263</v>
      </c>
      <c r="G1462" s="1" t="s">
        <v>10</v>
      </c>
      <c r="H1462" s="1" t="s">
        <v>2520</v>
      </c>
      <c r="I1462" s="262">
        <v>45400</v>
      </c>
      <c r="J1462" s="3">
        <v>0.34583333333333338</v>
      </c>
      <c r="K1462" s="1" t="s">
        <v>88</v>
      </c>
      <c r="L1462" s="2">
        <v>45486</v>
      </c>
      <c r="M1462" s="3">
        <v>0.54652777777777783</v>
      </c>
      <c r="N1462" s="19" t="s">
        <v>4260</v>
      </c>
    </row>
    <row r="1463" spans="1:14" ht="57.6" hidden="1" x14ac:dyDescent="0.3">
      <c r="A1463" s="47">
        <f t="shared" si="66"/>
        <v>2024</v>
      </c>
      <c r="B1463" s="46">
        <f t="shared" si="67"/>
        <v>16</v>
      </c>
      <c r="C1463" s="46">
        <f t="shared" si="68"/>
        <v>28</v>
      </c>
      <c r="E1463" s="38" t="s">
        <v>4224</v>
      </c>
      <c r="F1463" s="19" t="s">
        <v>4263</v>
      </c>
      <c r="G1463" s="1" t="s">
        <v>10</v>
      </c>
      <c r="H1463" s="1" t="s">
        <v>2520</v>
      </c>
      <c r="I1463" s="2">
        <v>45399</v>
      </c>
      <c r="J1463" s="3">
        <v>0.3520833333333333</v>
      </c>
      <c r="K1463" s="1" t="s">
        <v>88</v>
      </c>
      <c r="L1463" s="2">
        <v>45486</v>
      </c>
      <c r="M1463" s="3">
        <v>0.55347222222222225</v>
      </c>
      <c r="N1463" s="19" t="s">
        <v>4260</v>
      </c>
    </row>
    <row r="1464" spans="1:14" ht="72" hidden="1" x14ac:dyDescent="0.3">
      <c r="A1464" s="47">
        <f t="shared" si="66"/>
        <v>2024</v>
      </c>
      <c r="B1464" s="46">
        <f t="shared" si="67"/>
        <v>16</v>
      </c>
      <c r="C1464" s="46">
        <f t="shared" si="68"/>
        <v>28</v>
      </c>
      <c r="E1464" s="38" t="s">
        <v>4265</v>
      </c>
      <c r="F1464" s="19" t="s">
        <v>4266</v>
      </c>
      <c r="G1464" s="1" t="s">
        <v>10</v>
      </c>
      <c r="H1464" s="1" t="s">
        <v>2520</v>
      </c>
      <c r="I1464" s="2">
        <v>45398</v>
      </c>
      <c r="J1464" s="3">
        <v>0.70486111111111116</v>
      </c>
      <c r="K1464" s="1" t="s">
        <v>88</v>
      </c>
      <c r="L1464" s="2">
        <v>45486</v>
      </c>
      <c r="M1464" s="3">
        <v>0.55347222222222225</v>
      </c>
      <c r="N1464" s="19" t="s">
        <v>4264</v>
      </c>
    </row>
    <row r="1465" spans="1:14" ht="57.6" hidden="1" x14ac:dyDescent="0.3">
      <c r="A1465" s="47">
        <f t="shared" si="66"/>
        <v>2024</v>
      </c>
      <c r="B1465" s="46">
        <f t="shared" si="67"/>
        <v>11</v>
      </c>
      <c r="C1465" s="46">
        <f t="shared" si="68"/>
        <v>28</v>
      </c>
      <c r="E1465" s="38" t="s">
        <v>4216</v>
      </c>
      <c r="F1465" s="19" t="s">
        <v>4267</v>
      </c>
      <c r="G1465" s="1" t="s">
        <v>10</v>
      </c>
      <c r="H1465" s="1" t="s">
        <v>2520</v>
      </c>
      <c r="I1465" s="2">
        <v>45363</v>
      </c>
      <c r="J1465" s="3">
        <v>0.4777777777777778</v>
      </c>
      <c r="K1465" s="1" t="s">
        <v>88</v>
      </c>
      <c r="L1465" s="2">
        <v>45486</v>
      </c>
      <c r="M1465" s="3">
        <v>0.56180555555555556</v>
      </c>
      <c r="N1465" s="19" t="s">
        <v>2967</v>
      </c>
    </row>
    <row r="1466" spans="1:14" ht="57.6" hidden="1" x14ac:dyDescent="0.3">
      <c r="A1466" s="47">
        <f t="shared" si="66"/>
        <v>2024</v>
      </c>
      <c r="B1466" s="46">
        <f t="shared" si="67"/>
        <v>15</v>
      </c>
      <c r="C1466" s="46">
        <f t="shared" si="68"/>
        <v>28</v>
      </c>
      <c r="E1466" s="38" t="s">
        <v>4222</v>
      </c>
      <c r="F1466" s="19" t="s">
        <v>4269</v>
      </c>
      <c r="G1466" s="1" t="s">
        <v>10</v>
      </c>
      <c r="H1466" s="1" t="s">
        <v>2520</v>
      </c>
      <c r="I1466" s="2">
        <v>45391</v>
      </c>
      <c r="J1466" s="3">
        <v>0.59444444444444444</v>
      </c>
      <c r="K1466" s="1" t="s">
        <v>3946</v>
      </c>
      <c r="L1466" s="2">
        <v>45486</v>
      </c>
      <c r="M1466" s="3">
        <v>0.56666666666666665</v>
      </c>
      <c r="N1466" s="19" t="s">
        <v>4268</v>
      </c>
    </row>
    <row r="1467" spans="1:14" ht="72" hidden="1" x14ac:dyDescent="0.3">
      <c r="A1467" s="47">
        <f t="shared" si="66"/>
        <v>2024</v>
      </c>
      <c r="B1467" s="46">
        <f t="shared" si="67"/>
        <v>27</v>
      </c>
      <c r="C1467" s="46">
        <f t="shared" si="68"/>
        <v>28</v>
      </c>
      <c r="E1467" s="1" t="s">
        <v>4204</v>
      </c>
      <c r="F1467" s="19" t="s">
        <v>4270</v>
      </c>
      <c r="G1467" s="1" t="s">
        <v>10</v>
      </c>
      <c r="H1467" s="1" t="s">
        <v>2520</v>
      </c>
      <c r="I1467" s="262">
        <v>45476</v>
      </c>
      <c r="J1467" s="3">
        <v>0.39583333333333331</v>
      </c>
      <c r="K1467" s="1" t="s">
        <v>73</v>
      </c>
      <c r="L1467" s="2">
        <v>45486</v>
      </c>
      <c r="M1467" s="1" t="s">
        <v>4271</v>
      </c>
      <c r="N1467" s="19" t="s">
        <v>4272</v>
      </c>
    </row>
    <row r="1468" spans="1:14" ht="72" hidden="1" x14ac:dyDescent="0.3">
      <c r="A1468" s="47">
        <f t="shared" si="66"/>
        <v>2024</v>
      </c>
      <c r="B1468" s="46">
        <f t="shared" si="67"/>
        <v>27</v>
      </c>
      <c r="C1468" s="46">
        <f t="shared" si="68"/>
        <v>28</v>
      </c>
      <c r="E1468" s="38" t="s">
        <v>4205</v>
      </c>
      <c r="F1468" s="19" t="s">
        <v>4270</v>
      </c>
      <c r="G1468" s="1" t="s">
        <v>10</v>
      </c>
      <c r="H1468" s="1" t="s">
        <v>2520</v>
      </c>
      <c r="I1468" s="262">
        <v>45476</v>
      </c>
      <c r="J1468" s="3">
        <v>0.39583333333333331</v>
      </c>
      <c r="K1468" s="1" t="s">
        <v>73</v>
      </c>
      <c r="L1468" s="2">
        <v>45486</v>
      </c>
      <c r="M1468" s="3">
        <v>0.26805555555555555</v>
      </c>
      <c r="N1468" s="19" t="s">
        <v>4273</v>
      </c>
    </row>
    <row r="1469" spans="1:14" ht="57.6" hidden="1" x14ac:dyDescent="0.3">
      <c r="A1469" s="47">
        <f t="shared" si="66"/>
        <v>2024</v>
      </c>
      <c r="B1469" s="46">
        <f t="shared" si="67"/>
        <v>27</v>
      </c>
      <c r="C1469" s="46">
        <f t="shared" si="68"/>
        <v>28</v>
      </c>
      <c r="E1469" s="1" t="s">
        <v>4206</v>
      </c>
      <c r="F1469" s="19" t="s">
        <v>4274</v>
      </c>
      <c r="G1469" s="1" t="s">
        <v>10</v>
      </c>
      <c r="H1469" s="1" t="s">
        <v>2520</v>
      </c>
      <c r="I1469" s="262">
        <v>45477</v>
      </c>
      <c r="J1469" s="3">
        <v>0.71180555555555547</v>
      </c>
      <c r="K1469" s="1" t="s">
        <v>73</v>
      </c>
      <c r="L1469" s="2">
        <v>45486</v>
      </c>
      <c r="M1469" s="3">
        <v>0.3576388888888889</v>
      </c>
      <c r="N1469" s="19" t="s">
        <v>4275</v>
      </c>
    </row>
    <row r="1470" spans="1:14" ht="57.6" hidden="1" x14ac:dyDescent="0.3">
      <c r="A1470" s="47">
        <f t="shared" si="66"/>
        <v>2024</v>
      </c>
      <c r="B1470" s="46">
        <f t="shared" si="67"/>
        <v>28</v>
      </c>
      <c r="C1470" s="46">
        <f t="shared" si="68"/>
        <v>28</v>
      </c>
      <c r="E1470" s="1" t="s">
        <v>4209</v>
      </c>
      <c r="F1470" s="19" t="s">
        <v>4250</v>
      </c>
      <c r="G1470" s="1" t="s">
        <v>10</v>
      </c>
      <c r="H1470" s="1" t="s">
        <v>2520</v>
      </c>
      <c r="I1470" s="262">
        <v>45484</v>
      </c>
      <c r="J1470" s="3">
        <v>0.71736111111111101</v>
      </c>
      <c r="K1470" s="1" t="s">
        <v>73</v>
      </c>
      <c r="L1470" s="2">
        <v>45486</v>
      </c>
      <c r="M1470" s="3">
        <v>0.3833333333333333</v>
      </c>
      <c r="N1470" s="19" t="s">
        <v>4276</v>
      </c>
    </row>
    <row r="1471" spans="1:14" ht="72" hidden="1" x14ac:dyDescent="0.3">
      <c r="A1471" s="47">
        <f t="shared" si="66"/>
        <v>2024</v>
      </c>
      <c r="B1471" s="46">
        <f t="shared" si="67"/>
        <v>9</v>
      </c>
      <c r="C1471" s="46">
        <f t="shared" si="68"/>
        <v>28</v>
      </c>
      <c r="E1471" s="1" t="s">
        <v>4211</v>
      </c>
      <c r="F1471" s="19" t="s">
        <v>4277</v>
      </c>
      <c r="G1471" s="1" t="s">
        <v>10</v>
      </c>
      <c r="H1471" s="1" t="s">
        <v>2520</v>
      </c>
      <c r="I1471" s="262">
        <v>45352</v>
      </c>
      <c r="J1471" s="3">
        <v>0.39305555555555555</v>
      </c>
      <c r="K1471" s="1" t="s">
        <v>73</v>
      </c>
      <c r="L1471" s="2">
        <v>45486</v>
      </c>
      <c r="M1471" s="3">
        <v>0.45277777777777778</v>
      </c>
      <c r="N1471" s="19" t="s">
        <v>4278</v>
      </c>
    </row>
    <row r="1472" spans="1:14" ht="72" hidden="1" x14ac:dyDescent="0.3">
      <c r="A1472" s="47">
        <f t="shared" si="66"/>
        <v>2024</v>
      </c>
      <c r="B1472" s="46">
        <f t="shared" si="67"/>
        <v>10</v>
      </c>
      <c r="C1472" s="46">
        <f t="shared" si="68"/>
        <v>28</v>
      </c>
      <c r="E1472" s="1" t="s">
        <v>4214</v>
      </c>
      <c r="F1472" s="282" t="s">
        <v>4279</v>
      </c>
      <c r="G1472" s="1" t="s">
        <v>10</v>
      </c>
      <c r="H1472" s="1" t="s">
        <v>2520</v>
      </c>
      <c r="I1472" s="262">
        <v>45355</v>
      </c>
      <c r="J1472" s="3">
        <v>0.72430555555555554</v>
      </c>
      <c r="K1472" s="1" t="s">
        <v>73</v>
      </c>
      <c r="L1472" s="2">
        <v>45486</v>
      </c>
      <c r="M1472" s="3">
        <v>0.51527777777777783</v>
      </c>
      <c r="N1472" s="19" t="s">
        <v>4280</v>
      </c>
    </row>
    <row r="1473" spans="1:14" ht="72" hidden="1" x14ac:dyDescent="0.3">
      <c r="A1473" s="47">
        <f t="shared" si="66"/>
        <v>2024</v>
      </c>
      <c r="B1473" s="46">
        <f t="shared" si="67"/>
        <v>10</v>
      </c>
      <c r="C1473" s="46">
        <f t="shared" si="68"/>
        <v>28</v>
      </c>
      <c r="E1473" s="1" t="s">
        <v>4215</v>
      </c>
      <c r="F1473" s="19" t="s">
        <v>4281</v>
      </c>
      <c r="G1473" s="1" t="s">
        <v>10</v>
      </c>
      <c r="H1473" s="1" t="s">
        <v>2520</v>
      </c>
      <c r="I1473" s="262">
        <v>45356</v>
      </c>
      <c r="J1473" s="3">
        <v>0.62083333333333335</v>
      </c>
      <c r="K1473" s="1" t="s">
        <v>73</v>
      </c>
      <c r="L1473" s="2">
        <v>45486</v>
      </c>
      <c r="M1473" s="3">
        <v>0.52916666666666667</v>
      </c>
      <c r="N1473" s="19" t="s">
        <v>4282</v>
      </c>
    </row>
    <row r="1474" spans="1:14" ht="72" hidden="1" x14ac:dyDescent="0.3">
      <c r="A1474" s="47">
        <f t="shared" ref="A1474:A1535" si="69">YEAR(L1474)</f>
        <v>2024</v>
      </c>
      <c r="B1474" s="46">
        <f t="shared" ref="B1474:B1516" si="70">WEEKNUM(I1474)</f>
        <v>11</v>
      </c>
      <c r="C1474" s="46">
        <f t="shared" ref="C1474:C1516" si="71">WEEKNUM(L1474)</f>
        <v>28</v>
      </c>
      <c r="E1474" s="1" t="s">
        <v>4216</v>
      </c>
      <c r="F1474" s="19" t="s">
        <v>4283</v>
      </c>
      <c r="G1474" s="1" t="s">
        <v>10</v>
      </c>
      <c r="H1474" s="1" t="s">
        <v>2520</v>
      </c>
      <c r="I1474" s="262">
        <v>45363</v>
      </c>
      <c r="J1474" s="3">
        <v>0.4777777777777778</v>
      </c>
      <c r="K1474" s="1" t="s">
        <v>73</v>
      </c>
      <c r="L1474" s="2">
        <v>45486</v>
      </c>
      <c r="M1474" s="1" t="s">
        <v>4284</v>
      </c>
      <c r="N1474" s="19" t="s">
        <v>4285</v>
      </c>
    </row>
    <row r="1475" spans="1:14" ht="72" hidden="1" x14ac:dyDescent="0.3">
      <c r="A1475" s="47">
        <f t="shared" si="69"/>
        <v>2024</v>
      </c>
      <c r="B1475" s="46">
        <f t="shared" si="70"/>
        <v>11</v>
      </c>
      <c r="C1475" s="46">
        <f t="shared" si="71"/>
        <v>28</v>
      </c>
      <c r="E1475" s="1" t="s">
        <v>4218</v>
      </c>
      <c r="F1475" s="19" t="s">
        <v>4286</v>
      </c>
      <c r="G1475" s="1" t="s">
        <v>10</v>
      </c>
      <c r="H1475" s="1" t="s">
        <v>2520</v>
      </c>
      <c r="I1475" s="262">
        <v>45364</v>
      </c>
      <c r="J1475" s="3">
        <v>0.68888888888888899</v>
      </c>
      <c r="K1475" s="1" t="s">
        <v>73</v>
      </c>
      <c r="L1475" s="2">
        <v>45486</v>
      </c>
      <c r="M1475" s="3">
        <v>0.5854166666666667</v>
      </c>
      <c r="N1475" s="19" t="s">
        <v>4287</v>
      </c>
    </row>
    <row r="1476" spans="1:14" ht="100.8" hidden="1" x14ac:dyDescent="0.3">
      <c r="A1476" s="47">
        <f t="shared" si="69"/>
        <v>2024</v>
      </c>
      <c r="B1476" s="46">
        <f t="shared" si="70"/>
        <v>19</v>
      </c>
      <c r="C1476" s="46">
        <f t="shared" si="71"/>
        <v>28</v>
      </c>
      <c r="E1476" s="38" t="s">
        <v>4240</v>
      </c>
      <c r="F1476" s="19" t="s">
        <v>4288</v>
      </c>
      <c r="G1476" s="1" t="s">
        <v>10</v>
      </c>
      <c r="H1476" s="1" t="s">
        <v>2520</v>
      </c>
      <c r="I1476" s="2">
        <v>45419</v>
      </c>
      <c r="J1476" s="3">
        <v>0.70624999999999993</v>
      </c>
      <c r="K1476" s="1" t="s">
        <v>3946</v>
      </c>
      <c r="L1476" s="2">
        <v>45486</v>
      </c>
      <c r="M1476" s="3">
        <v>0.59930555555555554</v>
      </c>
      <c r="N1476" s="19" t="s">
        <v>4289</v>
      </c>
    </row>
    <row r="1477" spans="1:14" ht="187.2" hidden="1" x14ac:dyDescent="0.3">
      <c r="A1477" s="47">
        <f t="shared" si="69"/>
        <v>2024</v>
      </c>
      <c r="B1477" s="46">
        <f t="shared" si="70"/>
        <v>18</v>
      </c>
      <c r="C1477" s="46">
        <f t="shared" si="71"/>
        <v>28</v>
      </c>
      <c r="E1477" s="38" t="s">
        <v>4232</v>
      </c>
      <c r="F1477" s="19" t="s">
        <v>4294</v>
      </c>
      <c r="H1477" s="1" t="s">
        <v>2520</v>
      </c>
      <c r="I1477" s="2">
        <v>45412</v>
      </c>
      <c r="J1477" s="3">
        <v>0.3520833333333333</v>
      </c>
      <c r="K1477" s="1" t="s">
        <v>3946</v>
      </c>
      <c r="L1477" s="2">
        <v>45486</v>
      </c>
      <c r="M1477" s="3">
        <v>0.59930555555555554</v>
      </c>
      <c r="N1477" s="19" t="s">
        <v>4298</v>
      </c>
    </row>
    <row r="1478" spans="1:14" ht="129.6" hidden="1" x14ac:dyDescent="0.3">
      <c r="A1478" s="47">
        <f t="shared" si="69"/>
        <v>2024</v>
      </c>
      <c r="B1478" s="46">
        <f t="shared" si="70"/>
        <v>18</v>
      </c>
      <c r="C1478" s="46">
        <f t="shared" si="71"/>
        <v>28</v>
      </c>
      <c r="E1478" s="38" t="s">
        <v>4231</v>
      </c>
      <c r="F1478" s="19" t="s">
        <v>4295</v>
      </c>
      <c r="H1478" s="1" t="s">
        <v>2520</v>
      </c>
      <c r="I1478" s="2">
        <v>45412</v>
      </c>
      <c r="J1478" s="3">
        <v>0.34652777777777777</v>
      </c>
      <c r="K1478" s="1" t="s">
        <v>3946</v>
      </c>
      <c r="L1478" s="2">
        <v>45486</v>
      </c>
      <c r="M1478" s="3">
        <v>0.59930555555555554</v>
      </c>
      <c r="N1478" s="19" t="s">
        <v>4297</v>
      </c>
    </row>
    <row r="1479" spans="1:14" ht="100.8" hidden="1" x14ac:dyDescent="0.3">
      <c r="A1479" s="47">
        <f t="shared" si="69"/>
        <v>2024</v>
      </c>
      <c r="B1479" s="46">
        <f t="shared" si="70"/>
        <v>15</v>
      </c>
      <c r="C1479" s="46">
        <f t="shared" si="71"/>
        <v>28</v>
      </c>
      <c r="E1479" s="38" t="s">
        <v>4223</v>
      </c>
      <c r="F1479" s="19" t="s">
        <v>4288</v>
      </c>
      <c r="H1479" s="1" t="s">
        <v>2520</v>
      </c>
      <c r="I1479" s="2">
        <v>45394</v>
      </c>
      <c r="J1479" s="3">
        <v>0.43194444444444446</v>
      </c>
      <c r="K1479" s="1" t="s">
        <v>3946</v>
      </c>
      <c r="L1479" s="2">
        <v>45486</v>
      </c>
      <c r="M1479" s="3">
        <v>0.59930555555555554</v>
      </c>
      <c r="N1479" s="19" t="s">
        <v>4296</v>
      </c>
    </row>
    <row r="1480" spans="1:14" ht="57.6" hidden="1" x14ac:dyDescent="0.3">
      <c r="A1480" s="47">
        <f t="shared" si="69"/>
        <v>2024</v>
      </c>
      <c r="B1480" s="46">
        <f t="shared" si="70"/>
        <v>11</v>
      </c>
      <c r="C1480" s="46">
        <f t="shared" si="71"/>
        <v>28</v>
      </c>
      <c r="E1480" s="38" t="s">
        <v>4220</v>
      </c>
      <c r="F1480" s="19" t="s">
        <v>4291</v>
      </c>
      <c r="G1480" s="1" t="s">
        <v>10</v>
      </c>
      <c r="H1480" s="1" t="s">
        <v>2520</v>
      </c>
      <c r="I1480" s="2">
        <v>45365</v>
      </c>
      <c r="J1480" s="3">
        <v>0.4381944444444445</v>
      </c>
      <c r="K1480" s="1" t="s">
        <v>88</v>
      </c>
      <c r="L1480" s="2">
        <v>45486</v>
      </c>
      <c r="M1480" s="3">
        <v>0.59930555555555554</v>
      </c>
      <c r="N1480" s="19" t="s">
        <v>4290</v>
      </c>
    </row>
    <row r="1481" spans="1:14" ht="57.6" hidden="1" x14ac:dyDescent="0.3">
      <c r="A1481" s="47">
        <f t="shared" si="69"/>
        <v>2024</v>
      </c>
      <c r="B1481" s="46">
        <f t="shared" si="70"/>
        <v>11</v>
      </c>
      <c r="C1481" s="46">
        <f t="shared" si="71"/>
        <v>28</v>
      </c>
      <c r="E1481" s="38" t="s">
        <v>4219</v>
      </c>
      <c r="F1481" s="19" t="s">
        <v>4292</v>
      </c>
      <c r="G1481" s="1" t="s">
        <v>10</v>
      </c>
      <c r="H1481" s="1" t="s">
        <v>2520</v>
      </c>
      <c r="I1481" s="262">
        <v>45364</v>
      </c>
      <c r="J1481" s="3">
        <v>0.69166666666666676</v>
      </c>
      <c r="K1481" s="1" t="s">
        <v>73</v>
      </c>
      <c r="L1481" s="2">
        <v>45486</v>
      </c>
      <c r="M1481" s="3">
        <v>0.60069444444444442</v>
      </c>
      <c r="N1481" s="19" t="s">
        <v>4293</v>
      </c>
    </row>
    <row r="1482" spans="1:14" ht="144" hidden="1" x14ac:dyDescent="0.3">
      <c r="A1482" s="47">
        <f t="shared" si="69"/>
        <v>2024</v>
      </c>
      <c r="B1482" s="46">
        <f t="shared" si="70"/>
        <v>18</v>
      </c>
      <c r="C1482" s="46">
        <f t="shared" si="71"/>
        <v>28</v>
      </c>
      <c r="E1482" s="191" t="s">
        <v>4236</v>
      </c>
      <c r="F1482" s="83" t="s">
        <v>4314</v>
      </c>
      <c r="G1482" s="1" t="s">
        <v>10</v>
      </c>
      <c r="H1482" s="1" t="s">
        <v>2520</v>
      </c>
      <c r="I1482" s="1" t="s">
        <v>4299</v>
      </c>
      <c r="J1482" s="1" t="s">
        <v>4300</v>
      </c>
      <c r="K1482" s="1" t="s">
        <v>3946</v>
      </c>
      <c r="L1482" s="2">
        <v>45486</v>
      </c>
      <c r="M1482" s="3">
        <v>0.64930555555555558</v>
      </c>
      <c r="N1482" s="19" t="s">
        <v>4315</v>
      </c>
    </row>
    <row r="1483" spans="1:14" ht="115.2" hidden="1" x14ac:dyDescent="0.3">
      <c r="A1483" s="47">
        <f t="shared" si="69"/>
        <v>2024</v>
      </c>
      <c r="B1483" s="46">
        <f t="shared" si="70"/>
        <v>17</v>
      </c>
      <c r="C1483" s="46">
        <f t="shared" si="71"/>
        <v>28</v>
      </c>
      <c r="E1483" s="191" t="s">
        <v>4227</v>
      </c>
      <c r="F1483" s="83" t="s">
        <v>4317</v>
      </c>
      <c r="G1483" s="1" t="s">
        <v>10</v>
      </c>
      <c r="H1483" s="1" t="s">
        <v>2520</v>
      </c>
      <c r="I1483" s="1" t="s">
        <v>4301</v>
      </c>
      <c r="J1483" s="1" t="s">
        <v>4302</v>
      </c>
      <c r="K1483" s="1" t="s">
        <v>3946</v>
      </c>
      <c r="L1483" s="2">
        <v>45486</v>
      </c>
      <c r="M1483" s="3">
        <v>0.64930555555555558</v>
      </c>
      <c r="N1483" s="19" t="s">
        <v>4328</v>
      </c>
    </row>
    <row r="1484" spans="1:14" ht="144" hidden="1" x14ac:dyDescent="0.3">
      <c r="A1484" s="47">
        <f t="shared" si="69"/>
        <v>2024</v>
      </c>
      <c r="B1484" s="46">
        <f t="shared" si="70"/>
        <v>18</v>
      </c>
      <c r="C1484" s="46">
        <f t="shared" si="71"/>
        <v>28</v>
      </c>
      <c r="E1484" s="191" t="s">
        <v>4235</v>
      </c>
      <c r="F1484" s="83" t="s">
        <v>4316</v>
      </c>
      <c r="G1484" s="1" t="s">
        <v>10</v>
      </c>
      <c r="H1484" s="1" t="s">
        <v>2520</v>
      </c>
      <c r="I1484" s="1" t="s">
        <v>4299</v>
      </c>
      <c r="J1484" s="1" t="s">
        <v>4303</v>
      </c>
      <c r="K1484" s="1" t="s">
        <v>3946</v>
      </c>
      <c r="L1484" s="2">
        <v>45486</v>
      </c>
      <c r="M1484" s="3">
        <v>0.64930555555555558</v>
      </c>
      <c r="N1484" s="19" t="s">
        <v>4329</v>
      </c>
    </row>
    <row r="1485" spans="1:14" ht="115.2" hidden="1" x14ac:dyDescent="0.3">
      <c r="A1485" s="47">
        <f t="shared" si="69"/>
        <v>2024</v>
      </c>
      <c r="B1485" s="46">
        <f t="shared" si="70"/>
        <v>17</v>
      </c>
      <c r="C1485" s="46">
        <f t="shared" si="71"/>
        <v>28</v>
      </c>
      <c r="E1485" s="191" t="s">
        <v>4229</v>
      </c>
      <c r="F1485" s="83" t="s">
        <v>4318</v>
      </c>
      <c r="G1485" s="1" t="s">
        <v>10</v>
      </c>
      <c r="H1485" s="1" t="s">
        <v>2520</v>
      </c>
      <c r="I1485" s="1" t="s">
        <v>4301</v>
      </c>
      <c r="J1485" s="1" t="s">
        <v>4304</v>
      </c>
      <c r="K1485" s="1" t="s">
        <v>3946</v>
      </c>
      <c r="L1485" s="2">
        <v>45486</v>
      </c>
      <c r="M1485" s="3">
        <v>0.64930555555555558</v>
      </c>
      <c r="N1485" s="19" t="s">
        <v>4330</v>
      </c>
    </row>
    <row r="1486" spans="1:14" ht="158.4" hidden="1" x14ac:dyDescent="0.3">
      <c r="A1486" s="47">
        <f t="shared" si="69"/>
        <v>2024</v>
      </c>
      <c r="B1486" s="46">
        <f t="shared" si="70"/>
        <v>18</v>
      </c>
      <c r="C1486" s="46">
        <f t="shared" si="71"/>
        <v>28</v>
      </c>
      <c r="E1486" s="191" t="s">
        <v>4237</v>
      </c>
      <c r="F1486" s="83" t="s">
        <v>4319</v>
      </c>
      <c r="G1486" s="1" t="s">
        <v>10</v>
      </c>
      <c r="H1486" s="1" t="s">
        <v>2520</v>
      </c>
      <c r="I1486" s="1" t="s">
        <v>4299</v>
      </c>
      <c r="J1486" s="1" t="s">
        <v>4305</v>
      </c>
      <c r="K1486" s="1" t="s">
        <v>3946</v>
      </c>
      <c r="L1486" s="2">
        <v>45486</v>
      </c>
      <c r="M1486" s="3">
        <v>0.64930555555555558</v>
      </c>
      <c r="N1486" s="19" t="s">
        <v>4329</v>
      </c>
    </row>
    <row r="1487" spans="1:14" ht="144" hidden="1" x14ac:dyDescent="0.3">
      <c r="A1487" s="47">
        <f t="shared" si="69"/>
        <v>2024</v>
      </c>
      <c r="B1487" s="46">
        <f t="shared" si="70"/>
        <v>19</v>
      </c>
      <c r="C1487" s="46">
        <f t="shared" si="71"/>
        <v>28</v>
      </c>
      <c r="E1487" s="191" t="s">
        <v>4238</v>
      </c>
      <c r="F1487" s="83" t="s">
        <v>4320</v>
      </c>
      <c r="G1487" s="1" t="s">
        <v>10</v>
      </c>
      <c r="H1487" s="1" t="s">
        <v>2520</v>
      </c>
      <c r="I1487" s="1" t="s">
        <v>4306</v>
      </c>
      <c r="J1487" s="1" t="s">
        <v>4307</v>
      </c>
      <c r="K1487" s="1" t="s">
        <v>3946</v>
      </c>
      <c r="L1487" s="2">
        <v>45486</v>
      </c>
      <c r="M1487" s="3">
        <v>0.64930555555555558</v>
      </c>
      <c r="N1487" s="19" t="s">
        <v>4327</v>
      </c>
    </row>
    <row r="1488" spans="1:14" ht="144" hidden="1" x14ac:dyDescent="0.3">
      <c r="A1488" s="47">
        <f t="shared" si="69"/>
        <v>2024</v>
      </c>
      <c r="B1488" s="46">
        <f t="shared" si="70"/>
        <v>19</v>
      </c>
      <c r="C1488" s="46">
        <f t="shared" si="71"/>
        <v>28</v>
      </c>
      <c r="E1488" s="191" t="s">
        <v>4239</v>
      </c>
      <c r="F1488" s="83" t="s">
        <v>4321</v>
      </c>
      <c r="G1488" s="1" t="s">
        <v>10</v>
      </c>
      <c r="H1488" s="1" t="s">
        <v>2520</v>
      </c>
      <c r="I1488" s="1" t="s">
        <v>4306</v>
      </c>
      <c r="J1488" s="1" t="s">
        <v>4308</v>
      </c>
      <c r="K1488" s="1" t="s">
        <v>3946</v>
      </c>
      <c r="L1488" s="2">
        <v>45486</v>
      </c>
      <c r="M1488" s="3">
        <v>0.64930555555555558</v>
      </c>
      <c r="N1488" s="19" t="s">
        <v>4327</v>
      </c>
    </row>
    <row r="1489" spans="1:14" ht="115.2" hidden="1" x14ac:dyDescent="0.3">
      <c r="A1489" s="47">
        <f t="shared" si="69"/>
        <v>2024</v>
      </c>
      <c r="B1489" s="46">
        <f t="shared" si="70"/>
        <v>17</v>
      </c>
      <c r="C1489" s="46">
        <f t="shared" si="71"/>
        <v>28</v>
      </c>
      <c r="E1489" s="191" t="s">
        <v>4228</v>
      </c>
      <c r="F1489" s="83" t="s">
        <v>4322</v>
      </c>
      <c r="G1489" s="1" t="s">
        <v>10</v>
      </c>
      <c r="H1489" s="1" t="s">
        <v>2520</v>
      </c>
      <c r="I1489" s="1" t="s">
        <v>4301</v>
      </c>
      <c r="J1489" s="1" t="s">
        <v>4309</v>
      </c>
      <c r="K1489" s="1" t="s">
        <v>3946</v>
      </c>
      <c r="L1489" s="2">
        <v>45486</v>
      </c>
      <c r="M1489" s="3">
        <v>0.64930555555555558</v>
      </c>
      <c r="N1489" s="19" t="s">
        <v>4326</v>
      </c>
    </row>
    <row r="1490" spans="1:14" ht="115.2" hidden="1" x14ac:dyDescent="0.3">
      <c r="A1490" s="47">
        <f t="shared" si="69"/>
        <v>2024</v>
      </c>
      <c r="B1490" s="46">
        <f t="shared" si="70"/>
        <v>17</v>
      </c>
      <c r="C1490" s="46">
        <f t="shared" si="71"/>
        <v>28</v>
      </c>
      <c r="E1490" s="191" t="s">
        <v>4230</v>
      </c>
      <c r="F1490" s="83" t="s">
        <v>4323</v>
      </c>
      <c r="G1490" s="1" t="s">
        <v>10</v>
      </c>
      <c r="H1490" s="1" t="s">
        <v>2520</v>
      </c>
      <c r="I1490" s="1" t="s">
        <v>4301</v>
      </c>
      <c r="J1490" s="1" t="s">
        <v>4310</v>
      </c>
      <c r="K1490" s="1" t="s">
        <v>3946</v>
      </c>
      <c r="L1490" s="2">
        <v>45486</v>
      </c>
      <c r="M1490" s="3">
        <v>0.64930555555555558</v>
      </c>
      <c r="N1490" s="19" t="s">
        <v>4331</v>
      </c>
    </row>
    <row r="1491" spans="1:14" ht="172.8" hidden="1" x14ac:dyDescent="0.3">
      <c r="A1491" s="47">
        <f t="shared" si="69"/>
        <v>2024</v>
      </c>
      <c r="B1491" s="46">
        <f t="shared" si="70"/>
        <v>26</v>
      </c>
      <c r="C1491" s="46">
        <f t="shared" si="71"/>
        <v>28</v>
      </c>
      <c r="E1491" s="191" t="s">
        <v>4244</v>
      </c>
      <c r="F1491" s="83" t="s">
        <v>4324</v>
      </c>
      <c r="G1491" s="1" t="s">
        <v>10</v>
      </c>
      <c r="H1491" s="1" t="s">
        <v>2520</v>
      </c>
      <c r="I1491" s="1" t="s">
        <v>4311</v>
      </c>
      <c r="J1491" s="1" t="s">
        <v>4312</v>
      </c>
      <c r="K1491" s="1" t="s">
        <v>3946</v>
      </c>
      <c r="L1491" s="2">
        <v>45486</v>
      </c>
      <c r="M1491" s="3">
        <v>0.64930555555555558</v>
      </c>
      <c r="N1491" s="19" t="s">
        <v>4332</v>
      </c>
    </row>
    <row r="1492" spans="1:14" ht="172.8" hidden="1" x14ac:dyDescent="0.3">
      <c r="A1492" s="47">
        <f t="shared" si="69"/>
        <v>2024</v>
      </c>
      <c r="B1492" s="46">
        <f t="shared" si="70"/>
        <v>26</v>
      </c>
      <c r="C1492" s="46">
        <f t="shared" si="71"/>
        <v>28</v>
      </c>
      <c r="E1492" s="191" t="s">
        <v>4245</v>
      </c>
      <c r="F1492" s="83" t="s">
        <v>4325</v>
      </c>
      <c r="G1492" s="1" t="s">
        <v>10</v>
      </c>
      <c r="H1492" s="1" t="s">
        <v>2520</v>
      </c>
      <c r="I1492" s="1" t="s">
        <v>4311</v>
      </c>
      <c r="J1492" s="1" t="s">
        <v>4313</v>
      </c>
      <c r="K1492" s="1" t="s">
        <v>3946</v>
      </c>
      <c r="L1492" s="2">
        <v>45486</v>
      </c>
      <c r="M1492" s="3">
        <v>0.64930555555555558</v>
      </c>
      <c r="N1492" s="19" t="s">
        <v>4332</v>
      </c>
    </row>
    <row r="1493" spans="1:14" ht="57.6" hidden="1" x14ac:dyDescent="0.3">
      <c r="A1493" s="47">
        <f t="shared" si="69"/>
        <v>2024</v>
      </c>
      <c r="B1493" s="46">
        <f t="shared" si="70"/>
        <v>11</v>
      </c>
      <c r="C1493" s="46">
        <f t="shared" si="71"/>
        <v>29</v>
      </c>
      <c r="E1493" s="38" t="s">
        <v>4221</v>
      </c>
      <c r="F1493" s="19" t="s">
        <v>4333</v>
      </c>
      <c r="G1493" s="1" t="s">
        <v>10</v>
      </c>
      <c r="H1493" s="1" t="s">
        <v>2520</v>
      </c>
      <c r="I1493" s="2">
        <v>45365</v>
      </c>
      <c r="J1493" s="3">
        <v>0.44097222222222227</v>
      </c>
      <c r="K1493" s="1" t="s">
        <v>88</v>
      </c>
      <c r="L1493" s="2">
        <v>45488</v>
      </c>
      <c r="M1493" s="3">
        <v>0.73611111111111116</v>
      </c>
      <c r="N1493" s="19" t="s">
        <v>4334</v>
      </c>
    </row>
    <row r="1494" spans="1:14" ht="57.6" hidden="1" x14ac:dyDescent="0.3">
      <c r="A1494" s="47">
        <f t="shared" si="69"/>
        <v>2024</v>
      </c>
      <c r="B1494" s="46">
        <f t="shared" si="70"/>
        <v>17</v>
      </c>
      <c r="C1494" s="46">
        <f t="shared" si="71"/>
        <v>29</v>
      </c>
      <c r="E1494" s="38" t="s">
        <v>4339</v>
      </c>
      <c r="F1494" s="19" t="s">
        <v>4358</v>
      </c>
      <c r="G1494" s="1" t="s">
        <v>900</v>
      </c>
      <c r="H1494" s="1" t="s">
        <v>2520</v>
      </c>
      <c r="I1494" s="2">
        <v>45408</v>
      </c>
      <c r="J1494" s="3">
        <v>0.63611111111111118</v>
      </c>
      <c r="K1494" s="1" t="s">
        <v>88</v>
      </c>
      <c r="L1494" s="2">
        <v>45488</v>
      </c>
      <c r="M1494" s="3">
        <v>4.4444444444444446E-2</v>
      </c>
      <c r="N1494" s="19" t="s">
        <v>4359</v>
      </c>
    </row>
    <row r="1495" spans="1:14" ht="57.6" hidden="1" x14ac:dyDescent="0.3">
      <c r="A1495" s="47">
        <f t="shared" si="69"/>
        <v>2024</v>
      </c>
      <c r="B1495" s="46">
        <f t="shared" si="70"/>
        <v>17</v>
      </c>
      <c r="C1495" s="46">
        <f t="shared" si="71"/>
        <v>29</v>
      </c>
      <c r="E1495" s="38" t="s">
        <v>4340</v>
      </c>
      <c r="F1495" s="19" t="s">
        <v>4361</v>
      </c>
      <c r="G1495" s="1" t="s">
        <v>900</v>
      </c>
      <c r="H1495" s="1" t="s">
        <v>2520</v>
      </c>
      <c r="I1495" s="2">
        <v>45408</v>
      </c>
      <c r="J1495" s="3">
        <v>0.6381944444444444</v>
      </c>
      <c r="K1495" s="1" t="s">
        <v>88</v>
      </c>
      <c r="L1495" s="2">
        <v>45489</v>
      </c>
      <c r="M1495" s="3">
        <v>0.97430555555555554</v>
      </c>
      <c r="N1495" s="19" t="s">
        <v>4360</v>
      </c>
    </row>
    <row r="1496" spans="1:14" ht="57.6" hidden="1" x14ac:dyDescent="0.3">
      <c r="A1496" s="47">
        <f t="shared" si="69"/>
        <v>2024</v>
      </c>
      <c r="B1496" s="46">
        <f t="shared" si="70"/>
        <v>19</v>
      </c>
      <c r="C1496" s="46">
        <f t="shared" si="71"/>
        <v>29</v>
      </c>
      <c r="E1496" s="38" t="s">
        <v>4364</v>
      </c>
      <c r="F1496" s="19" t="s">
        <v>4363</v>
      </c>
      <c r="G1496" s="1" t="s">
        <v>900</v>
      </c>
      <c r="H1496" s="1" t="s">
        <v>2520</v>
      </c>
      <c r="I1496" s="2">
        <v>45418</v>
      </c>
      <c r="J1496" s="3">
        <v>0.3840277777777778</v>
      </c>
      <c r="K1496" s="1" t="s">
        <v>88</v>
      </c>
      <c r="L1496" s="2">
        <v>45489</v>
      </c>
      <c r="M1496" s="3">
        <v>3.7499999999999999E-2</v>
      </c>
      <c r="N1496" s="19" t="s">
        <v>4362</v>
      </c>
    </row>
    <row r="1497" spans="1:14" ht="72" hidden="1" x14ac:dyDescent="0.3">
      <c r="A1497" s="47">
        <f t="shared" si="69"/>
        <v>2024</v>
      </c>
      <c r="B1497" s="46">
        <f t="shared" si="70"/>
        <v>27</v>
      </c>
      <c r="C1497" s="46">
        <f t="shared" si="71"/>
        <v>30</v>
      </c>
      <c r="E1497" s="38" t="s">
        <v>4353</v>
      </c>
      <c r="F1497" s="19" t="s">
        <v>4365</v>
      </c>
      <c r="G1497" s="1" t="s">
        <v>900</v>
      </c>
      <c r="H1497" s="1" t="s">
        <v>91</v>
      </c>
      <c r="I1497" s="2">
        <v>45477</v>
      </c>
      <c r="J1497" s="3">
        <v>0.71527777777777779</v>
      </c>
      <c r="K1497" s="1" t="s">
        <v>88</v>
      </c>
      <c r="L1497" s="2">
        <v>45495</v>
      </c>
      <c r="M1497" s="3">
        <v>0.86319444444444438</v>
      </c>
      <c r="N1497" s="19" t="s">
        <v>4366</v>
      </c>
    </row>
    <row r="1498" spans="1:14" ht="86.4" hidden="1" x14ac:dyDescent="0.3">
      <c r="A1498" s="47">
        <f t="shared" si="69"/>
        <v>2024</v>
      </c>
      <c r="B1498" s="46">
        <f t="shared" si="70"/>
        <v>22</v>
      </c>
      <c r="C1498" s="46">
        <f t="shared" si="71"/>
        <v>30</v>
      </c>
      <c r="E1498" s="38" t="s">
        <v>4345</v>
      </c>
      <c r="F1498" s="19" t="s">
        <v>4368</v>
      </c>
      <c r="G1498" s="1" t="s">
        <v>900</v>
      </c>
      <c r="H1498" s="1" t="s">
        <v>2520</v>
      </c>
      <c r="I1498" s="2">
        <v>45439</v>
      </c>
      <c r="J1498" s="3">
        <v>0.37638888888888888</v>
      </c>
      <c r="K1498" s="1" t="s">
        <v>88</v>
      </c>
      <c r="L1498" s="2">
        <v>45495</v>
      </c>
      <c r="M1498" s="3">
        <v>0.87777777777777777</v>
      </c>
      <c r="N1498" s="19" t="s">
        <v>4367</v>
      </c>
    </row>
    <row r="1499" spans="1:14" ht="72" hidden="1" x14ac:dyDescent="0.3">
      <c r="E1499" s="38" t="s">
        <v>4356</v>
      </c>
      <c r="F1499" s="19" t="s">
        <v>4370</v>
      </c>
      <c r="G1499" s="1" t="s">
        <v>9</v>
      </c>
      <c r="H1499" s="1" t="s">
        <v>91</v>
      </c>
      <c r="I1499" s="2">
        <v>45482</v>
      </c>
      <c r="J1499" s="3">
        <v>0.7055555555555556</v>
      </c>
      <c r="K1499" s="1" t="s">
        <v>88</v>
      </c>
      <c r="L1499" s="2">
        <v>45496</v>
      </c>
      <c r="M1499" s="3">
        <v>3.888888888888889E-2</v>
      </c>
      <c r="N1499" s="19" t="s">
        <v>4369</v>
      </c>
    </row>
    <row r="1500" spans="1:14" ht="72" hidden="1" x14ac:dyDescent="0.3">
      <c r="A1500" s="47">
        <f t="shared" si="69"/>
        <v>2024</v>
      </c>
      <c r="B1500" s="46">
        <f t="shared" si="70"/>
        <v>20</v>
      </c>
      <c r="C1500" s="46">
        <f t="shared" si="71"/>
        <v>30</v>
      </c>
      <c r="E1500" s="38" t="s">
        <v>4341</v>
      </c>
      <c r="F1500" s="19" t="s">
        <v>4371</v>
      </c>
      <c r="G1500" s="1" t="s">
        <v>900</v>
      </c>
      <c r="H1500" s="1" t="s">
        <v>2520</v>
      </c>
      <c r="I1500" s="2">
        <v>45428</v>
      </c>
      <c r="J1500" s="1" t="s">
        <v>4376</v>
      </c>
      <c r="K1500" s="1" t="s">
        <v>4372</v>
      </c>
      <c r="L1500" s="2">
        <v>45497</v>
      </c>
      <c r="M1500" s="3">
        <v>0.71597222222222223</v>
      </c>
      <c r="N1500" s="19" t="s">
        <v>4373</v>
      </c>
    </row>
    <row r="1501" spans="1:14" ht="57.6" hidden="1" x14ac:dyDescent="0.3">
      <c r="A1501" s="47">
        <f t="shared" si="69"/>
        <v>2024</v>
      </c>
      <c r="B1501" s="46">
        <f t="shared" si="70"/>
        <v>21</v>
      </c>
      <c r="C1501" s="46">
        <f t="shared" si="71"/>
        <v>30</v>
      </c>
      <c r="E1501" s="38" t="s">
        <v>4342</v>
      </c>
      <c r="F1501" s="19" t="s">
        <v>4374</v>
      </c>
      <c r="G1501" s="1" t="s">
        <v>900</v>
      </c>
      <c r="H1501" s="1" t="s">
        <v>2520</v>
      </c>
      <c r="I1501" s="2">
        <v>45433</v>
      </c>
      <c r="J1501" s="3">
        <v>0.64236111111111105</v>
      </c>
      <c r="K1501" s="1" t="s">
        <v>4372</v>
      </c>
      <c r="L1501" s="2">
        <v>45497</v>
      </c>
      <c r="M1501" s="3">
        <v>0.71736111111111101</v>
      </c>
      <c r="N1501" s="19" t="s">
        <v>4375</v>
      </c>
    </row>
    <row r="1502" spans="1:14" ht="86.4" hidden="1" x14ac:dyDescent="0.3">
      <c r="A1502" s="47">
        <f t="shared" si="69"/>
        <v>2024</v>
      </c>
      <c r="B1502" s="46">
        <f t="shared" si="70"/>
        <v>21</v>
      </c>
      <c r="C1502" s="46">
        <f t="shared" si="71"/>
        <v>30</v>
      </c>
      <c r="E1502" s="38" t="s">
        <v>4343</v>
      </c>
      <c r="F1502" s="19" t="s">
        <v>4377</v>
      </c>
      <c r="G1502" s="1" t="s">
        <v>900</v>
      </c>
      <c r="H1502" s="1" t="s">
        <v>2520</v>
      </c>
      <c r="I1502" s="2">
        <v>45434</v>
      </c>
      <c r="J1502" s="3">
        <v>0.39166666666666666</v>
      </c>
      <c r="K1502" s="1" t="s">
        <v>4372</v>
      </c>
      <c r="L1502" s="2">
        <v>45497</v>
      </c>
      <c r="M1502" s="3">
        <v>0.71805555555555556</v>
      </c>
      <c r="N1502" s="19" t="s">
        <v>4378</v>
      </c>
    </row>
    <row r="1503" spans="1:14" ht="212.55" hidden="1" customHeight="1" x14ac:dyDescent="0.3">
      <c r="A1503" s="47">
        <f t="shared" si="69"/>
        <v>2024</v>
      </c>
      <c r="B1503" s="46">
        <f t="shared" si="70"/>
        <v>18</v>
      </c>
      <c r="C1503" s="46">
        <f t="shared" si="71"/>
        <v>30</v>
      </c>
      <c r="E1503" s="38" t="s">
        <v>4233</v>
      </c>
      <c r="F1503" s="19" t="s">
        <v>4380</v>
      </c>
      <c r="G1503" s="1" t="s">
        <v>10</v>
      </c>
      <c r="H1503" s="1" t="s">
        <v>2520</v>
      </c>
      <c r="I1503" s="2">
        <v>45414</v>
      </c>
      <c r="J1503" s="3">
        <v>0.6166666666666667</v>
      </c>
      <c r="K1503" s="1" t="s">
        <v>88</v>
      </c>
      <c r="L1503" s="2">
        <v>45498</v>
      </c>
      <c r="M1503" s="3">
        <v>6.9444444444444447E-4</v>
      </c>
      <c r="N1503" s="19" t="s">
        <v>4379</v>
      </c>
    </row>
    <row r="1504" spans="1:14" ht="189" hidden="1" customHeight="1" x14ac:dyDescent="0.3">
      <c r="A1504" s="47">
        <f t="shared" si="69"/>
        <v>2027</v>
      </c>
      <c r="B1504" s="46">
        <f t="shared" si="70"/>
        <v>18</v>
      </c>
      <c r="C1504" s="46">
        <f t="shared" si="71"/>
        <v>31</v>
      </c>
      <c r="E1504" s="38" t="s">
        <v>4234</v>
      </c>
      <c r="F1504" s="19" t="s">
        <v>4387</v>
      </c>
      <c r="G1504" s="1" t="s">
        <v>10</v>
      </c>
      <c r="H1504" s="1" t="s">
        <v>2520</v>
      </c>
      <c r="I1504" s="2">
        <v>45414</v>
      </c>
      <c r="J1504" s="3">
        <v>0.65555555555555556</v>
      </c>
      <c r="K1504" s="1" t="s">
        <v>88</v>
      </c>
      <c r="L1504" s="2">
        <v>46594</v>
      </c>
      <c r="M1504" s="3">
        <v>7.6388888888888886E-3</v>
      </c>
      <c r="N1504" s="19" t="s">
        <v>4412</v>
      </c>
    </row>
    <row r="1505" spans="1:14" ht="129.6" hidden="1" x14ac:dyDescent="0.3">
      <c r="A1505" s="47">
        <f t="shared" si="69"/>
        <v>2024</v>
      </c>
      <c r="B1505" s="46">
        <f t="shared" si="70"/>
        <v>30</v>
      </c>
      <c r="C1505" s="46">
        <f t="shared" si="71"/>
        <v>30</v>
      </c>
      <c r="E1505" s="1" t="s">
        <v>4352</v>
      </c>
      <c r="F1505" s="19" t="s">
        <v>4388</v>
      </c>
      <c r="G1505" s="1" t="s">
        <v>900</v>
      </c>
      <c r="H1505" s="1" t="s">
        <v>91</v>
      </c>
      <c r="I1505" s="2">
        <v>45498</v>
      </c>
      <c r="J1505" s="3">
        <v>0.4777777777777778</v>
      </c>
      <c r="K1505" s="1" t="s">
        <v>3946</v>
      </c>
      <c r="L1505" s="2">
        <v>45498</v>
      </c>
      <c r="M1505" s="3">
        <v>0.53888888888888886</v>
      </c>
      <c r="N1505" s="19" t="s">
        <v>4389</v>
      </c>
    </row>
    <row r="1506" spans="1:14" ht="158.4" hidden="1" x14ac:dyDescent="0.3">
      <c r="A1506" s="47">
        <f t="shared" si="69"/>
        <v>2024</v>
      </c>
      <c r="B1506" s="46">
        <f t="shared" si="70"/>
        <v>30</v>
      </c>
      <c r="C1506" s="46">
        <f t="shared" si="71"/>
        <v>30</v>
      </c>
      <c r="E1506" s="1" t="s">
        <v>4351</v>
      </c>
      <c r="F1506" s="19" t="s">
        <v>4390</v>
      </c>
      <c r="G1506" s="1" t="s">
        <v>900</v>
      </c>
      <c r="H1506" s="1" t="s">
        <v>91</v>
      </c>
      <c r="I1506" s="2">
        <v>45498</v>
      </c>
      <c r="J1506" s="3">
        <v>0.4770833333333333</v>
      </c>
      <c r="K1506" s="1" t="s">
        <v>3946</v>
      </c>
      <c r="L1506" s="2">
        <v>45498</v>
      </c>
      <c r="M1506" s="3">
        <v>0.57013888888888886</v>
      </c>
      <c r="N1506" s="19" t="s">
        <v>4392</v>
      </c>
    </row>
    <row r="1507" spans="1:14" ht="144" hidden="1" x14ac:dyDescent="0.3">
      <c r="A1507" s="47">
        <f t="shared" si="69"/>
        <v>2024</v>
      </c>
      <c r="B1507" s="46">
        <f t="shared" si="70"/>
        <v>30</v>
      </c>
      <c r="C1507" s="46">
        <f t="shared" si="71"/>
        <v>30</v>
      </c>
      <c r="E1507" s="38" t="s">
        <v>4350</v>
      </c>
      <c r="F1507" s="19" t="s">
        <v>4391</v>
      </c>
      <c r="G1507" s="1" t="s">
        <v>900</v>
      </c>
      <c r="H1507" s="1" t="s">
        <v>91</v>
      </c>
      <c r="I1507" s="2">
        <v>45498</v>
      </c>
      <c r="J1507" s="3">
        <v>0.47638888888888892</v>
      </c>
      <c r="K1507" s="1" t="s">
        <v>3946</v>
      </c>
      <c r="L1507" s="2">
        <v>45498</v>
      </c>
      <c r="M1507" s="3">
        <v>0.5756944444444444</v>
      </c>
      <c r="N1507" s="19" t="s">
        <v>4393</v>
      </c>
    </row>
    <row r="1508" spans="1:14" ht="201.6" hidden="1" x14ac:dyDescent="0.3">
      <c r="A1508" s="47">
        <f t="shared" si="69"/>
        <v>2024</v>
      </c>
      <c r="B1508" s="46">
        <f t="shared" si="70"/>
        <v>0</v>
      </c>
      <c r="C1508" s="46">
        <f t="shared" si="71"/>
        <v>30</v>
      </c>
      <c r="E1508" s="38" t="s">
        <v>4348</v>
      </c>
      <c r="F1508" s="19" t="s">
        <v>4394</v>
      </c>
      <c r="G1508" s="1" t="s">
        <v>900</v>
      </c>
      <c r="H1508" s="1" t="s">
        <v>2520</v>
      </c>
      <c r="I1508" s="3">
        <v>0.20833333333333334</v>
      </c>
      <c r="K1508" s="1" t="s">
        <v>3946</v>
      </c>
      <c r="L1508" s="2">
        <v>45498</v>
      </c>
      <c r="M1508" s="3">
        <v>0.59652777777777777</v>
      </c>
      <c r="N1508" s="19" t="s">
        <v>4395</v>
      </c>
    </row>
    <row r="1509" spans="1:14" ht="144" hidden="1" x14ac:dyDescent="0.3">
      <c r="A1509" s="47">
        <f t="shared" si="69"/>
        <v>2024</v>
      </c>
      <c r="B1509" s="46">
        <f t="shared" si="70"/>
        <v>27</v>
      </c>
      <c r="C1509" s="46">
        <f t="shared" si="71"/>
        <v>30</v>
      </c>
      <c r="E1509" s="38" t="s">
        <v>4348</v>
      </c>
      <c r="F1509" s="19" t="s">
        <v>4396</v>
      </c>
      <c r="G1509" s="1" t="s">
        <v>900</v>
      </c>
      <c r="H1509" s="1" t="s">
        <v>2520</v>
      </c>
      <c r="I1509" s="2">
        <v>45478</v>
      </c>
      <c r="J1509" s="3">
        <v>0.20833333333333334</v>
      </c>
      <c r="K1509" s="1" t="s">
        <v>3946</v>
      </c>
      <c r="L1509" s="2">
        <v>45498</v>
      </c>
      <c r="M1509" s="3">
        <v>0.60555555555555551</v>
      </c>
      <c r="N1509" s="19" t="s">
        <v>4397</v>
      </c>
    </row>
    <row r="1510" spans="1:14" ht="172.8" hidden="1" x14ac:dyDescent="0.3">
      <c r="A1510" s="47">
        <f t="shared" si="69"/>
        <v>2024</v>
      </c>
      <c r="B1510" s="46">
        <f t="shared" si="70"/>
        <v>22</v>
      </c>
      <c r="C1510" s="46">
        <f t="shared" si="71"/>
        <v>30</v>
      </c>
      <c r="E1510" s="38" t="s">
        <v>4346</v>
      </c>
      <c r="F1510" s="19" t="s">
        <v>4398</v>
      </c>
      <c r="G1510" s="1" t="s">
        <v>900</v>
      </c>
      <c r="H1510" s="1" t="s">
        <v>2520</v>
      </c>
      <c r="I1510" s="2">
        <v>45442</v>
      </c>
      <c r="J1510" s="3">
        <v>0.22013888888888888</v>
      </c>
      <c r="K1510" s="1" t="s">
        <v>3946</v>
      </c>
      <c r="L1510" s="2">
        <v>45498</v>
      </c>
      <c r="M1510" s="3">
        <v>0.62291666666666667</v>
      </c>
      <c r="N1510" s="19" t="s">
        <v>4411</v>
      </c>
    </row>
    <row r="1511" spans="1:14" ht="100.8" hidden="1" x14ac:dyDescent="0.3">
      <c r="A1511" s="47">
        <f t="shared" si="69"/>
        <v>2024</v>
      </c>
      <c r="B1511" s="46">
        <f t="shared" si="70"/>
        <v>30</v>
      </c>
      <c r="C1511" s="46">
        <f t="shared" si="71"/>
        <v>30</v>
      </c>
      <c r="E1511" s="38" t="s">
        <v>4383</v>
      </c>
      <c r="F1511" s="19" t="s">
        <v>4399</v>
      </c>
      <c r="G1511" s="1" t="s">
        <v>900</v>
      </c>
      <c r="H1511" s="1" t="s">
        <v>91</v>
      </c>
      <c r="I1511" s="2">
        <v>45498</v>
      </c>
      <c r="J1511" s="3">
        <v>0.6645833333333333</v>
      </c>
      <c r="K1511" s="1" t="s">
        <v>3946</v>
      </c>
      <c r="L1511" s="2">
        <v>45498</v>
      </c>
      <c r="M1511" s="3">
        <v>0.63541666666666663</v>
      </c>
      <c r="N1511" s="19" t="s">
        <v>4400</v>
      </c>
    </row>
    <row r="1512" spans="1:14" ht="331.2" hidden="1" x14ac:dyDescent="0.3">
      <c r="A1512" s="47">
        <f t="shared" si="69"/>
        <v>2024</v>
      </c>
      <c r="B1512" s="46">
        <f t="shared" si="70"/>
        <v>30</v>
      </c>
      <c r="C1512" s="46">
        <f t="shared" si="71"/>
        <v>30</v>
      </c>
      <c r="E1512" s="38" t="s">
        <v>4347</v>
      </c>
      <c r="F1512" s="19" t="s">
        <v>4401</v>
      </c>
      <c r="G1512" s="1" t="s">
        <v>900</v>
      </c>
      <c r="H1512" s="1" t="s">
        <v>91</v>
      </c>
      <c r="I1512" s="2">
        <v>45498</v>
      </c>
      <c r="J1512" s="3">
        <v>0.6645833333333333</v>
      </c>
      <c r="K1512" s="1" t="s">
        <v>3946</v>
      </c>
      <c r="L1512" s="2">
        <v>45498</v>
      </c>
      <c r="M1512" s="3">
        <v>0.63541666666666663</v>
      </c>
      <c r="N1512" s="19" t="s">
        <v>4402</v>
      </c>
    </row>
    <row r="1513" spans="1:14" ht="100.8" hidden="1" x14ac:dyDescent="0.3">
      <c r="A1513" s="47">
        <f t="shared" si="69"/>
        <v>2024</v>
      </c>
      <c r="B1513" s="46">
        <f t="shared" si="70"/>
        <v>30</v>
      </c>
      <c r="C1513" s="46">
        <f t="shared" si="71"/>
        <v>30</v>
      </c>
      <c r="E1513" s="38" t="s">
        <v>4386</v>
      </c>
      <c r="F1513" s="19" t="s">
        <v>4403</v>
      </c>
      <c r="G1513" s="1" t="s">
        <v>900</v>
      </c>
      <c r="H1513" s="1" t="s">
        <v>91</v>
      </c>
      <c r="I1513" s="64">
        <v>45497</v>
      </c>
      <c r="J1513" s="3">
        <v>0.40347222222222223</v>
      </c>
      <c r="K1513" s="1" t="s">
        <v>3946</v>
      </c>
      <c r="L1513" s="2">
        <v>45498</v>
      </c>
      <c r="M1513" s="3">
        <v>0.65277777777777779</v>
      </c>
      <c r="N1513" s="19" t="s">
        <v>4404</v>
      </c>
    </row>
    <row r="1514" spans="1:14" ht="144" hidden="1" x14ac:dyDescent="0.3">
      <c r="A1514" s="47">
        <f t="shared" si="69"/>
        <v>2024</v>
      </c>
      <c r="B1514" s="46">
        <f t="shared" si="70"/>
        <v>30</v>
      </c>
      <c r="C1514" s="46">
        <f t="shared" si="71"/>
        <v>30</v>
      </c>
      <c r="E1514" s="38" t="s">
        <v>4385</v>
      </c>
      <c r="F1514" s="19" t="s">
        <v>4405</v>
      </c>
      <c r="G1514" s="1" t="s">
        <v>900</v>
      </c>
      <c r="H1514" s="1" t="s">
        <v>91</v>
      </c>
      <c r="I1514" s="64">
        <v>45497</v>
      </c>
      <c r="J1514" s="3">
        <v>0.35555555555555557</v>
      </c>
      <c r="K1514" s="1" t="s">
        <v>3946</v>
      </c>
      <c r="L1514" s="2">
        <v>45498</v>
      </c>
      <c r="M1514" s="3">
        <v>0.65555555555555556</v>
      </c>
      <c r="N1514" s="19" t="s">
        <v>4406</v>
      </c>
    </row>
    <row r="1515" spans="1:14" ht="158.4" hidden="1" x14ac:dyDescent="0.3">
      <c r="A1515" s="47">
        <f t="shared" si="69"/>
        <v>2024</v>
      </c>
      <c r="B1515" s="46">
        <f t="shared" si="70"/>
        <v>30</v>
      </c>
      <c r="C1515" s="46">
        <f t="shared" si="71"/>
        <v>30</v>
      </c>
      <c r="E1515" s="38" t="s">
        <v>4384</v>
      </c>
      <c r="F1515" s="19" t="s">
        <v>4407</v>
      </c>
      <c r="G1515" s="1" t="s">
        <v>900</v>
      </c>
      <c r="H1515" s="1" t="s">
        <v>91</v>
      </c>
      <c r="I1515" s="64">
        <v>45496</v>
      </c>
      <c r="J1515" s="3">
        <v>0.43611111111111112</v>
      </c>
      <c r="K1515" s="1" t="s">
        <v>3946</v>
      </c>
      <c r="L1515" s="2">
        <v>45498</v>
      </c>
      <c r="M1515" s="3">
        <v>0.65625</v>
      </c>
      <c r="N1515" s="19" t="s">
        <v>4408</v>
      </c>
    </row>
    <row r="1516" spans="1:14" ht="129.6" hidden="1" x14ac:dyDescent="0.3">
      <c r="A1516" s="47">
        <f t="shared" si="69"/>
        <v>2024</v>
      </c>
      <c r="B1516" s="46">
        <f t="shared" si="70"/>
        <v>27</v>
      </c>
      <c r="C1516" s="46">
        <f t="shared" si="71"/>
        <v>30</v>
      </c>
      <c r="E1516" s="38" t="s">
        <v>4349</v>
      </c>
      <c r="F1516" s="19" t="s">
        <v>4409</v>
      </c>
      <c r="G1516" s="1" t="s">
        <v>900</v>
      </c>
      <c r="H1516" s="1" t="s">
        <v>91</v>
      </c>
      <c r="I1516" s="64">
        <v>45475</v>
      </c>
      <c r="J1516" s="3">
        <v>0.22013888888888888</v>
      </c>
      <c r="K1516" s="1" t="s">
        <v>3946</v>
      </c>
      <c r="L1516" s="2">
        <v>45498</v>
      </c>
      <c r="M1516" s="3">
        <v>0.65833333333333333</v>
      </c>
      <c r="N1516" s="19" t="s">
        <v>4410</v>
      </c>
    </row>
    <row r="1517" spans="1:14" ht="224.1" hidden="1" customHeight="1" x14ac:dyDescent="0.3">
      <c r="A1517" s="47" t="e">
        <f>YEAR(#REF!)</f>
        <v>#REF!</v>
      </c>
      <c r="B1517" s="46">
        <f t="shared" ref="B1517:B1534" si="72">WEEKNUM(I1517)</f>
        <v>21</v>
      </c>
      <c r="C1517" s="46">
        <f t="shared" ref="C1517:C1535" si="73">WEEKNUM(L1517)</f>
        <v>31</v>
      </c>
      <c r="E1517" s="38" t="s">
        <v>4344</v>
      </c>
      <c r="F1517" s="19" t="s">
        <v>4414</v>
      </c>
      <c r="G1517" s="1" t="s">
        <v>900</v>
      </c>
      <c r="H1517" s="1" t="s">
        <v>2520</v>
      </c>
      <c r="I1517" s="2">
        <v>45434</v>
      </c>
      <c r="J1517" s="3">
        <v>0.39513888888888887</v>
      </c>
      <c r="K1517" s="1" t="s">
        <v>88</v>
      </c>
      <c r="L1517" s="2">
        <v>45503</v>
      </c>
      <c r="M1517" s="3">
        <v>0.46111111111111108</v>
      </c>
      <c r="N1517" s="19" t="s">
        <v>4413</v>
      </c>
    </row>
    <row r="1518" spans="1:14" ht="244.8" hidden="1" x14ac:dyDescent="0.3">
      <c r="A1518" s="47">
        <f t="shared" si="69"/>
        <v>2024</v>
      </c>
      <c r="B1518" s="46">
        <f t="shared" si="72"/>
        <v>22</v>
      </c>
      <c r="C1518" s="46">
        <f t="shared" si="73"/>
        <v>31</v>
      </c>
      <c r="E1518" s="38" t="s">
        <v>4416</v>
      </c>
      <c r="F1518" s="19" t="s">
        <v>4415</v>
      </c>
      <c r="G1518" s="1" t="s">
        <v>900</v>
      </c>
      <c r="H1518" s="1" t="s">
        <v>2520</v>
      </c>
      <c r="I1518" s="2">
        <v>45441</v>
      </c>
      <c r="J1518" s="3">
        <v>0.12222222222222223</v>
      </c>
      <c r="K1518" s="1" t="s">
        <v>3946</v>
      </c>
      <c r="L1518" s="2">
        <v>45504</v>
      </c>
      <c r="M1518" s="3">
        <v>0.59236111111111112</v>
      </c>
      <c r="N1518" s="19" t="s">
        <v>4418</v>
      </c>
    </row>
    <row r="1519" spans="1:14" ht="86.4" hidden="1" x14ac:dyDescent="0.3">
      <c r="A1519" s="47">
        <f t="shared" si="69"/>
        <v>2024</v>
      </c>
      <c r="B1519" s="46">
        <f t="shared" si="72"/>
        <v>27</v>
      </c>
      <c r="C1519" s="46">
        <f t="shared" si="73"/>
        <v>31</v>
      </c>
      <c r="E1519" s="38" t="s">
        <v>4354</v>
      </c>
      <c r="F1519" s="19" t="s">
        <v>4417</v>
      </c>
      <c r="G1519" s="1" t="s">
        <v>900</v>
      </c>
      <c r="H1519" s="1" t="s">
        <v>2520</v>
      </c>
      <c r="I1519" s="2">
        <v>45477</v>
      </c>
      <c r="J1519" s="3">
        <v>0.71736111111111101</v>
      </c>
      <c r="K1519" s="1" t="s">
        <v>3946</v>
      </c>
      <c r="L1519" s="2">
        <v>45504</v>
      </c>
      <c r="M1519" s="3">
        <v>0.6020833333333333</v>
      </c>
      <c r="N1519" s="19" t="s">
        <v>4419</v>
      </c>
    </row>
    <row r="1520" spans="1:14" ht="86.4" hidden="1" x14ac:dyDescent="0.3">
      <c r="A1520" s="47">
        <f t="shared" si="69"/>
        <v>2024</v>
      </c>
      <c r="B1520" s="46">
        <f t="shared" si="72"/>
        <v>28</v>
      </c>
      <c r="C1520" s="46">
        <f t="shared" si="73"/>
        <v>31</v>
      </c>
      <c r="E1520" s="38" t="s">
        <v>4355</v>
      </c>
      <c r="F1520" s="19" t="s">
        <v>4420</v>
      </c>
      <c r="G1520" s="1" t="s">
        <v>900</v>
      </c>
      <c r="H1520" s="1" t="s">
        <v>91</v>
      </c>
      <c r="I1520" s="2">
        <v>45481</v>
      </c>
      <c r="J1520" s="3">
        <v>0.2076388888888889</v>
      </c>
      <c r="K1520" s="1" t="s">
        <v>3946</v>
      </c>
      <c r="L1520" s="2">
        <v>45504</v>
      </c>
      <c r="M1520" s="3">
        <v>0.61458333333333337</v>
      </c>
      <c r="N1520" s="19" t="s">
        <v>4421</v>
      </c>
    </row>
    <row r="1521" spans="1:15" ht="79.05" hidden="1" customHeight="1" x14ac:dyDescent="0.3">
      <c r="A1521" s="47">
        <f t="shared" si="69"/>
        <v>2024</v>
      </c>
      <c r="B1521" s="46">
        <f t="shared" si="72"/>
        <v>30</v>
      </c>
      <c r="C1521" s="46">
        <f t="shared" si="73"/>
        <v>31</v>
      </c>
      <c r="E1521" s="38" t="s">
        <v>4422</v>
      </c>
      <c r="F1521" s="19" t="s">
        <v>4423</v>
      </c>
      <c r="G1521" s="1" t="s">
        <v>900</v>
      </c>
      <c r="H1521" s="1" t="s">
        <v>91</v>
      </c>
      <c r="I1521" s="64">
        <v>45499</v>
      </c>
      <c r="J1521" s="3">
        <v>0.36944444444444446</v>
      </c>
      <c r="K1521" s="1" t="s">
        <v>3946</v>
      </c>
      <c r="L1521" s="2">
        <v>45504</v>
      </c>
      <c r="M1521" s="3">
        <v>0.63263888888888886</v>
      </c>
      <c r="N1521" s="19" t="s">
        <v>4424</v>
      </c>
    </row>
    <row r="1522" spans="1:15" ht="288" hidden="1" x14ac:dyDescent="0.3">
      <c r="A1522" s="47">
        <f t="shared" si="69"/>
        <v>2024</v>
      </c>
      <c r="B1522" s="46" t="e">
        <f>WEEKNUM(#REF!)</f>
        <v>#REF!</v>
      </c>
      <c r="C1522" s="46">
        <f t="shared" si="73"/>
        <v>31</v>
      </c>
      <c r="E1522" s="38" t="s">
        <v>4427</v>
      </c>
      <c r="F1522" s="19" t="s">
        <v>4428</v>
      </c>
      <c r="G1522" s="1" t="s">
        <v>10</v>
      </c>
      <c r="H1522" s="1" t="s">
        <v>91</v>
      </c>
      <c r="I1522" s="2">
        <v>45503</v>
      </c>
      <c r="J1522" s="3">
        <v>0.40347222222222223</v>
      </c>
      <c r="K1522" s="1" t="s">
        <v>3946</v>
      </c>
      <c r="L1522" s="2">
        <v>45505</v>
      </c>
      <c r="M1522" s="3">
        <v>0.4291666666666667</v>
      </c>
      <c r="N1522" s="19" t="s">
        <v>4429</v>
      </c>
    </row>
    <row r="1523" spans="1:15" ht="216" hidden="1" x14ac:dyDescent="0.3">
      <c r="A1523" s="47">
        <f t="shared" si="69"/>
        <v>2024</v>
      </c>
      <c r="B1523" s="46">
        <f t="shared" si="72"/>
        <v>29</v>
      </c>
      <c r="C1523" s="46">
        <f t="shared" si="73"/>
        <v>31</v>
      </c>
      <c r="E1523" s="38" t="s">
        <v>4382</v>
      </c>
      <c r="F1523" s="19" t="s">
        <v>4430</v>
      </c>
      <c r="G1523" s="1" t="s">
        <v>9</v>
      </c>
      <c r="H1523" s="1" t="s">
        <v>91</v>
      </c>
      <c r="I1523" s="2">
        <v>45490</v>
      </c>
      <c r="J1523" s="3">
        <v>0.38125000000000003</v>
      </c>
      <c r="K1523" s="1" t="s">
        <v>3946</v>
      </c>
      <c r="L1523" s="2">
        <v>45505</v>
      </c>
      <c r="M1523" s="3">
        <v>0.44236111111111115</v>
      </c>
      <c r="N1523" s="19" t="s">
        <v>4431</v>
      </c>
      <c r="O1523" s="293"/>
    </row>
    <row r="1524" spans="1:15" ht="129.6" hidden="1" x14ac:dyDescent="0.3">
      <c r="A1524" s="47">
        <f t="shared" si="69"/>
        <v>2024</v>
      </c>
      <c r="B1524" s="46">
        <f t="shared" si="72"/>
        <v>29</v>
      </c>
      <c r="C1524" s="46">
        <f t="shared" si="73"/>
        <v>31</v>
      </c>
      <c r="E1524" s="38" t="s">
        <v>4381</v>
      </c>
      <c r="F1524" s="19" t="s">
        <v>4432</v>
      </c>
      <c r="G1524" s="1" t="s">
        <v>9</v>
      </c>
      <c r="H1524" s="2" t="s">
        <v>91</v>
      </c>
      <c r="I1524" s="2">
        <v>45488</v>
      </c>
      <c r="J1524" s="3">
        <v>0.70347222222222217</v>
      </c>
      <c r="K1524" s="1" t="s">
        <v>3946</v>
      </c>
      <c r="L1524" s="2">
        <v>45505</v>
      </c>
      <c r="M1524" s="3">
        <v>0.45</v>
      </c>
      <c r="N1524" s="19" t="s">
        <v>4429</v>
      </c>
    </row>
    <row r="1525" spans="1:15" ht="129.6" hidden="1" x14ac:dyDescent="0.3">
      <c r="A1525" s="47">
        <f t="shared" si="69"/>
        <v>2024</v>
      </c>
      <c r="B1525" s="46">
        <f t="shared" si="72"/>
        <v>28</v>
      </c>
      <c r="C1525" s="46">
        <f t="shared" si="73"/>
        <v>31</v>
      </c>
      <c r="E1525" s="38" t="s">
        <v>4425</v>
      </c>
      <c r="F1525" s="19" t="s">
        <v>4426</v>
      </c>
      <c r="G1525" s="1" t="s">
        <v>9</v>
      </c>
      <c r="H1525" s="2" t="s">
        <v>91</v>
      </c>
      <c r="I1525" s="2">
        <v>45483</v>
      </c>
      <c r="J1525" s="3">
        <v>0.59722222222222221</v>
      </c>
      <c r="K1525" s="1" t="s">
        <v>3946</v>
      </c>
      <c r="L1525" s="2">
        <v>45505</v>
      </c>
      <c r="M1525" s="3">
        <v>0.45208333333333334</v>
      </c>
      <c r="N1525" s="19" t="s">
        <v>4433</v>
      </c>
    </row>
    <row r="1526" spans="1:15" ht="345.6" hidden="1" x14ac:dyDescent="0.3">
      <c r="A1526" s="47">
        <f t="shared" si="69"/>
        <v>2024</v>
      </c>
      <c r="B1526" s="46">
        <f t="shared" si="72"/>
        <v>23</v>
      </c>
      <c r="C1526" s="46">
        <f t="shared" si="73"/>
        <v>31</v>
      </c>
      <c r="E1526" s="38" t="s">
        <v>4241</v>
      </c>
      <c r="F1526" s="19" t="s">
        <v>4434</v>
      </c>
      <c r="G1526" s="1" t="s">
        <v>10</v>
      </c>
      <c r="H1526" s="1" t="s">
        <v>2520</v>
      </c>
      <c r="I1526" s="2">
        <v>45449</v>
      </c>
      <c r="J1526" s="3">
        <v>0.39861111111111108</v>
      </c>
      <c r="K1526" s="1" t="s">
        <v>3946</v>
      </c>
      <c r="L1526" s="2">
        <v>45505</v>
      </c>
      <c r="M1526" s="3">
        <v>0.4548611111111111</v>
      </c>
      <c r="N1526" s="19" t="s">
        <v>4435</v>
      </c>
    </row>
    <row r="1527" spans="1:15" ht="187.2" hidden="1" x14ac:dyDescent="0.3">
      <c r="A1527" s="47">
        <f t="shared" si="69"/>
        <v>2024</v>
      </c>
      <c r="B1527" s="46">
        <f t="shared" si="72"/>
        <v>30</v>
      </c>
      <c r="C1527" s="46">
        <f t="shared" si="73"/>
        <v>31</v>
      </c>
      <c r="E1527" s="38" t="s">
        <v>4436</v>
      </c>
      <c r="F1527" s="19" t="s">
        <v>4437</v>
      </c>
      <c r="G1527" s="1" t="s">
        <v>10</v>
      </c>
      <c r="H1527" s="1" t="s">
        <v>91</v>
      </c>
      <c r="I1527" s="2">
        <v>45498</v>
      </c>
      <c r="J1527" s="3">
        <v>0.37986111111111115</v>
      </c>
      <c r="K1527" s="1" t="s">
        <v>3946</v>
      </c>
      <c r="L1527" s="2">
        <v>45505</v>
      </c>
      <c r="M1527" s="3">
        <v>0.50763888888888886</v>
      </c>
      <c r="N1527" s="19" t="s">
        <v>4438</v>
      </c>
    </row>
    <row r="1528" spans="1:15" ht="115.2" hidden="1" x14ac:dyDescent="0.3">
      <c r="A1528" s="47">
        <f t="shared" si="69"/>
        <v>2024</v>
      </c>
      <c r="B1528" s="46">
        <f t="shared" si="72"/>
        <v>31</v>
      </c>
      <c r="C1528" s="46">
        <f t="shared" si="73"/>
        <v>31</v>
      </c>
      <c r="E1528" s="38" t="s">
        <v>4439</v>
      </c>
      <c r="F1528" s="19" t="s">
        <v>4440</v>
      </c>
      <c r="G1528" s="1" t="s">
        <v>9</v>
      </c>
      <c r="H1528" s="1" t="s">
        <v>91</v>
      </c>
      <c r="I1528" s="2">
        <v>45506</v>
      </c>
      <c r="J1528" s="3">
        <v>0.47500000000000003</v>
      </c>
      <c r="K1528" s="1" t="s">
        <v>3946</v>
      </c>
      <c r="L1528" s="2">
        <v>45506</v>
      </c>
      <c r="M1528" s="3">
        <v>0.69166666666666676</v>
      </c>
      <c r="N1528" s="19" t="s">
        <v>4441</v>
      </c>
    </row>
    <row r="1529" spans="1:15" ht="129.6" hidden="1" x14ac:dyDescent="0.3">
      <c r="A1529" s="47">
        <f t="shared" si="69"/>
        <v>2024</v>
      </c>
      <c r="B1529" s="46">
        <f t="shared" si="72"/>
        <v>31</v>
      </c>
      <c r="C1529" s="46">
        <f t="shared" si="73"/>
        <v>32</v>
      </c>
      <c r="E1529" s="38" t="s">
        <v>4443</v>
      </c>
      <c r="F1529" s="19" t="s">
        <v>4442</v>
      </c>
      <c r="G1529" s="1" t="s">
        <v>10</v>
      </c>
      <c r="H1529" s="1" t="s">
        <v>91</v>
      </c>
      <c r="I1529" s="2">
        <v>45505</v>
      </c>
      <c r="J1529" s="3">
        <v>0.38263888888888892</v>
      </c>
      <c r="K1529" s="1" t="s">
        <v>3946</v>
      </c>
      <c r="L1529" s="2">
        <v>45511</v>
      </c>
      <c r="M1529" s="3">
        <v>0.41666666666666669</v>
      </c>
      <c r="N1529" s="19" t="s">
        <v>4444</v>
      </c>
    </row>
    <row r="1530" spans="1:15" ht="201.6" hidden="1" x14ac:dyDescent="0.3">
      <c r="A1530" s="47">
        <f t="shared" si="69"/>
        <v>2024</v>
      </c>
      <c r="B1530" s="46">
        <f t="shared" si="72"/>
        <v>31</v>
      </c>
      <c r="C1530" s="46">
        <f t="shared" si="73"/>
        <v>32</v>
      </c>
      <c r="E1530" s="38" t="s">
        <v>4445</v>
      </c>
      <c r="F1530" s="19" t="s">
        <v>4446</v>
      </c>
      <c r="G1530" s="1" t="s">
        <v>9</v>
      </c>
      <c r="H1530" s="1" t="s">
        <v>91</v>
      </c>
      <c r="I1530" s="2">
        <v>45505</v>
      </c>
      <c r="J1530" s="3">
        <v>0.40277777777777773</v>
      </c>
      <c r="K1530" s="1" t="s">
        <v>3946</v>
      </c>
      <c r="L1530" s="2">
        <v>45511</v>
      </c>
      <c r="M1530" s="3">
        <v>0.47916666666666669</v>
      </c>
      <c r="N1530" s="19" t="s">
        <v>4447</v>
      </c>
    </row>
    <row r="1531" spans="1:15" ht="129.6" hidden="1" x14ac:dyDescent="0.3">
      <c r="A1531" s="47">
        <f t="shared" si="69"/>
        <v>2024</v>
      </c>
      <c r="B1531" s="46">
        <f t="shared" si="72"/>
        <v>31</v>
      </c>
      <c r="C1531" s="46">
        <f t="shared" si="73"/>
        <v>32</v>
      </c>
      <c r="E1531" s="38" t="s">
        <v>4448</v>
      </c>
      <c r="F1531" s="19" t="s">
        <v>4449</v>
      </c>
      <c r="G1531" s="1" t="s">
        <v>10</v>
      </c>
      <c r="H1531" s="1" t="s">
        <v>91</v>
      </c>
      <c r="I1531" s="2">
        <v>45505</v>
      </c>
      <c r="J1531" s="3">
        <v>0.38611111111111113</v>
      </c>
      <c r="K1531" s="1" t="s">
        <v>3946</v>
      </c>
      <c r="L1531" s="2">
        <v>45512</v>
      </c>
      <c r="M1531" s="3">
        <v>0.73125000000000007</v>
      </c>
      <c r="N1531" s="19" t="s">
        <v>4444</v>
      </c>
    </row>
    <row r="1532" spans="1:15" ht="115.2" hidden="1" x14ac:dyDescent="0.3">
      <c r="A1532" s="47">
        <f t="shared" si="69"/>
        <v>2024</v>
      </c>
      <c r="B1532" s="46">
        <f t="shared" si="72"/>
        <v>31</v>
      </c>
      <c r="C1532" s="46">
        <f t="shared" si="73"/>
        <v>33</v>
      </c>
      <c r="E1532" s="38" t="s">
        <v>4450</v>
      </c>
      <c r="F1532" s="19" t="s">
        <v>4451</v>
      </c>
      <c r="G1532" s="1" t="s">
        <v>10</v>
      </c>
      <c r="H1532" s="1" t="s">
        <v>91</v>
      </c>
      <c r="I1532" s="2">
        <v>45506</v>
      </c>
      <c r="J1532" s="3">
        <v>0.48888888888888887</v>
      </c>
      <c r="K1532" s="1" t="s">
        <v>3946</v>
      </c>
      <c r="L1532" s="2">
        <v>45517</v>
      </c>
      <c r="M1532" s="3">
        <v>0.65208333333333335</v>
      </c>
      <c r="N1532" s="19" t="s">
        <v>4452</v>
      </c>
    </row>
    <row r="1533" spans="1:15" ht="86.4" hidden="1" x14ac:dyDescent="0.3">
      <c r="A1533" s="47">
        <f t="shared" si="69"/>
        <v>2024</v>
      </c>
      <c r="B1533" s="46">
        <f t="shared" si="72"/>
        <v>32</v>
      </c>
      <c r="C1533" s="46">
        <f t="shared" si="73"/>
        <v>33</v>
      </c>
      <c r="E1533" s="38" t="s">
        <v>4453</v>
      </c>
      <c r="F1533" s="19" t="s">
        <v>4454</v>
      </c>
      <c r="G1533" s="1" t="s">
        <v>10</v>
      </c>
      <c r="H1533" s="1" t="s">
        <v>91</v>
      </c>
      <c r="I1533" s="2">
        <v>45509</v>
      </c>
      <c r="J1533" s="3">
        <v>0.57222222222222219</v>
      </c>
      <c r="K1533" s="1" t="s">
        <v>3946</v>
      </c>
      <c r="L1533" s="2">
        <v>45517</v>
      </c>
      <c r="M1533" s="3">
        <v>0.65555555555555556</v>
      </c>
      <c r="N1533" s="19" t="s">
        <v>4455</v>
      </c>
    </row>
    <row r="1534" spans="1:15" ht="158.4" hidden="1" x14ac:dyDescent="0.3">
      <c r="A1534" s="47">
        <f t="shared" si="69"/>
        <v>2024</v>
      </c>
      <c r="B1534" s="46">
        <f t="shared" si="72"/>
        <v>32</v>
      </c>
      <c r="C1534" s="46">
        <f t="shared" si="73"/>
        <v>33</v>
      </c>
      <c r="E1534" s="38" t="s">
        <v>4457</v>
      </c>
      <c r="F1534" s="19" t="s">
        <v>4456</v>
      </c>
      <c r="G1534" s="1" t="s">
        <v>10</v>
      </c>
      <c r="H1534" s="1" t="s">
        <v>2520</v>
      </c>
      <c r="I1534" s="2">
        <v>45510</v>
      </c>
      <c r="J1534" s="3">
        <v>0.6694444444444444</v>
      </c>
      <c r="K1534" s="1" t="s">
        <v>3946</v>
      </c>
      <c r="L1534" s="2">
        <v>45517</v>
      </c>
      <c r="M1534" s="3">
        <v>0.67222222222222217</v>
      </c>
      <c r="N1534" s="19" t="s">
        <v>4458</v>
      </c>
    </row>
    <row r="1535" spans="1:15" ht="327" hidden="1" customHeight="1" x14ac:dyDescent="0.3">
      <c r="A1535" s="1">
        <f t="shared" si="69"/>
        <v>2024</v>
      </c>
      <c r="C1535" s="1">
        <f t="shared" si="73"/>
        <v>34</v>
      </c>
      <c r="E1535" s="1" t="s">
        <v>4459</v>
      </c>
      <c r="F1535" s="21" t="s">
        <v>4479</v>
      </c>
      <c r="G1535" s="1" t="s">
        <v>900</v>
      </c>
      <c r="H1535" s="1" t="s">
        <v>91</v>
      </c>
      <c r="I1535" s="2">
        <v>45505</v>
      </c>
      <c r="J1535" s="3">
        <v>0.39305555555555555</v>
      </c>
      <c r="L1535" s="2">
        <v>45523</v>
      </c>
      <c r="N1535" s="19" t="s">
        <v>4584</v>
      </c>
    </row>
    <row r="1536" spans="1:15" ht="57.6" hidden="1" x14ac:dyDescent="0.3">
      <c r="E1536" s="1" t="s">
        <v>4460</v>
      </c>
      <c r="F1536" s="21" t="s">
        <v>4480</v>
      </c>
      <c r="G1536" s="1" t="s">
        <v>900</v>
      </c>
      <c r="H1536" s="1" t="s">
        <v>91</v>
      </c>
      <c r="I1536" s="2">
        <v>45509</v>
      </c>
      <c r="J1536" s="3">
        <v>0.56111111111111112</v>
      </c>
      <c r="K1536" s="1" t="s">
        <v>3946</v>
      </c>
      <c r="L1536" s="2">
        <v>45523</v>
      </c>
      <c r="M1536" s="3">
        <v>0.50763888888888886</v>
      </c>
      <c r="N1536" s="19" t="s">
        <v>4429</v>
      </c>
    </row>
    <row r="1537" spans="5:14" ht="86.4" hidden="1" x14ac:dyDescent="0.3">
      <c r="E1537" s="1" t="s">
        <v>4461</v>
      </c>
      <c r="F1537" s="21" t="s">
        <v>4481</v>
      </c>
      <c r="G1537" s="1" t="s">
        <v>900</v>
      </c>
      <c r="H1537" s="1" t="s">
        <v>91</v>
      </c>
      <c r="I1537" s="2">
        <v>45509</v>
      </c>
      <c r="J1537" s="3">
        <v>0.60972222222222217</v>
      </c>
      <c r="K1537" s="1" t="s">
        <v>3946</v>
      </c>
      <c r="L1537" s="2">
        <v>45523</v>
      </c>
      <c r="M1537" s="3">
        <v>0.54861111111111105</v>
      </c>
      <c r="N1537" s="19" t="s">
        <v>4496</v>
      </c>
    </row>
    <row r="1538" spans="5:14" ht="144" hidden="1" x14ac:dyDescent="0.3">
      <c r="E1538" s="1" t="s">
        <v>4462</v>
      </c>
      <c r="F1538" s="21" t="s">
        <v>4482</v>
      </c>
      <c r="G1538" s="1" t="s">
        <v>10</v>
      </c>
      <c r="H1538" s="1" t="s">
        <v>2520</v>
      </c>
      <c r="I1538" s="64">
        <v>45510</v>
      </c>
      <c r="J1538" s="3">
        <v>0.65902777777777777</v>
      </c>
      <c r="K1538" s="1" t="s">
        <v>3946</v>
      </c>
      <c r="L1538" s="2">
        <v>45523</v>
      </c>
      <c r="M1538" s="3">
        <v>0.59305555555555556</v>
      </c>
      <c r="N1538" s="19" t="s">
        <v>4429</v>
      </c>
    </row>
    <row r="1539" spans="5:14" ht="153" hidden="1" customHeight="1" x14ac:dyDescent="0.3">
      <c r="E1539" s="1" t="s">
        <v>4463</v>
      </c>
      <c r="F1539" s="21" t="s">
        <v>4483</v>
      </c>
      <c r="G1539" s="1" t="s">
        <v>900</v>
      </c>
      <c r="H1539" s="1" t="s">
        <v>2520</v>
      </c>
      <c r="I1539" s="2">
        <v>45511</v>
      </c>
      <c r="J1539" s="3">
        <v>0.56041666666666667</v>
      </c>
      <c r="K1539" s="1" t="s">
        <v>88</v>
      </c>
      <c r="L1539" s="2">
        <v>45523</v>
      </c>
      <c r="M1539" s="3">
        <v>0.35347222222222219</v>
      </c>
      <c r="N1539" s="19" t="s">
        <v>4677</v>
      </c>
    </row>
    <row r="1540" spans="5:14" ht="57.6" hidden="1" x14ac:dyDescent="0.3">
      <c r="E1540" s="1" t="s">
        <v>4464</v>
      </c>
      <c r="F1540" s="21" t="s">
        <v>4501</v>
      </c>
      <c r="G1540" s="1" t="s">
        <v>900</v>
      </c>
      <c r="H1540" s="1" t="s">
        <v>2520</v>
      </c>
      <c r="I1540" s="2">
        <v>45512</v>
      </c>
      <c r="J1540" s="3">
        <v>0.36388888888888887</v>
      </c>
      <c r="K1540" s="1" t="s">
        <v>3946</v>
      </c>
      <c r="L1540" s="2">
        <v>45523</v>
      </c>
      <c r="M1540" s="3">
        <v>0.6333333333333333</v>
      </c>
      <c r="N1540" s="19" t="s">
        <v>1212</v>
      </c>
    </row>
    <row r="1541" spans="5:14" ht="241.5" hidden="1" customHeight="1" x14ac:dyDescent="0.3">
      <c r="E1541" s="1" t="s">
        <v>4465</v>
      </c>
      <c r="F1541" s="21" t="s">
        <v>4484</v>
      </c>
      <c r="G1541" s="1" t="s">
        <v>10</v>
      </c>
      <c r="H1541" s="1" t="s">
        <v>2520</v>
      </c>
      <c r="I1541" s="64">
        <v>45516</v>
      </c>
      <c r="J1541" s="3">
        <v>0.37361111111111112</v>
      </c>
      <c r="K1541" s="1" t="s">
        <v>3946</v>
      </c>
      <c r="L1541" s="2">
        <v>45523</v>
      </c>
      <c r="M1541" s="3">
        <v>0.65486111111111112</v>
      </c>
      <c r="N1541" s="19" t="s">
        <v>4521</v>
      </c>
    </row>
    <row r="1542" spans="5:14" ht="57.6" hidden="1" x14ac:dyDescent="0.3">
      <c r="E1542" s="1" t="s">
        <v>4466</v>
      </c>
      <c r="F1542" s="21" t="s">
        <v>4485</v>
      </c>
      <c r="G1542" s="1" t="s">
        <v>10</v>
      </c>
      <c r="H1542" s="1" t="s">
        <v>2520</v>
      </c>
      <c r="I1542" s="2">
        <v>45512</v>
      </c>
      <c r="J1542" s="3">
        <v>0.68680555555555556</v>
      </c>
      <c r="K1542" s="1" t="s">
        <v>3946</v>
      </c>
      <c r="L1542" s="2">
        <v>45523</v>
      </c>
      <c r="M1542" s="3">
        <v>0.64027777777777783</v>
      </c>
      <c r="N1542" s="19" t="s">
        <v>4502</v>
      </c>
    </row>
    <row r="1543" spans="5:14" ht="228" hidden="1" customHeight="1" x14ac:dyDescent="0.3">
      <c r="E1543" s="1" t="s">
        <v>4467</v>
      </c>
      <c r="F1543" s="21" t="s">
        <v>4486</v>
      </c>
      <c r="G1543" s="1" t="s">
        <v>10</v>
      </c>
      <c r="H1543" s="1" t="s">
        <v>2520</v>
      </c>
      <c r="I1543" s="2">
        <v>45513</v>
      </c>
      <c r="J1543" s="3">
        <v>0.69861111111111107</v>
      </c>
      <c r="K1543" s="1" t="s">
        <v>3946</v>
      </c>
      <c r="L1543" s="2">
        <v>45523</v>
      </c>
      <c r="M1543" s="3">
        <v>0.69791666666666663</v>
      </c>
      <c r="N1543" s="19" t="s">
        <v>4503</v>
      </c>
    </row>
    <row r="1544" spans="5:14" ht="57.6" hidden="1" x14ac:dyDescent="0.3">
      <c r="E1544" s="1" t="s">
        <v>4468</v>
      </c>
      <c r="F1544" s="21" t="s">
        <v>4487</v>
      </c>
      <c r="G1544" s="1" t="s">
        <v>900</v>
      </c>
      <c r="H1544" s="1" t="s">
        <v>2520</v>
      </c>
      <c r="I1544" s="2">
        <v>45513</v>
      </c>
      <c r="J1544" s="3">
        <v>0.70416666666666661</v>
      </c>
      <c r="K1544" s="1" t="s">
        <v>3946</v>
      </c>
      <c r="L1544" s="2">
        <v>45523</v>
      </c>
      <c r="M1544" s="3">
        <v>0.6333333333333333</v>
      </c>
      <c r="N1544" s="19" t="s">
        <v>1212</v>
      </c>
    </row>
    <row r="1545" spans="5:14" ht="100.8" hidden="1" x14ac:dyDescent="0.3">
      <c r="E1545" s="1" t="s">
        <v>4469</v>
      </c>
      <c r="F1545" s="21" t="s">
        <v>4488</v>
      </c>
      <c r="G1545" s="1" t="s">
        <v>9</v>
      </c>
      <c r="H1545" s="1" t="s">
        <v>2520</v>
      </c>
      <c r="I1545" s="2">
        <v>45513</v>
      </c>
      <c r="J1545" s="3">
        <v>0.7090277777777777</v>
      </c>
      <c r="K1545" s="1" t="s">
        <v>3946</v>
      </c>
      <c r="L1545" s="2">
        <v>45523</v>
      </c>
      <c r="M1545" s="3">
        <v>0.23194444444444443</v>
      </c>
      <c r="N1545" s="19" t="s">
        <v>955</v>
      </c>
    </row>
    <row r="1546" spans="5:14" ht="409.6" hidden="1" x14ac:dyDescent="0.3">
      <c r="E1546" s="1" t="s">
        <v>4470</v>
      </c>
      <c r="F1546" s="21" t="s">
        <v>4489</v>
      </c>
      <c r="G1546" s="1" t="s">
        <v>10</v>
      </c>
      <c r="H1546" s="1" t="s">
        <v>2520</v>
      </c>
      <c r="I1546" s="2">
        <v>45513</v>
      </c>
      <c r="J1546" s="3">
        <v>0.7090277777777777</v>
      </c>
      <c r="K1546" s="1" t="s">
        <v>3946</v>
      </c>
      <c r="L1546" s="2">
        <v>45528</v>
      </c>
      <c r="M1546" s="3">
        <v>0.30902777777777779</v>
      </c>
      <c r="N1546" s="19" t="s">
        <v>4520</v>
      </c>
    </row>
    <row r="1547" spans="5:14" ht="72" hidden="1" x14ac:dyDescent="0.3">
      <c r="E1547" s="1" t="s">
        <v>4471</v>
      </c>
      <c r="F1547" s="21" t="s">
        <v>4490</v>
      </c>
      <c r="G1547" s="1" t="s">
        <v>900</v>
      </c>
      <c r="L1547" s="2">
        <v>45523</v>
      </c>
    </row>
    <row r="1548" spans="5:14" ht="57.6" hidden="1" x14ac:dyDescent="0.3">
      <c r="E1548" s="1" t="s">
        <v>4472</v>
      </c>
      <c r="F1548" s="21" t="s">
        <v>4491</v>
      </c>
      <c r="G1548" s="1" t="s">
        <v>9</v>
      </c>
      <c r="H1548" s="1" t="s">
        <v>2520</v>
      </c>
      <c r="I1548" s="2">
        <v>45516</v>
      </c>
      <c r="J1548" s="3">
        <v>0.45763888888888887</v>
      </c>
      <c r="K1548" s="1" t="s">
        <v>3946</v>
      </c>
      <c r="L1548" s="2">
        <v>45523</v>
      </c>
      <c r="M1548" s="3">
        <v>0.25</v>
      </c>
      <c r="N1548" s="19" t="s">
        <v>955</v>
      </c>
    </row>
    <row r="1549" spans="5:14" ht="141" hidden="1" customHeight="1" x14ac:dyDescent="0.3">
      <c r="E1549" s="1" t="s">
        <v>4473</v>
      </c>
      <c r="F1549" s="21" t="s">
        <v>4492</v>
      </c>
      <c r="G1549" s="1" t="s">
        <v>10</v>
      </c>
      <c r="H1549" s="1" t="s">
        <v>2520</v>
      </c>
      <c r="I1549" s="2">
        <v>45516</v>
      </c>
      <c r="J1549" s="3">
        <v>0.46319444444444446</v>
      </c>
      <c r="K1549" s="1" t="s">
        <v>3946</v>
      </c>
      <c r="L1549" s="2">
        <v>45523</v>
      </c>
      <c r="M1549" s="3">
        <v>0.24791666666666667</v>
      </c>
      <c r="N1549" s="19" t="s">
        <v>4519</v>
      </c>
    </row>
    <row r="1550" spans="5:14" ht="302.39999999999998" hidden="1" x14ac:dyDescent="0.3">
      <c r="E1550" s="1" t="s">
        <v>4474</v>
      </c>
      <c r="F1550" s="21" t="s">
        <v>4493</v>
      </c>
      <c r="G1550" s="1" t="s">
        <v>10</v>
      </c>
      <c r="H1550" s="1" t="s">
        <v>2520</v>
      </c>
      <c r="I1550" s="2">
        <v>45516</v>
      </c>
      <c r="J1550" s="3">
        <v>0.48333333333333334</v>
      </c>
      <c r="K1550" s="1" t="s">
        <v>3946</v>
      </c>
      <c r="L1550" s="2">
        <v>45523</v>
      </c>
      <c r="M1550" s="3">
        <v>0.65416666666666667</v>
      </c>
      <c r="N1550" s="19" t="s">
        <v>4522</v>
      </c>
    </row>
    <row r="1551" spans="5:14" ht="86.4" hidden="1" x14ac:dyDescent="0.3">
      <c r="E1551" s="1" t="s">
        <v>4475</v>
      </c>
      <c r="F1551" s="21" t="s">
        <v>4494</v>
      </c>
      <c r="G1551" s="1" t="s">
        <v>10</v>
      </c>
      <c r="H1551" s="1" t="s">
        <v>2520</v>
      </c>
      <c r="I1551" s="2">
        <v>45518</v>
      </c>
      <c r="J1551" s="3">
        <v>0.5708333333333333</v>
      </c>
      <c r="K1551" s="1" t="s">
        <v>3946</v>
      </c>
      <c r="L1551" s="2">
        <v>45523</v>
      </c>
      <c r="M1551" s="3">
        <v>0.72499999999999998</v>
      </c>
      <c r="N1551" s="19" t="s">
        <v>1212</v>
      </c>
    </row>
    <row r="1552" spans="5:14" ht="86.4" hidden="1" x14ac:dyDescent="0.3">
      <c r="E1552" s="1" t="s">
        <v>4476</v>
      </c>
      <c r="F1552" s="21" t="s">
        <v>4559</v>
      </c>
      <c r="G1552" s="1" t="s">
        <v>9</v>
      </c>
      <c r="H1552" s="1" t="s">
        <v>2520</v>
      </c>
      <c r="I1552" s="2">
        <v>45520</v>
      </c>
      <c r="J1552" s="3">
        <v>0.58333333333333337</v>
      </c>
      <c r="K1552" s="1" t="s">
        <v>3946</v>
      </c>
      <c r="L1552" s="2">
        <v>45523</v>
      </c>
      <c r="M1552" s="3">
        <v>0.61805555555555558</v>
      </c>
      <c r="N1552" s="19" t="s">
        <v>955</v>
      </c>
    </row>
    <row r="1553" spans="5:14" ht="100.8" hidden="1" x14ac:dyDescent="0.3">
      <c r="E1553" s="1" t="s">
        <v>4477</v>
      </c>
      <c r="F1553" s="21" t="s">
        <v>4558</v>
      </c>
      <c r="G1553" s="1" t="s">
        <v>9</v>
      </c>
      <c r="H1553" s="1" t="s">
        <v>2520</v>
      </c>
      <c r="I1553" s="2">
        <v>45520</v>
      </c>
      <c r="J1553" s="3">
        <v>0.38958333333333334</v>
      </c>
      <c r="K1553" s="1" t="s">
        <v>3946</v>
      </c>
      <c r="L1553" s="2">
        <v>45523</v>
      </c>
      <c r="N1553" s="19" t="s">
        <v>955</v>
      </c>
    </row>
    <row r="1554" spans="5:14" ht="43.2" hidden="1" x14ac:dyDescent="0.3">
      <c r="E1554" s="1" t="s">
        <v>4478</v>
      </c>
      <c r="F1554" s="21" t="s">
        <v>4495</v>
      </c>
      <c r="G1554" s="1" t="s">
        <v>10</v>
      </c>
      <c r="H1554" s="1" t="s">
        <v>2520</v>
      </c>
      <c r="I1554" s="2">
        <v>45520</v>
      </c>
      <c r="J1554" s="3">
        <v>0.3979166666666667</v>
      </c>
      <c r="K1554" s="1" t="s">
        <v>3946</v>
      </c>
      <c r="L1554" s="2">
        <v>45523</v>
      </c>
      <c r="M1554" s="3">
        <v>0.25486111111111109</v>
      </c>
      <c r="N1554" s="19" t="s">
        <v>955</v>
      </c>
    </row>
    <row r="1555" spans="5:14" ht="171" hidden="1" customHeight="1" x14ac:dyDescent="0.3">
      <c r="E1555" s="38" t="s">
        <v>4497</v>
      </c>
      <c r="F1555" s="19" t="s">
        <v>4498</v>
      </c>
      <c r="G1555" s="1" t="s">
        <v>4499</v>
      </c>
      <c r="H1555" s="1" t="s">
        <v>2520</v>
      </c>
      <c r="I1555" s="2">
        <v>45525</v>
      </c>
      <c r="J1555" s="3">
        <v>0.65486111111111112</v>
      </c>
      <c r="K1555" s="1" t="s">
        <v>73</v>
      </c>
      <c r="L1555" s="2">
        <v>45527</v>
      </c>
      <c r="M1555" s="3">
        <v>0.3833333333333333</v>
      </c>
      <c r="N1555" s="19" t="s">
        <v>4500</v>
      </c>
    </row>
    <row r="1556" spans="5:14" hidden="1" x14ac:dyDescent="0.3">
      <c r="E1556" t="s">
        <v>4504</v>
      </c>
      <c r="F1556" t="s">
        <v>4512</v>
      </c>
      <c r="G1556" t="s">
        <v>10</v>
      </c>
      <c r="H1556" s="1" t="s">
        <v>2520</v>
      </c>
      <c r="I1556" s="2">
        <v>45520</v>
      </c>
      <c r="J1556" s="3">
        <v>0.69236111111111109</v>
      </c>
      <c r="K1556" s="1" t="s">
        <v>3946</v>
      </c>
      <c r="L1556" s="2">
        <v>45528</v>
      </c>
      <c r="M1556" s="3">
        <v>0.22430555555555556</v>
      </c>
      <c r="N1556" s="19" t="s">
        <v>955</v>
      </c>
    </row>
    <row r="1557" spans="5:14" ht="28.8" hidden="1" x14ac:dyDescent="0.3">
      <c r="E1557" t="s">
        <v>4506</v>
      </c>
      <c r="F1557" t="s">
        <v>4513</v>
      </c>
      <c r="G1557" t="s">
        <v>9</v>
      </c>
      <c r="H1557" s="1" t="s">
        <v>2520</v>
      </c>
      <c r="I1557" s="2">
        <v>45520</v>
      </c>
      <c r="J1557" s="3">
        <v>0.70416666666666661</v>
      </c>
      <c r="K1557" s="1" t="s">
        <v>88</v>
      </c>
      <c r="L1557" s="2">
        <v>45584</v>
      </c>
      <c r="M1557" s="3">
        <v>0.3840277777777778</v>
      </c>
      <c r="N1557" s="19" t="s">
        <v>4678</v>
      </c>
    </row>
    <row r="1558" spans="5:14" hidden="1" x14ac:dyDescent="0.3">
      <c r="E1558" t="s">
        <v>4507</v>
      </c>
      <c r="F1558" t="s">
        <v>4514</v>
      </c>
      <c r="G1558" t="s">
        <v>10</v>
      </c>
      <c r="H1558" s="1" t="s">
        <v>2520</v>
      </c>
      <c r="I1558" s="2">
        <v>45523</v>
      </c>
      <c r="J1558" s="3">
        <v>0.41041666666666665</v>
      </c>
      <c r="K1558" s="1" t="s">
        <v>3946</v>
      </c>
      <c r="L1558" s="2">
        <v>45532</v>
      </c>
      <c r="M1558" s="3">
        <v>0.5444444444444444</v>
      </c>
      <c r="N1558" s="19" t="s">
        <v>955</v>
      </c>
    </row>
    <row r="1559" spans="5:14" hidden="1" x14ac:dyDescent="0.3">
      <c r="E1559" t="s">
        <v>4508</v>
      </c>
      <c r="F1559" t="s">
        <v>4515</v>
      </c>
      <c r="G1559" t="s">
        <v>9</v>
      </c>
      <c r="N1559" s="19" t="s">
        <v>955</v>
      </c>
    </row>
    <row r="1560" spans="5:14" ht="114" hidden="1" customHeight="1" x14ac:dyDescent="0.3">
      <c r="E1560" s="38" t="s">
        <v>4509</v>
      </c>
      <c r="F1560" s="19" t="s">
        <v>4516</v>
      </c>
      <c r="G1560" s="38" t="s">
        <v>10</v>
      </c>
      <c r="H1560" s="1" t="s">
        <v>2520</v>
      </c>
      <c r="I1560" s="2">
        <v>45525</v>
      </c>
      <c r="J1560" s="3">
        <v>0.68611111111111101</v>
      </c>
      <c r="K1560" s="2" t="s">
        <v>3946</v>
      </c>
      <c r="L1560" s="2">
        <v>45559</v>
      </c>
      <c r="M1560" s="3">
        <v>0.5444444444444444</v>
      </c>
      <c r="N1560" s="19" t="s">
        <v>4583</v>
      </c>
    </row>
    <row r="1561" spans="5:14" ht="129.6" hidden="1" x14ac:dyDescent="0.3">
      <c r="E1561" t="s">
        <v>4510</v>
      </c>
      <c r="F1561" s="83" t="s">
        <v>4517</v>
      </c>
      <c r="G1561" t="s">
        <v>10</v>
      </c>
      <c r="H1561" s="1" t="s">
        <v>2520</v>
      </c>
      <c r="I1561" s="2">
        <v>45525</v>
      </c>
      <c r="J1561" s="3">
        <v>0.69166666666666676</v>
      </c>
      <c r="K1561" s="1" t="s">
        <v>88</v>
      </c>
      <c r="L1561" s="1" t="s">
        <v>4680</v>
      </c>
      <c r="M1561" s="3">
        <v>0.47361111111111115</v>
      </c>
      <c r="N1561" s="19" t="s">
        <v>4679</v>
      </c>
    </row>
    <row r="1562" spans="5:14" hidden="1" x14ac:dyDescent="0.3">
      <c r="E1562" t="s">
        <v>4511</v>
      </c>
      <c r="F1562" t="s">
        <v>4518</v>
      </c>
      <c r="G1562" t="s">
        <v>900</v>
      </c>
      <c r="H1562" s="1" t="s">
        <v>2520</v>
      </c>
      <c r="I1562" s="2">
        <v>45526</v>
      </c>
      <c r="J1562" s="3">
        <v>0.38472222222222219</v>
      </c>
      <c r="K1562" s="1" t="s">
        <v>3946</v>
      </c>
      <c r="L1562" s="2">
        <v>45528</v>
      </c>
      <c r="M1562" s="3">
        <v>0.22222222222222221</v>
      </c>
      <c r="N1562" s="19" t="s">
        <v>955</v>
      </c>
    </row>
    <row r="1563" spans="5:14" ht="156" hidden="1" customHeight="1" x14ac:dyDescent="0.3">
      <c r="E1563" s="38" t="s">
        <v>4505</v>
      </c>
      <c r="F1563" s="19" t="s">
        <v>4523</v>
      </c>
      <c r="G1563" s="1" t="s">
        <v>10</v>
      </c>
      <c r="H1563" s="1" t="s">
        <v>2520</v>
      </c>
      <c r="I1563" s="64">
        <v>45520</v>
      </c>
      <c r="J1563" s="3">
        <v>0.6958333333333333</v>
      </c>
      <c r="K1563" s="1" t="s">
        <v>3946</v>
      </c>
      <c r="L1563" s="2">
        <v>45537</v>
      </c>
      <c r="M1563" s="3">
        <v>0.49027777777777781</v>
      </c>
      <c r="N1563" s="19" t="s">
        <v>4528</v>
      </c>
    </row>
    <row r="1564" spans="5:14" ht="129.6" hidden="1" x14ac:dyDescent="0.3">
      <c r="E1564" s="296" t="s">
        <v>4524</v>
      </c>
      <c r="F1564" s="19" t="s">
        <v>4527</v>
      </c>
      <c r="G1564" s="38" t="s">
        <v>10</v>
      </c>
      <c r="H1564" s="1" t="s">
        <v>2520</v>
      </c>
      <c r="I1564" s="3">
        <v>0.96388888888888891</v>
      </c>
      <c r="J1564" s="3">
        <v>0.61875000000000002</v>
      </c>
      <c r="K1564" s="1" t="s">
        <v>3946</v>
      </c>
      <c r="L1564" s="2">
        <v>45537</v>
      </c>
      <c r="M1564" s="3">
        <v>0.65347222222222223</v>
      </c>
      <c r="N1564" s="19" t="s">
        <v>955</v>
      </c>
    </row>
    <row r="1565" spans="5:14" ht="187.2" hidden="1" x14ac:dyDescent="0.3">
      <c r="E1565" s="296" t="s">
        <v>4525</v>
      </c>
      <c r="F1565" s="83" t="s">
        <v>4529</v>
      </c>
      <c r="G1565" s="38" t="s">
        <v>10</v>
      </c>
      <c r="H1565" s="1" t="s">
        <v>2520</v>
      </c>
      <c r="I1565" s="2">
        <v>45534</v>
      </c>
      <c r="J1565" s="3">
        <v>0.64027777777777783</v>
      </c>
      <c r="K1565" s="1" t="s">
        <v>3946</v>
      </c>
      <c r="L1565" s="2">
        <v>45537</v>
      </c>
      <c r="M1565" s="3">
        <v>0.69374999999999998</v>
      </c>
      <c r="N1565" s="19" t="s">
        <v>955</v>
      </c>
    </row>
    <row r="1566" spans="5:14" ht="100.8" hidden="1" x14ac:dyDescent="0.3">
      <c r="E1566" s="296" t="s">
        <v>4526</v>
      </c>
      <c r="F1566" s="19" t="s">
        <v>4530</v>
      </c>
      <c r="G1566" s="38" t="s">
        <v>9</v>
      </c>
      <c r="H1566" s="1" t="s">
        <v>2520</v>
      </c>
      <c r="I1566" s="2">
        <v>45534</v>
      </c>
      <c r="J1566" s="3">
        <v>0.71597222222222223</v>
      </c>
      <c r="K1566" s="1" t="s">
        <v>3946</v>
      </c>
      <c r="L1566" s="2">
        <v>45537</v>
      </c>
      <c r="M1566" s="3">
        <v>0.69861111111111107</v>
      </c>
      <c r="N1566" s="99" t="s">
        <v>4557</v>
      </c>
    </row>
    <row r="1567" spans="5:14" ht="201.6" hidden="1" x14ac:dyDescent="0.3">
      <c r="E1567" s="296" t="s">
        <v>4531</v>
      </c>
      <c r="F1567" s="83" t="s">
        <v>4532</v>
      </c>
      <c r="G1567" s="38" t="s">
        <v>10</v>
      </c>
      <c r="H1567" s="1" t="s">
        <v>2520</v>
      </c>
      <c r="I1567" s="2">
        <v>45538</v>
      </c>
      <c r="J1567" s="3">
        <v>0.49583333333333335</v>
      </c>
      <c r="K1567" s="1" t="s">
        <v>3946</v>
      </c>
      <c r="L1567" s="2">
        <v>45545</v>
      </c>
      <c r="M1567" s="3">
        <v>0.49583333333333335</v>
      </c>
      <c r="N1567" s="19" t="s">
        <v>955</v>
      </c>
    </row>
    <row r="1568" spans="5:14" ht="201.6" hidden="1" x14ac:dyDescent="0.3">
      <c r="E1568" s="296" t="s">
        <v>4533</v>
      </c>
      <c r="F1568" s="83" t="s">
        <v>4534</v>
      </c>
      <c r="G1568" s="38" t="s">
        <v>900</v>
      </c>
      <c r="H1568" s="1" t="s">
        <v>2520</v>
      </c>
      <c r="I1568" s="2">
        <v>45538</v>
      </c>
      <c r="J1568" s="3">
        <v>0.69652777777777775</v>
      </c>
      <c r="K1568" s="1" t="s">
        <v>3946</v>
      </c>
      <c r="L1568" s="2">
        <v>45545</v>
      </c>
      <c r="M1568" s="3">
        <v>0.50624999999999998</v>
      </c>
      <c r="N1568" s="19" t="s">
        <v>955</v>
      </c>
    </row>
    <row r="1569" spans="5:14" ht="201.6" hidden="1" x14ac:dyDescent="0.3">
      <c r="E1569" s="296" t="s">
        <v>4535</v>
      </c>
      <c r="F1569" s="83" t="s">
        <v>4536</v>
      </c>
      <c r="G1569" s="38" t="s">
        <v>900</v>
      </c>
      <c r="H1569" s="1" t="s">
        <v>2520</v>
      </c>
      <c r="I1569" s="2">
        <v>45538</v>
      </c>
      <c r="J1569" s="3">
        <v>0.70000000000000007</v>
      </c>
      <c r="K1569" s="1" t="s">
        <v>3946</v>
      </c>
      <c r="L1569" s="2">
        <v>45545</v>
      </c>
      <c r="M1569" s="3">
        <v>0.53472222222222221</v>
      </c>
      <c r="N1569" s="19" t="s">
        <v>955</v>
      </c>
    </row>
    <row r="1570" spans="5:14" ht="115.2" hidden="1" x14ac:dyDescent="0.3">
      <c r="E1570" s="296" t="s">
        <v>4537</v>
      </c>
      <c r="F1570" s="83" t="s">
        <v>4538</v>
      </c>
      <c r="G1570" s="38" t="s">
        <v>10</v>
      </c>
      <c r="H1570" s="1" t="s">
        <v>2520</v>
      </c>
      <c r="I1570" s="64">
        <v>45539</v>
      </c>
      <c r="J1570" s="3">
        <v>0.43888888888888888</v>
      </c>
      <c r="K1570" s="1" t="s">
        <v>3946</v>
      </c>
      <c r="L1570" s="2">
        <v>45545</v>
      </c>
      <c r="M1570" s="3">
        <v>0.53819444444444442</v>
      </c>
      <c r="N1570" s="19" t="s">
        <v>4539</v>
      </c>
    </row>
    <row r="1571" spans="5:14" ht="100.8" hidden="1" x14ac:dyDescent="0.3">
      <c r="E1571" s="296" t="s">
        <v>4540</v>
      </c>
      <c r="F1571" s="83" t="s">
        <v>4541</v>
      </c>
      <c r="G1571" s="38" t="s">
        <v>10</v>
      </c>
      <c r="H1571" s="1" t="s">
        <v>2520</v>
      </c>
      <c r="I1571" s="64">
        <v>45539</v>
      </c>
      <c r="J1571" s="3">
        <v>0.45</v>
      </c>
      <c r="K1571" s="1" t="s">
        <v>3946</v>
      </c>
      <c r="L1571" s="2">
        <v>45545</v>
      </c>
      <c r="M1571" s="3">
        <v>0.54236111111111118</v>
      </c>
      <c r="N1571" s="19" t="s">
        <v>955</v>
      </c>
    </row>
    <row r="1572" spans="5:14" ht="100.8" hidden="1" x14ac:dyDescent="0.3">
      <c r="E1572" s="296" t="s">
        <v>4543</v>
      </c>
      <c r="F1572" s="83" t="s">
        <v>4542</v>
      </c>
      <c r="G1572" s="38" t="s">
        <v>10</v>
      </c>
      <c r="H1572" s="1" t="s">
        <v>2520</v>
      </c>
      <c r="I1572" s="64">
        <v>45539</v>
      </c>
      <c r="J1572" s="3">
        <v>0.45555555555555555</v>
      </c>
      <c r="K1572" s="1" t="s">
        <v>3946</v>
      </c>
      <c r="L1572" s="2">
        <v>45545</v>
      </c>
      <c r="M1572" s="3">
        <v>0.5444444444444444</v>
      </c>
      <c r="N1572" s="19" t="s">
        <v>4544</v>
      </c>
    </row>
    <row r="1573" spans="5:14" ht="86.4" hidden="1" x14ac:dyDescent="0.3">
      <c r="E1573" s="296" t="s">
        <v>4547</v>
      </c>
      <c r="F1573" s="83" t="s">
        <v>4546</v>
      </c>
      <c r="G1573" s="38" t="s">
        <v>10</v>
      </c>
      <c r="H1573" s="1" t="s">
        <v>2520</v>
      </c>
      <c r="I1573" s="64">
        <v>45539</v>
      </c>
      <c r="J1573" s="3">
        <v>0.4604166666666667</v>
      </c>
      <c r="K1573" s="1" t="s">
        <v>3946</v>
      </c>
      <c r="L1573" s="2">
        <v>45545</v>
      </c>
      <c r="M1573" s="3">
        <v>0.54791666666666672</v>
      </c>
      <c r="N1573" s="19" t="s">
        <v>4545</v>
      </c>
    </row>
    <row r="1574" spans="5:14" ht="144" hidden="1" x14ac:dyDescent="0.3">
      <c r="E1574" s="296" t="s">
        <v>4548</v>
      </c>
      <c r="F1574" s="83" t="s">
        <v>4549</v>
      </c>
      <c r="G1574" s="38" t="s">
        <v>10</v>
      </c>
      <c r="H1574" s="1" t="s">
        <v>2520</v>
      </c>
      <c r="I1574" s="64">
        <v>45539</v>
      </c>
      <c r="J1574" s="3">
        <v>0.46249999999999997</v>
      </c>
      <c r="K1574" s="1" t="s">
        <v>3946</v>
      </c>
      <c r="L1574" s="2">
        <v>45545</v>
      </c>
      <c r="M1574" s="3">
        <v>0.55069444444444449</v>
      </c>
      <c r="N1574" s="19" t="s">
        <v>4550</v>
      </c>
    </row>
    <row r="1575" spans="5:14" ht="100.8" hidden="1" x14ac:dyDescent="0.3">
      <c r="E1575" s="38" t="s">
        <v>4551</v>
      </c>
      <c r="F1575" s="19" t="s">
        <v>4552</v>
      </c>
      <c r="G1575" s="38" t="s">
        <v>10</v>
      </c>
      <c r="H1575" s="1" t="s">
        <v>2520</v>
      </c>
      <c r="I1575" s="64">
        <v>45539</v>
      </c>
      <c r="J1575" s="3">
        <v>0.46736111111111112</v>
      </c>
      <c r="K1575" s="1" t="s">
        <v>3946</v>
      </c>
      <c r="L1575" s="2">
        <v>45545</v>
      </c>
      <c r="M1575" s="3">
        <v>0.55208333333333337</v>
      </c>
      <c r="N1575" s="19" t="s">
        <v>4553</v>
      </c>
    </row>
    <row r="1576" spans="5:14" ht="100.8" hidden="1" x14ac:dyDescent="0.3">
      <c r="E1576" s="38" t="s">
        <v>4556</v>
      </c>
      <c r="F1576" s="19" t="s">
        <v>4554</v>
      </c>
      <c r="G1576" s="38" t="s">
        <v>10</v>
      </c>
      <c r="H1576" s="1" t="s">
        <v>2520</v>
      </c>
      <c r="I1576" s="64">
        <v>45539</v>
      </c>
      <c r="J1576" s="3">
        <v>0.47083333333333338</v>
      </c>
      <c r="K1576" s="1" t="s">
        <v>3946</v>
      </c>
      <c r="L1576" s="2">
        <v>45545</v>
      </c>
      <c r="M1576" s="3">
        <v>0.55347222222222225</v>
      </c>
      <c r="N1576" s="19" t="s">
        <v>4555</v>
      </c>
    </row>
    <row r="1577" spans="5:14" ht="187.2" hidden="1" x14ac:dyDescent="0.3">
      <c r="E1577" s="38" t="s">
        <v>4560</v>
      </c>
      <c r="F1577" s="19" t="s">
        <v>4561</v>
      </c>
      <c r="G1577" s="1" t="s">
        <v>10</v>
      </c>
      <c r="H1577" s="1" t="s">
        <v>2520</v>
      </c>
      <c r="I1577" s="2">
        <v>45540</v>
      </c>
      <c r="J1577" s="3">
        <v>0.46666666666666662</v>
      </c>
      <c r="K1577" s="1" t="s">
        <v>3946</v>
      </c>
      <c r="L1577" s="2">
        <v>45548</v>
      </c>
      <c r="M1577" s="3">
        <v>0.40208333333333335</v>
      </c>
      <c r="N1577" s="19" t="s">
        <v>4562</v>
      </c>
    </row>
    <row r="1578" spans="5:14" ht="175.05" hidden="1" customHeight="1" x14ac:dyDescent="0.3">
      <c r="E1578" s="38" t="s">
        <v>4563</v>
      </c>
      <c r="F1578" s="19" t="s">
        <v>4564</v>
      </c>
      <c r="G1578" s="1" t="s">
        <v>10</v>
      </c>
      <c r="H1578" s="1" t="s">
        <v>2520</v>
      </c>
      <c r="I1578" s="2">
        <v>45540</v>
      </c>
      <c r="J1578" s="3">
        <v>0.47361111111111115</v>
      </c>
      <c r="K1578" s="1" t="s">
        <v>3946</v>
      </c>
      <c r="L1578" s="2">
        <v>45548</v>
      </c>
      <c r="M1578" s="3">
        <v>0.43333333333333335</v>
      </c>
      <c r="N1578" s="19" t="s">
        <v>4565</v>
      </c>
    </row>
    <row r="1579" spans="5:14" ht="57.6" hidden="1" x14ac:dyDescent="0.3">
      <c r="E1579" s="38" t="s">
        <v>4567</v>
      </c>
      <c r="F1579" s="19" t="s">
        <v>4566</v>
      </c>
      <c r="G1579" s="1" t="s">
        <v>900</v>
      </c>
      <c r="H1579" s="1" t="s">
        <v>2520</v>
      </c>
      <c r="I1579" s="2">
        <v>45545</v>
      </c>
      <c r="J1579" s="3">
        <v>0.47569444444444442</v>
      </c>
      <c r="K1579" s="1" t="s">
        <v>88</v>
      </c>
      <c r="L1579" s="2">
        <v>45555</v>
      </c>
      <c r="N1579" s="19" t="s">
        <v>2544</v>
      </c>
    </row>
    <row r="1580" spans="5:14" ht="201.6" hidden="1" x14ac:dyDescent="0.3">
      <c r="E1580" s="38" t="s">
        <v>4568</v>
      </c>
      <c r="F1580" s="19" t="s">
        <v>4569</v>
      </c>
      <c r="G1580" s="299" t="s">
        <v>900</v>
      </c>
      <c r="H1580" s="1" t="s">
        <v>2520</v>
      </c>
      <c r="I1580" s="2">
        <v>45545</v>
      </c>
      <c r="J1580" s="3">
        <v>0.47916666666666669</v>
      </c>
      <c r="K1580" s="1" t="s">
        <v>3946</v>
      </c>
      <c r="L1580" s="2">
        <v>45558</v>
      </c>
      <c r="M1580" s="3">
        <v>0.68680555555555556</v>
      </c>
      <c r="N1580" s="19" t="s">
        <v>2544</v>
      </c>
    </row>
    <row r="1581" spans="5:14" ht="201.6" hidden="1" x14ac:dyDescent="0.3">
      <c r="E1581" s="38" t="s">
        <v>4570</v>
      </c>
      <c r="F1581" s="19" t="s">
        <v>4571</v>
      </c>
      <c r="G1581" s="299" t="s">
        <v>900</v>
      </c>
      <c r="H1581" s="1" t="s">
        <v>2520</v>
      </c>
      <c r="I1581" s="2">
        <v>45545</v>
      </c>
      <c r="J1581" s="3">
        <v>0.4826388888888889</v>
      </c>
      <c r="K1581" s="1" t="s">
        <v>3946</v>
      </c>
      <c r="L1581" s="2">
        <v>45558</v>
      </c>
      <c r="M1581" s="3">
        <v>0.71319444444444446</v>
      </c>
      <c r="N1581" s="19" t="s">
        <v>2544</v>
      </c>
    </row>
    <row r="1582" spans="5:14" ht="201.6" hidden="1" x14ac:dyDescent="0.3">
      <c r="E1582" s="38" t="s">
        <v>4572</v>
      </c>
      <c r="F1582" s="19" t="s">
        <v>4573</v>
      </c>
      <c r="G1582" s="299" t="s">
        <v>900</v>
      </c>
      <c r="H1582" s="1" t="s">
        <v>2520</v>
      </c>
      <c r="I1582" s="2">
        <v>45545</v>
      </c>
      <c r="J1582" s="3">
        <v>0.48888888888888887</v>
      </c>
      <c r="K1582" s="1" t="s">
        <v>3946</v>
      </c>
      <c r="L1582" s="2">
        <v>45559</v>
      </c>
      <c r="M1582" s="3">
        <v>0.42430555555555555</v>
      </c>
      <c r="N1582" s="19" t="s">
        <v>2544</v>
      </c>
    </row>
    <row r="1583" spans="5:14" ht="144" hidden="1" x14ac:dyDescent="0.3">
      <c r="E1583" s="38" t="s">
        <v>4574</v>
      </c>
      <c r="F1583" s="19" t="s">
        <v>4549</v>
      </c>
      <c r="G1583" s="1" t="s">
        <v>10</v>
      </c>
      <c r="H1583" s="1" t="s">
        <v>2520</v>
      </c>
      <c r="I1583" s="2">
        <v>45545</v>
      </c>
      <c r="J1583" s="3">
        <v>0.49374999999999997</v>
      </c>
      <c r="K1583" s="1" t="s">
        <v>3946</v>
      </c>
      <c r="L1583" s="2">
        <v>45559</v>
      </c>
      <c r="M1583" s="3">
        <v>0.42638888888888887</v>
      </c>
      <c r="N1583" s="19" t="s">
        <v>2544</v>
      </c>
    </row>
    <row r="1584" spans="5:14" ht="201.6" hidden="1" x14ac:dyDescent="0.3">
      <c r="E1584" s="38" t="s">
        <v>4575</v>
      </c>
      <c r="F1584" s="19" t="s">
        <v>4576</v>
      </c>
      <c r="G1584" s="1" t="s">
        <v>900</v>
      </c>
      <c r="H1584" s="1" t="s">
        <v>2520</v>
      </c>
      <c r="I1584" s="2">
        <v>45545</v>
      </c>
      <c r="J1584" s="3">
        <v>0.49652777777777773</v>
      </c>
      <c r="K1584" s="1" t="s">
        <v>3946</v>
      </c>
      <c r="L1584" s="2">
        <v>45559</v>
      </c>
      <c r="M1584" s="3">
        <v>0.43055555555555558</v>
      </c>
      <c r="N1584" s="19" t="s">
        <v>2544</v>
      </c>
    </row>
    <row r="1585" spans="5:14" ht="100.8" hidden="1" x14ac:dyDescent="0.3">
      <c r="E1585" s="38" t="s">
        <v>4577</v>
      </c>
      <c r="F1585" s="19" t="s">
        <v>4578</v>
      </c>
      <c r="G1585" s="1" t="s">
        <v>9</v>
      </c>
      <c r="H1585" s="1" t="s">
        <v>2520</v>
      </c>
      <c r="I1585" s="2">
        <v>45558</v>
      </c>
      <c r="J1585" s="3">
        <v>0.36458333333333331</v>
      </c>
      <c r="K1585" s="1" t="s">
        <v>3946</v>
      </c>
      <c r="L1585" s="2">
        <v>45559</v>
      </c>
      <c r="M1585" s="3">
        <v>0.45694444444444443</v>
      </c>
      <c r="N1585" s="19" t="s">
        <v>4579</v>
      </c>
    </row>
    <row r="1586" spans="5:14" ht="115.2" hidden="1" x14ac:dyDescent="0.3">
      <c r="E1586" s="38" t="s">
        <v>4580</v>
      </c>
      <c r="F1586" s="19" t="s">
        <v>4581</v>
      </c>
      <c r="G1586" s="1" t="s">
        <v>9</v>
      </c>
      <c r="H1586" s="1" t="s">
        <v>2520</v>
      </c>
      <c r="I1586" s="2">
        <v>45551</v>
      </c>
      <c r="J1586" s="3">
        <v>0.40416666666666662</v>
      </c>
      <c r="K1586" s="2" t="s">
        <v>3946</v>
      </c>
      <c r="L1586" s="2">
        <v>45559</v>
      </c>
      <c r="M1586" s="3">
        <v>0.46388888888888885</v>
      </c>
      <c r="N1586" s="19" t="s">
        <v>4582</v>
      </c>
    </row>
    <row r="1587" spans="5:14" ht="100.8" hidden="1" x14ac:dyDescent="0.3">
      <c r="E1587" s="38" t="s">
        <v>4585</v>
      </c>
      <c r="F1587" s="19" t="s">
        <v>4586</v>
      </c>
      <c r="G1587" s="1" t="s">
        <v>4168</v>
      </c>
      <c r="H1587" s="1" t="s">
        <v>2520</v>
      </c>
      <c r="I1587" s="2">
        <v>45560</v>
      </c>
      <c r="J1587" s="3">
        <v>0.5625</v>
      </c>
      <c r="K1587" s="2" t="s">
        <v>73</v>
      </c>
      <c r="L1587" s="2">
        <v>45562</v>
      </c>
      <c r="M1587" s="3">
        <v>0.60347222222222219</v>
      </c>
      <c r="N1587" s="19" t="s">
        <v>4587</v>
      </c>
    </row>
    <row r="1588" spans="5:14" ht="57.6" hidden="1" x14ac:dyDescent="0.3">
      <c r="E1588" s="38" t="s">
        <v>4588</v>
      </c>
      <c r="F1588" s="19" t="s">
        <v>4589</v>
      </c>
      <c r="G1588" s="1" t="s">
        <v>4168</v>
      </c>
      <c r="H1588" s="1" t="s">
        <v>2520</v>
      </c>
      <c r="I1588" s="2">
        <v>45560</v>
      </c>
      <c r="J1588" s="3">
        <v>0.56458333333333333</v>
      </c>
      <c r="K1588" s="2" t="s">
        <v>73</v>
      </c>
      <c r="L1588" s="2">
        <v>45562</v>
      </c>
      <c r="M1588" s="3">
        <v>0.62430555555555556</v>
      </c>
      <c r="N1588" s="19" t="s">
        <v>4590</v>
      </c>
    </row>
    <row r="1589" spans="5:14" ht="57.6" hidden="1" x14ac:dyDescent="0.3">
      <c r="E1589" s="38" t="s">
        <v>4591</v>
      </c>
      <c r="F1589" s="19" t="s">
        <v>4592</v>
      </c>
      <c r="G1589" s="1" t="s">
        <v>4168</v>
      </c>
      <c r="H1589" s="1" t="s">
        <v>2520</v>
      </c>
      <c r="I1589" s="2">
        <v>45560</v>
      </c>
      <c r="J1589" s="3">
        <v>0.56736111111111109</v>
      </c>
      <c r="K1589" s="2" t="s">
        <v>73</v>
      </c>
      <c r="L1589" s="2">
        <v>45562</v>
      </c>
      <c r="M1589" s="3">
        <v>0.62777777777777777</v>
      </c>
      <c r="N1589" s="19" t="s">
        <v>4593</v>
      </c>
    </row>
    <row r="1590" spans="5:14" ht="57.6" hidden="1" x14ac:dyDescent="0.3">
      <c r="E1590" s="38" t="s">
        <v>4594</v>
      </c>
      <c r="F1590" s="19" t="s">
        <v>4595</v>
      </c>
      <c r="G1590" s="1" t="s">
        <v>4168</v>
      </c>
      <c r="H1590" s="1" t="s">
        <v>2520</v>
      </c>
      <c r="I1590" s="2">
        <v>45560</v>
      </c>
      <c r="J1590" s="3">
        <v>0.57291666666666663</v>
      </c>
      <c r="K1590" s="2" t="s">
        <v>73</v>
      </c>
      <c r="L1590" s="2">
        <v>45562</v>
      </c>
      <c r="M1590" s="3">
        <v>0.6333333333333333</v>
      </c>
      <c r="N1590" s="19" t="s">
        <v>4596</v>
      </c>
    </row>
    <row r="1591" spans="5:14" ht="57.6" hidden="1" x14ac:dyDescent="0.3">
      <c r="E1591" s="38" t="s">
        <v>4598</v>
      </c>
      <c r="F1591" s="19" t="s">
        <v>4597</v>
      </c>
      <c r="G1591" s="1" t="s">
        <v>4168</v>
      </c>
      <c r="H1591" s="1" t="s">
        <v>2520</v>
      </c>
      <c r="I1591" s="2">
        <v>45560</v>
      </c>
      <c r="J1591" s="3">
        <v>0.5805555555555556</v>
      </c>
      <c r="K1591" s="2" t="s">
        <v>73</v>
      </c>
      <c r="L1591" s="2">
        <v>45562</v>
      </c>
      <c r="M1591" s="3">
        <v>0.6381944444444444</v>
      </c>
      <c r="N1591" s="19" t="s">
        <v>4599</v>
      </c>
    </row>
    <row r="1592" spans="5:14" ht="57.6" hidden="1" x14ac:dyDescent="0.3">
      <c r="E1592" s="38" t="s">
        <v>4600</v>
      </c>
      <c r="F1592" s="19" t="s">
        <v>4601</v>
      </c>
      <c r="G1592" s="1" t="s">
        <v>4168</v>
      </c>
      <c r="H1592" s="1" t="s">
        <v>2520</v>
      </c>
      <c r="I1592" s="2">
        <v>45560</v>
      </c>
      <c r="J1592" s="3">
        <v>0.58263888888888882</v>
      </c>
      <c r="K1592" s="2" t="s">
        <v>73</v>
      </c>
      <c r="L1592" s="2">
        <v>45562</v>
      </c>
      <c r="M1592" s="3">
        <v>0.64097222222222217</v>
      </c>
      <c r="N1592" s="19" t="s">
        <v>4602</v>
      </c>
    </row>
    <row r="1593" spans="5:14" ht="57.6" hidden="1" x14ac:dyDescent="0.3">
      <c r="E1593" s="38" t="s">
        <v>4603</v>
      </c>
      <c r="F1593" s="19" t="s">
        <v>4604</v>
      </c>
      <c r="G1593" s="1" t="s">
        <v>4168</v>
      </c>
      <c r="H1593" s="1" t="s">
        <v>2520</v>
      </c>
      <c r="I1593" s="2">
        <v>45560</v>
      </c>
      <c r="J1593" s="3">
        <v>0.58472222222222225</v>
      </c>
      <c r="K1593" s="2" t="s">
        <v>73</v>
      </c>
      <c r="L1593" s="2">
        <v>45562</v>
      </c>
      <c r="M1593" s="3">
        <v>0.64444444444444449</v>
      </c>
      <c r="N1593" s="19" t="s">
        <v>4605</v>
      </c>
    </row>
    <row r="1594" spans="5:14" ht="57.6" hidden="1" x14ac:dyDescent="0.3">
      <c r="E1594" s="38" t="s">
        <v>4606</v>
      </c>
      <c r="F1594" s="19" t="s">
        <v>4607</v>
      </c>
      <c r="G1594" s="1" t="s">
        <v>4168</v>
      </c>
      <c r="H1594" s="1" t="s">
        <v>2520</v>
      </c>
      <c r="I1594" s="2">
        <v>45560</v>
      </c>
      <c r="J1594" s="3">
        <v>0.58472222222222225</v>
      </c>
      <c r="K1594" s="2" t="s">
        <v>73</v>
      </c>
      <c r="L1594" s="2">
        <v>45562</v>
      </c>
      <c r="M1594" s="3">
        <v>0.64722222222222225</v>
      </c>
      <c r="N1594" s="19" t="s">
        <v>4608</v>
      </c>
    </row>
    <row r="1595" spans="5:14" ht="57.6" hidden="1" x14ac:dyDescent="0.3">
      <c r="E1595" s="38" t="s">
        <v>4609</v>
      </c>
      <c r="F1595" s="19" t="s">
        <v>4610</v>
      </c>
      <c r="G1595" s="1" t="s">
        <v>4168</v>
      </c>
      <c r="H1595" s="1" t="s">
        <v>2520</v>
      </c>
      <c r="I1595" s="2">
        <v>45561</v>
      </c>
      <c r="J1595" s="3">
        <v>0.69027777777777777</v>
      </c>
      <c r="K1595" s="2" t="s">
        <v>73</v>
      </c>
      <c r="L1595" s="2">
        <v>45562</v>
      </c>
      <c r="M1595" s="3">
        <v>0.66527777777777775</v>
      </c>
      <c r="N1595" s="19" t="s">
        <v>4611</v>
      </c>
    </row>
    <row r="1596" spans="5:14" ht="57.6" hidden="1" x14ac:dyDescent="0.3">
      <c r="E1596" s="38" t="s">
        <v>4612</v>
      </c>
      <c r="F1596" s="19" t="s">
        <v>4613</v>
      </c>
      <c r="G1596" s="1" t="s">
        <v>4168</v>
      </c>
      <c r="H1596" s="1" t="s">
        <v>2520</v>
      </c>
      <c r="I1596" s="2">
        <v>45561</v>
      </c>
      <c r="J1596" s="3">
        <v>0.69236111111111109</v>
      </c>
      <c r="K1596" s="2" t="s">
        <v>73</v>
      </c>
      <c r="L1596" s="2">
        <v>45562</v>
      </c>
      <c r="M1596" s="3">
        <v>0.66736111111111107</v>
      </c>
      <c r="N1596" s="19" t="s">
        <v>4614</v>
      </c>
    </row>
    <row r="1597" spans="5:14" ht="72" hidden="1" x14ac:dyDescent="0.3">
      <c r="E1597" s="38" t="s">
        <v>4615</v>
      </c>
      <c r="F1597" s="19" t="s">
        <v>4616</v>
      </c>
      <c r="G1597" s="1" t="s">
        <v>4168</v>
      </c>
      <c r="H1597" s="1" t="s">
        <v>2520</v>
      </c>
      <c r="I1597" s="2">
        <v>45561</v>
      </c>
      <c r="J1597" s="3">
        <v>0.69236111111111109</v>
      </c>
      <c r="K1597" s="2" t="s">
        <v>73</v>
      </c>
      <c r="L1597" s="2">
        <v>45562</v>
      </c>
      <c r="M1597" s="3">
        <v>0.6694444444444444</v>
      </c>
      <c r="N1597" s="19" t="s">
        <v>4617</v>
      </c>
    </row>
    <row r="1598" spans="5:14" ht="72" hidden="1" x14ac:dyDescent="0.3">
      <c r="E1598" s="38" t="s">
        <v>4619</v>
      </c>
      <c r="F1598" s="19" t="s">
        <v>4618</v>
      </c>
      <c r="G1598" s="1" t="s">
        <v>4168</v>
      </c>
      <c r="H1598" s="1" t="s">
        <v>2520</v>
      </c>
      <c r="I1598" s="2">
        <v>45561</v>
      </c>
      <c r="J1598" s="3">
        <v>0.6958333333333333</v>
      </c>
      <c r="K1598" s="2" t="s">
        <v>73</v>
      </c>
      <c r="L1598" s="2">
        <v>45562</v>
      </c>
      <c r="M1598" s="3">
        <v>0.67291666666666661</v>
      </c>
      <c r="N1598" s="19" t="s">
        <v>4620</v>
      </c>
    </row>
    <row r="1599" spans="5:14" ht="57.6" hidden="1" x14ac:dyDescent="0.3">
      <c r="E1599" s="38" t="s">
        <v>4621</v>
      </c>
      <c r="F1599" s="19" t="s">
        <v>4622</v>
      </c>
      <c r="G1599" s="1" t="s">
        <v>4168</v>
      </c>
      <c r="H1599" s="1" t="s">
        <v>2520</v>
      </c>
      <c r="I1599" s="2">
        <v>45561</v>
      </c>
      <c r="J1599" s="3">
        <v>0.6958333333333333</v>
      </c>
      <c r="K1599" s="2" t="s">
        <v>73</v>
      </c>
      <c r="L1599" s="2">
        <v>45562</v>
      </c>
      <c r="M1599" s="3">
        <v>0.67569444444444438</v>
      </c>
      <c r="N1599" s="19" t="s">
        <v>4623</v>
      </c>
    </row>
    <row r="1600" spans="5:14" ht="57.6" hidden="1" x14ac:dyDescent="0.3">
      <c r="E1600" s="38" t="s">
        <v>4624</v>
      </c>
      <c r="F1600" s="19" t="s">
        <v>4625</v>
      </c>
      <c r="G1600" s="1" t="s">
        <v>4168</v>
      </c>
      <c r="H1600" s="1" t="s">
        <v>2520</v>
      </c>
      <c r="I1600" s="2">
        <v>45561</v>
      </c>
      <c r="J1600" s="3">
        <v>0.6958333333333333</v>
      </c>
      <c r="K1600" s="2" t="s">
        <v>73</v>
      </c>
      <c r="L1600" s="2">
        <v>45562</v>
      </c>
      <c r="M1600" s="3">
        <v>0.67708333333333337</v>
      </c>
      <c r="N1600" s="19" t="s">
        <v>4626</v>
      </c>
    </row>
    <row r="1601" spans="5:14" ht="57.6" hidden="1" x14ac:dyDescent="0.3">
      <c r="E1601" s="38" t="s">
        <v>4627</v>
      </c>
      <c r="F1601" s="19" t="s">
        <v>4628</v>
      </c>
      <c r="G1601" s="1" t="s">
        <v>4168</v>
      </c>
      <c r="H1601" s="1" t="s">
        <v>2520</v>
      </c>
      <c r="I1601" s="2">
        <v>45561</v>
      </c>
      <c r="J1601" s="3">
        <v>0.71250000000000002</v>
      </c>
      <c r="K1601" s="2" t="s">
        <v>73</v>
      </c>
      <c r="L1601" s="2">
        <v>45562</v>
      </c>
      <c r="M1601" s="3">
        <v>0.68263888888888891</v>
      </c>
      <c r="N1601" s="19" t="s">
        <v>4629</v>
      </c>
    </row>
    <row r="1602" spans="5:14" ht="57.6" hidden="1" x14ac:dyDescent="0.3">
      <c r="E1602" s="38" t="s">
        <v>4630</v>
      </c>
      <c r="F1602" s="19" t="s">
        <v>4631</v>
      </c>
      <c r="G1602" s="1" t="s">
        <v>4168</v>
      </c>
      <c r="H1602" s="1" t="s">
        <v>2520</v>
      </c>
      <c r="I1602" s="2">
        <v>45562</v>
      </c>
      <c r="J1602" s="3">
        <v>0.47500000000000003</v>
      </c>
      <c r="K1602" s="2" t="s">
        <v>73</v>
      </c>
      <c r="L1602" s="2">
        <v>45562</v>
      </c>
      <c r="M1602" s="3">
        <v>0.68541666666666667</v>
      </c>
      <c r="N1602" s="19" t="s">
        <v>4632</v>
      </c>
    </row>
    <row r="1603" spans="5:14" ht="57.6" hidden="1" x14ac:dyDescent="0.3">
      <c r="E1603" s="38" t="s">
        <v>4633</v>
      </c>
      <c r="F1603" s="19" t="s">
        <v>4634</v>
      </c>
      <c r="G1603" s="1" t="s">
        <v>4168</v>
      </c>
      <c r="H1603" s="1" t="s">
        <v>2520</v>
      </c>
      <c r="I1603" s="2">
        <v>45562</v>
      </c>
      <c r="J1603" s="3">
        <v>0.4777777777777778</v>
      </c>
      <c r="K1603" s="2" t="s">
        <v>73</v>
      </c>
      <c r="L1603" s="2">
        <v>45562</v>
      </c>
      <c r="M1603" s="3">
        <v>0.6875</v>
      </c>
      <c r="N1603" s="19" t="s">
        <v>4637</v>
      </c>
    </row>
    <row r="1604" spans="5:14" ht="57.6" hidden="1" x14ac:dyDescent="0.3">
      <c r="E1604" s="38" t="s">
        <v>4635</v>
      </c>
      <c r="F1604" s="19" t="s">
        <v>4636</v>
      </c>
      <c r="G1604" s="1" t="s">
        <v>4168</v>
      </c>
      <c r="H1604" s="1" t="s">
        <v>2520</v>
      </c>
      <c r="I1604" s="2">
        <v>45562</v>
      </c>
      <c r="J1604" s="3">
        <v>0.4777777777777778</v>
      </c>
      <c r="K1604" s="2" t="s">
        <v>73</v>
      </c>
      <c r="L1604" s="2">
        <v>45562</v>
      </c>
      <c r="M1604" s="3">
        <v>0.68888888888888899</v>
      </c>
      <c r="N1604" s="19" t="s">
        <v>4638</v>
      </c>
    </row>
    <row r="1605" spans="5:14" ht="57.6" hidden="1" x14ac:dyDescent="0.3">
      <c r="E1605" s="38" t="s">
        <v>4639</v>
      </c>
      <c r="F1605" s="19" t="s">
        <v>4640</v>
      </c>
      <c r="G1605" s="1" t="s">
        <v>4168</v>
      </c>
      <c r="H1605" s="1" t="s">
        <v>2520</v>
      </c>
      <c r="I1605" s="2">
        <v>45562</v>
      </c>
      <c r="J1605" s="3">
        <v>0.48472222222222222</v>
      </c>
      <c r="K1605" s="2" t="s">
        <v>73</v>
      </c>
      <c r="L1605" s="2">
        <v>45565</v>
      </c>
      <c r="M1605" s="3">
        <v>0.30486111111111108</v>
      </c>
      <c r="N1605" s="19" t="s">
        <v>4641</v>
      </c>
    </row>
    <row r="1606" spans="5:14" ht="72" hidden="1" x14ac:dyDescent="0.3">
      <c r="E1606" s="38" t="s">
        <v>4642</v>
      </c>
      <c r="F1606" s="19" t="s">
        <v>4643</v>
      </c>
      <c r="G1606" s="1" t="s">
        <v>4168</v>
      </c>
      <c r="H1606" s="1" t="s">
        <v>2520</v>
      </c>
      <c r="I1606" s="2">
        <v>45562</v>
      </c>
      <c r="J1606" s="3">
        <v>0.48472222222222222</v>
      </c>
      <c r="K1606" s="2" t="s">
        <v>73</v>
      </c>
      <c r="L1606" s="2">
        <v>45565</v>
      </c>
      <c r="M1606" s="3">
        <v>0.30833333333333335</v>
      </c>
      <c r="N1606" s="19" t="s">
        <v>4644</v>
      </c>
    </row>
    <row r="1607" spans="5:14" ht="72" hidden="1" x14ac:dyDescent="0.3">
      <c r="E1607" s="38" t="s">
        <v>4645</v>
      </c>
      <c r="F1607" s="19" t="s">
        <v>4646</v>
      </c>
      <c r="G1607" s="1" t="s">
        <v>4168</v>
      </c>
      <c r="H1607" s="1" t="s">
        <v>2520</v>
      </c>
      <c r="I1607" s="2">
        <v>45562</v>
      </c>
      <c r="J1607" s="3">
        <v>0.48888888888888887</v>
      </c>
      <c r="K1607" s="2" t="s">
        <v>73</v>
      </c>
      <c r="L1607" s="2">
        <v>45565</v>
      </c>
      <c r="M1607" s="3">
        <v>0.31388888888888888</v>
      </c>
      <c r="N1607" s="19" t="s">
        <v>4647</v>
      </c>
    </row>
    <row r="1608" spans="5:14" ht="57.6" hidden="1" x14ac:dyDescent="0.3">
      <c r="E1608" s="38" t="s">
        <v>4648</v>
      </c>
      <c r="F1608" s="19" t="s">
        <v>4649</v>
      </c>
      <c r="G1608" s="1" t="s">
        <v>4168</v>
      </c>
      <c r="H1608" s="1" t="s">
        <v>2520</v>
      </c>
      <c r="I1608" s="2">
        <v>45562</v>
      </c>
      <c r="J1608" s="3">
        <v>0.4909722222222222</v>
      </c>
      <c r="K1608" s="2" t="s">
        <v>73</v>
      </c>
      <c r="L1608" s="2">
        <v>45565</v>
      </c>
      <c r="M1608" s="3">
        <v>0.3298611111111111</v>
      </c>
      <c r="N1608" s="19" t="s">
        <v>4652</v>
      </c>
    </row>
    <row r="1609" spans="5:14" ht="72" hidden="1" x14ac:dyDescent="0.3">
      <c r="E1609" s="38" t="s">
        <v>4650</v>
      </c>
      <c r="F1609" s="19" t="s">
        <v>4651</v>
      </c>
      <c r="G1609" s="1" t="s">
        <v>4168</v>
      </c>
      <c r="H1609" s="1" t="s">
        <v>2520</v>
      </c>
      <c r="I1609" s="2">
        <v>45562</v>
      </c>
      <c r="J1609" s="3">
        <v>0.4909722222222222</v>
      </c>
      <c r="K1609" s="2" t="s">
        <v>73</v>
      </c>
      <c r="L1609" s="2">
        <v>45565</v>
      </c>
      <c r="M1609" s="3">
        <v>0.33333333333333331</v>
      </c>
      <c r="N1609" s="19" t="s">
        <v>4653</v>
      </c>
    </row>
    <row r="1610" spans="5:14" ht="57.6" hidden="1" x14ac:dyDescent="0.3">
      <c r="E1610" s="38" t="s">
        <v>4654</v>
      </c>
      <c r="F1610" s="19" t="s">
        <v>4655</v>
      </c>
      <c r="G1610" s="1" t="s">
        <v>4168</v>
      </c>
      <c r="H1610" s="1" t="s">
        <v>2520</v>
      </c>
      <c r="I1610" s="2">
        <v>45562</v>
      </c>
      <c r="J1610" s="3">
        <v>0.4909722222222222</v>
      </c>
      <c r="K1610" s="2" t="s">
        <v>73</v>
      </c>
      <c r="L1610" s="2">
        <v>45565</v>
      </c>
      <c r="M1610" s="3">
        <v>0.34930555555555554</v>
      </c>
      <c r="N1610" s="19" t="s">
        <v>4656</v>
      </c>
    </row>
    <row r="1611" spans="5:14" ht="86.4" hidden="1" x14ac:dyDescent="0.3">
      <c r="E1611" s="38" t="s">
        <v>4657</v>
      </c>
      <c r="F1611" s="19" t="s">
        <v>4658</v>
      </c>
      <c r="G1611" s="1" t="s">
        <v>4168</v>
      </c>
      <c r="H1611" s="1" t="s">
        <v>2520</v>
      </c>
      <c r="I1611" s="2">
        <v>45562</v>
      </c>
      <c r="J1611" s="3">
        <v>0.4909722222222222</v>
      </c>
      <c r="K1611" s="2" t="s">
        <v>73</v>
      </c>
      <c r="L1611" s="2">
        <v>45565</v>
      </c>
      <c r="M1611" s="3">
        <v>0.35833333333333334</v>
      </c>
      <c r="N1611" s="19" t="s">
        <v>4659</v>
      </c>
    </row>
    <row r="1612" spans="5:14" ht="57.6" hidden="1" x14ac:dyDescent="0.3">
      <c r="E1612" s="38" t="s">
        <v>4660</v>
      </c>
      <c r="F1612" s="19" t="s">
        <v>4661</v>
      </c>
      <c r="G1612" s="1" t="s">
        <v>4168</v>
      </c>
      <c r="H1612" s="1" t="s">
        <v>2520</v>
      </c>
      <c r="I1612" s="2">
        <v>45562</v>
      </c>
      <c r="J1612" s="3">
        <v>0.4909722222222222</v>
      </c>
      <c r="K1612" s="2" t="s">
        <v>73</v>
      </c>
      <c r="L1612" s="2">
        <v>45565</v>
      </c>
      <c r="M1612" s="3">
        <v>0.60833333333333328</v>
      </c>
      <c r="N1612" s="19" t="s">
        <v>4673</v>
      </c>
    </row>
    <row r="1613" spans="5:14" ht="57.6" hidden="1" x14ac:dyDescent="0.3">
      <c r="E1613" s="38" t="s">
        <v>4662</v>
      </c>
      <c r="F1613" s="19" t="s">
        <v>4663</v>
      </c>
      <c r="G1613" s="1" t="s">
        <v>4168</v>
      </c>
      <c r="H1613" s="1" t="s">
        <v>2520</v>
      </c>
      <c r="I1613" s="2">
        <v>45562</v>
      </c>
      <c r="J1613" s="3">
        <v>0.57430555555555551</v>
      </c>
      <c r="K1613" s="2" t="s">
        <v>73</v>
      </c>
      <c r="L1613" s="2">
        <v>45565</v>
      </c>
      <c r="M1613" s="3">
        <v>0.67499999999999993</v>
      </c>
      <c r="N1613" s="19" t="s">
        <v>4674</v>
      </c>
    </row>
    <row r="1614" spans="5:14" ht="129.6" hidden="1" x14ac:dyDescent="0.3">
      <c r="E1614" s="38" t="s">
        <v>4664</v>
      </c>
      <c r="F1614" s="19" t="s">
        <v>4665</v>
      </c>
      <c r="G1614" s="1" t="s">
        <v>4168</v>
      </c>
      <c r="H1614" s="1" t="s">
        <v>2520</v>
      </c>
      <c r="I1614" s="2">
        <v>45562</v>
      </c>
      <c r="J1614" s="3">
        <v>0.57430555555555551</v>
      </c>
      <c r="K1614" s="2" t="s">
        <v>73</v>
      </c>
      <c r="L1614" s="2">
        <v>45565</v>
      </c>
      <c r="M1614" s="3">
        <v>0.45902777777777781</v>
      </c>
      <c r="N1614" s="19" t="s">
        <v>4666</v>
      </c>
    </row>
    <row r="1615" spans="5:14" ht="57.6" hidden="1" x14ac:dyDescent="0.3">
      <c r="E1615" s="38" t="s">
        <v>4668</v>
      </c>
      <c r="F1615" s="19" t="s">
        <v>4667</v>
      </c>
      <c r="G1615" s="1" t="s">
        <v>4168</v>
      </c>
      <c r="H1615" s="1" t="s">
        <v>2520</v>
      </c>
      <c r="I1615" s="2">
        <v>45562</v>
      </c>
      <c r="J1615" s="3">
        <v>0.57430555555555551</v>
      </c>
      <c r="K1615" s="2" t="s">
        <v>73</v>
      </c>
      <c r="L1615" s="2">
        <v>45565</v>
      </c>
      <c r="M1615" s="3">
        <v>0.48472222222222222</v>
      </c>
      <c r="N1615" s="19" t="s">
        <v>4669</v>
      </c>
    </row>
    <row r="1616" spans="5:14" ht="57.6" hidden="1" x14ac:dyDescent="0.3">
      <c r="E1616" s="38" t="s">
        <v>4670</v>
      </c>
      <c r="F1616" s="19" t="s">
        <v>4671</v>
      </c>
      <c r="G1616" s="1" t="s">
        <v>4168</v>
      </c>
      <c r="H1616" s="1" t="s">
        <v>2520</v>
      </c>
      <c r="I1616" s="2">
        <v>45562</v>
      </c>
      <c r="J1616" s="3">
        <v>0.57430555555555551</v>
      </c>
      <c r="K1616" s="2" t="s">
        <v>73</v>
      </c>
      <c r="L1616" s="2">
        <v>45565</v>
      </c>
      <c r="M1616" s="3">
        <v>0.4916666666666667</v>
      </c>
      <c r="N1616" s="19" t="s">
        <v>4672</v>
      </c>
    </row>
    <row r="1617" spans="5:14" ht="230.4" hidden="1" x14ac:dyDescent="0.3">
      <c r="E1617" s="38" t="s">
        <v>4675</v>
      </c>
      <c r="F1617" s="19" t="s">
        <v>4676</v>
      </c>
      <c r="G1617" s="1" t="s">
        <v>900</v>
      </c>
      <c r="H1617" s="1" t="s">
        <v>2520</v>
      </c>
      <c r="I1617" s="2">
        <v>45562</v>
      </c>
      <c r="J1617" s="3">
        <v>0.66111111111111109</v>
      </c>
      <c r="K1617" s="1" t="s">
        <v>3946</v>
      </c>
      <c r="L1617" s="2">
        <v>45566</v>
      </c>
      <c r="M1617" s="3">
        <v>0.7006944444444444</v>
      </c>
      <c r="N1617" s="19" t="s">
        <v>955</v>
      </c>
    </row>
    <row r="1618" spans="5:14" ht="72" hidden="1" x14ac:dyDescent="0.3">
      <c r="E1618" s="301" t="s">
        <v>4681</v>
      </c>
      <c r="F1618" s="19" t="s">
        <v>4646</v>
      </c>
      <c r="G1618" s="1" t="s">
        <v>4168</v>
      </c>
      <c r="H1618" s="1" t="s">
        <v>2520</v>
      </c>
      <c r="I1618" s="2">
        <v>45589</v>
      </c>
      <c r="J1618" s="3">
        <v>0.64444444444444449</v>
      </c>
      <c r="K1618" s="2" t="s">
        <v>73</v>
      </c>
      <c r="L1618" s="2">
        <v>45590</v>
      </c>
      <c r="M1618" s="3">
        <v>0.33263888888888887</v>
      </c>
      <c r="N1618" s="19" t="s">
        <v>4682</v>
      </c>
    </row>
    <row r="1619" spans="5:14" ht="57.6" hidden="1" x14ac:dyDescent="0.3">
      <c r="E1619" s="38" t="s">
        <v>4683</v>
      </c>
      <c r="F1619" s="19" t="s">
        <v>4684</v>
      </c>
      <c r="G1619" s="1" t="s">
        <v>4168</v>
      </c>
      <c r="H1619" s="1" t="s">
        <v>2520</v>
      </c>
      <c r="I1619" s="2">
        <v>45589</v>
      </c>
      <c r="J1619" s="3">
        <v>0.64444444444444449</v>
      </c>
      <c r="K1619" s="2" t="s">
        <v>73</v>
      </c>
      <c r="L1619" s="2">
        <v>45590</v>
      </c>
      <c r="M1619" s="3">
        <v>0.36458333333333331</v>
      </c>
      <c r="N1619" s="19" t="s">
        <v>4685</v>
      </c>
    </row>
    <row r="1620" spans="5:14" ht="95.55" hidden="1" customHeight="1" x14ac:dyDescent="0.3">
      <c r="E1620" s="38" t="s">
        <v>4686</v>
      </c>
      <c r="F1620" s="19" t="s">
        <v>4643</v>
      </c>
      <c r="G1620" s="1" t="s">
        <v>4168</v>
      </c>
      <c r="H1620" s="1" t="s">
        <v>2520</v>
      </c>
      <c r="I1620" s="2">
        <v>45589</v>
      </c>
      <c r="J1620" s="3">
        <v>0.64444444444444449</v>
      </c>
      <c r="K1620" s="2" t="s">
        <v>73</v>
      </c>
      <c r="L1620" s="2">
        <v>45590</v>
      </c>
      <c r="M1620" s="3">
        <v>0.37013888888888885</v>
      </c>
      <c r="N1620" s="19" t="s">
        <v>4644</v>
      </c>
    </row>
    <row r="1621" spans="5:14" ht="72" hidden="1" x14ac:dyDescent="0.3">
      <c r="E1621" s="38" t="s">
        <v>4688</v>
      </c>
      <c r="F1621" s="19" t="s">
        <v>4689</v>
      </c>
      <c r="G1621" s="1" t="s">
        <v>4168</v>
      </c>
      <c r="H1621" s="1" t="s">
        <v>2520</v>
      </c>
      <c r="I1621" s="2">
        <v>45589</v>
      </c>
      <c r="J1621" s="3">
        <v>0.64444444444444449</v>
      </c>
      <c r="K1621" s="2" t="s">
        <v>73</v>
      </c>
      <c r="L1621" s="2">
        <v>45590</v>
      </c>
      <c r="M1621" s="3">
        <v>0.38472222222222219</v>
      </c>
      <c r="N1621" s="19" t="s">
        <v>4690</v>
      </c>
    </row>
    <row r="1622" spans="5:14" ht="115.2" hidden="1" x14ac:dyDescent="0.3">
      <c r="E1622" s="38" t="s">
        <v>4691</v>
      </c>
      <c r="F1622" s="19" t="s">
        <v>4692</v>
      </c>
      <c r="G1622" s="1" t="s">
        <v>9</v>
      </c>
      <c r="H1622" s="1" t="s">
        <v>2520</v>
      </c>
      <c r="I1622" s="2">
        <v>45580</v>
      </c>
      <c r="J1622" s="3">
        <v>0.34375</v>
      </c>
      <c r="K1622" s="1" t="s">
        <v>3946</v>
      </c>
      <c r="L1622" s="2">
        <v>45591</v>
      </c>
      <c r="M1622" s="3">
        <v>0.34513888888888888</v>
      </c>
      <c r="N1622" s="19" t="s">
        <v>4693</v>
      </c>
    </row>
    <row r="1623" spans="5:14" ht="241.95" hidden="1" customHeight="1" x14ac:dyDescent="0.3">
      <c r="E1623" s="38" t="s">
        <v>4694</v>
      </c>
      <c r="F1623" s="83" t="s">
        <v>4695</v>
      </c>
      <c r="G1623" s="1" t="s">
        <v>9</v>
      </c>
      <c r="H1623" s="1" t="s">
        <v>2520</v>
      </c>
      <c r="I1623" s="2">
        <v>45573</v>
      </c>
      <c r="J1623" s="3">
        <v>0.72013888888888899</v>
      </c>
      <c r="K1623" s="1" t="s">
        <v>3946</v>
      </c>
      <c r="L1623" s="2">
        <v>45591</v>
      </c>
      <c r="M1623" s="3">
        <v>0.35416666666666669</v>
      </c>
      <c r="N1623" s="19" t="s">
        <v>4698</v>
      </c>
    </row>
    <row r="1624" spans="5:14" ht="187.2" hidden="1" x14ac:dyDescent="0.3">
      <c r="E1624" s="38" t="s">
        <v>4696</v>
      </c>
      <c r="F1624" s="19" t="s">
        <v>4697</v>
      </c>
      <c r="G1624" s="1" t="s">
        <v>9</v>
      </c>
      <c r="H1624" s="1" t="s">
        <v>2520</v>
      </c>
      <c r="I1624" s="2">
        <v>45569</v>
      </c>
      <c r="J1624" s="3">
        <v>0.35833333333333334</v>
      </c>
      <c r="K1624" s="1" t="s">
        <v>3946</v>
      </c>
      <c r="L1624" s="2">
        <v>45591</v>
      </c>
      <c r="M1624" s="3">
        <v>0.3576388888888889</v>
      </c>
      <c r="N1624" s="19" t="s">
        <v>4698</v>
      </c>
    </row>
    <row r="1625" spans="5:14" ht="158.4" hidden="1" x14ac:dyDescent="0.3">
      <c r="E1625" s="38" t="s">
        <v>4687</v>
      </c>
      <c r="F1625" s="19" t="s">
        <v>4699</v>
      </c>
      <c r="G1625" s="1" t="s">
        <v>9</v>
      </c>
      <c r="H1625" s="1" t="s">
        <v>2520</v>
      </c>
      <c r="I1625" s="2">
        <v>45566</v>
      </c>
      <c r="J1625" s="3">
        <v>0.67499999999999993</v>
      </c>
      <c r="K1625" s="1" t="s">
        <v>3946</v>
      </c>
      <c r="L1625" s="2">
        <v>45591</v>
      </c>
      <c r="M1625" s="3">
        <v>0.36527777777777781</v>
      </c>
      <c r="N1625" s="19" t="s">
        <v>4709</v>
      </c>
    </row>
    <row r="1626" spans="5:14" ht="100.8" hidden="1" x14ac:dyDescent="0.3">
      <c r="E1626" s="38" t="s">
        <v>4700</v>
      </c>
      <c r="F1626" s="19" t="s">
        <v>4701</v>
      </c>
      <c r="G1626" s="1" t="s">
        <v>9</v>
      </c>
      <c r="H1626" s="1" t="s">
        <v>2520</v>
      </c>
      <c r="I1626" s="2">
        <v>45562</v>
      </c>
      <c r="J1626" s="3">
        <v>0.56041666666666667</v>
      </c>
      <c r="K1626" s="2" t="s">
        <v>3946</v>
      </c>
      <c r="L1626" s="2">
        <v>45591</v>
      </c>
      <c r="M1626" s="3">
        <v>0.41111111111111115</v>
      </c>
      <c r="N1626" s="19" t="s">
        <v>4702</v>
      </c>
    </row>
    <row r="1627" spans="5:14" ht="316.8" hidden="1" x14ac:dyDescent="0.3">
      <c r="E1627" s="38" t="s">
        <v>4705</v>
      </c>
      <c r="F1627" s="19" t="s">
        <v>4703</v>
      </c>
      <c r="G1627" s="1" t="s">
        <v>900</v>
      </c>
      <c r="H1627" s="1" t="s">
        <v>2520</v>
      </c>
      <c r="I1627" s="2">
        <v>45567</v>
      </c>
      <c r="J1627" s="3">
        <v>0.67638888888888893</v>
      </c>
      <c r="K1627" s="1" t="s">
        <v>3946</v>
      </c>
      <c r="L1627" s="2">
        <v>45591</v>
      </c>
      <c r="M1627" s="3">
        <v>0.55694444444444446</v>
      </c>
      <c r="N1627" s="19" t="s">
        <v>4704</v>
      </c>
    </row>
    <row r="1628" spans="5:14" ht="86.4" hidden="1" x14ac:dyDescent="0.3">
      <c r="E1628" s="38" t="s">
        <v>4706</v>
      </c>
      <c r="F1628" s="19" t="s">
        <v>4707</v>
      </c>
      <c r="G1628" s="1" t="s">
        <v>900</v>
      </c>
      <c r="H1628" s="1" t="s">
        <v>2520</v>
      </c>
      <c r="I1628" s="2">
        <v>45569</v>
      </c>
      <c r="J1628" s="3">
        <v>0.3527777777777778</v>
      </c>
      <c r="K1628" s="1" t="s">
        <v>3946</v>
      </c>
      <c r="L1628" s="2">
        <v>45591</v>
      </c>
      <c r="M1628" s="3">
        <v>0.56874999999999998</v>
      </c>
      <c r="N1628" s="19" t="s">
        <v>4708</v>
      </c>
    </row>
    <row r="1629" spans="5:14" ht="57.6" hidden="1" x14ac:dyDescent="0.3">
      <c r="E1629" s="38" t="s">
        <v>4710</v>
      </c>
      <c r="F1629" s="19" t="s">
        <v>4636</v>
      </c>
      <c r="G1629" s="1" t="s">
        <v>4168</v>
      </c>
      <c r="H1629" s="1" t="s">
        <v>2520</v>
      </c>
      <c r="I1629" s="2">
        <v>45594</v>
      </c>
      <c r="J1629" s="3">
        <v>0.7090277777777777</v>
      </c>
      <c r="K1629" s="2" t="s">
        <v>73</v>
      </c>
      <c r="L1629" s="2">
        <v>45595</v>
      </c>
      <c r="M1629" s="3">
        <v>0.59097222222222223</v>
      </c>
      <c r="N1629" s="19" t="s">
        <v>4638</v>
      </c>
    </row>
    <row r="1630" spans="5:14" ht="172.8" hidden="1" x14ac:dyDescent="0.3">
      <c r="E1630" s="38" t="s">
        <v>4711</v>
      </c>
      <c r="F1630" s="19" t="s">
        <v>4712</v>
      </c>
      <c r="G1630" s="1" t="s">
        <v>10</v>
      </c>
      <c r="H1630" s="1" t="s">
        <v>2520</v>
      </c>
      <c r="I1630" s="2">
        <v>45587</v>
      </c>
      <c r="J1630" s="3">
        <v>0.7090277777777777</v>
      </c>
      <c r="K1630" s="1" t="s">
        <v>3946</v>
      </c>
      <c r="L1630" s="2">
        <v>45597</v>
      </c>
      <c r="M1630" s="3">
        <v>0.61319444444444449</v>
      </c>
      <c r="N1630" s="19" t="s">
        <v>4713</v>
      </c>
    </row>
    <row r="1631" spans="5:14" ht="259.2" hidden="1" x14ac:dyDescent="0.3">
      <c r="E1631" s="38" t="s">
        <v>4714</v>
      </c>
      <c r="F1631" s="19" t="s">
        <v>4715</v>
      </c>
      <c r="G1631" s="1" t="s">
        <v>10</v>
      </c>
      <c r="H1631" s="1" t="s">
        <v>2520</v>
      </c>
      <c r="I1631" s="2">
        <v>45594</v>
      </c>
      <c r="J1631" s="3">
        <v>0.71388888888888891</v>
      </c>
      <c r="K1631" s="1" t="s">
        <v>3946</v>
      </c>
      <c r="L1631" s="2">
        <v>45600</v>
      </c>
      <c r="M1631" s="3">
        <v>0.26041666666666669</v>
      </c>
      <c r="N1631" s="19" t="s">
        <v>955</v>
      </c>
    </row>
    <row r="1632" spans="5:14" ht="115.2" hidden="1" x14ac:dyDescent="0.3">
      <c r="E1632" s="38" t="s">
        <v>4716</v>
      </c>
      <c r="F1632" s="19" t="s">
        <v>4717</v>
      </c>
      <c r="G1632" s="1" t="s">
        <v>900</v>
      </c>
      <c r="H1632" s="1" t="s">
        <v>2520</v>
      </c>
      <c r="I1632" s="2">
        <v>45589</v>
      </c>
      <c r="J1632" s="3">
        <v>0.625</v>
      </c>
      <c r="K1632" s="1" t="s">
        <v>88</v>
      </c>
      <c r="L1632" s="2">
        <v>45600</v>
      </c>
      <c r="M1632" s="3">
        <v>0.75416666666666676</v>
      </c>
      <c r="N1632" s="19" t="s">
        <v>4718</v>
      </c>
    </row>
    <row r="1633" spans="5:14" ht="163.5" hidden="1" customHeight="1" x14ac:dyDescent="0.3">
      <c r="E1633" s="38" t="s">
        <v>4720</v>
      </c>
      <c r="F1633" s="19" t="s">
        <v>4719</v>
      </c>
      <c r="G1633" s="1" t="s">
        <v>900</v>
      </c>
      <c r="H1633" s="1" t="s">
        <v>2520</v>
      </c>
      <c r="I1633" s="2">
        <v>45589</v>
      </c>
      <c r="J1633" s="3">
        <v>0.70416666666666661</v>
      </c>
      <c r="K1633" s="1" t="s">
        <v>88</v>
      </c>
      <c r="L1633" s="2">
        <v>45601</v>
      </c>
      <c r="M1633" s="3">
        <v>0.41111111111111115</v>
      </c>
      <c r="N1633" s="19" t="s">
        <v>4066</v>
      </c>
    </row>
    <row r="1634" spans="5:14" ht="144" hidden="1" x14ac:dyDescent="0.3">
      <c r="E1634" s="38" t="s">
        <v>4721</v>
      </c>
      <c r="F1634" s="19" t="s">
        <v>4740</v>
      </c>
      <c r="G1634" s="1" t="s">
        <v>10</v>
      </c>
      <c r="H1634" s="1" t="s">
        <v>2520</v>
      </c>
      <c r="I1634" s="2">
        <v>45589</v>
      </c>
      <c r="J1634" s="3">
        <v>0.66388888888888886</v>
      </c>
      <c r="K1634" s="1" t="s">
        <v>88</v>
      </c>
      <c r="L1634" s="2">
        <v>45608</v>
      </c>
      <c r="M1634" s="3">
        <v>0.41666666666666669</v>
      </c>
      <c r="N1634" s="19" t="s">
        <v>4739</v>
      </c>
    </row>
    <row r="1635" spans="5:14" ht="100.8" hidden="1" x14ac:dyDescent="0.3">
      <c r="E1635" s="38" t="s">
        <v>4723</v>
      </c>
      <c r="F1635" s="19" t="s">
        <v>4724</v>
      </c>
      <c r="G1635" s="1" t="s">
        <v>900</v>
      </c>
      <c r="H1635" s="1" t="s">
        <v>2520</v>
      </c>
      <c r="I1635" s="2">
        <v>45595</v>
      </c>
      <c r="K1635" s="1" t="s">
        <v>88</v>
      </c>
      <c r="L1635" s="2">
        <v>45602</v>
      </c>
      <c r="M1635" s="3">
        <v>0.42569444444444443</v>
      </c>
      <c r="N1635" s="19" t="s">
        <v>4722</v>
      </c>
    </row>
    <row r="1636" spans="5:14" ht="100.8" hidden="1" x14ac:dyDescent="0.3">
      <c r="E1636" s="38" t="s">
        <v>4726</v>
      </c>
      <c r="F1636" s="19" t="s">
        <v>4725</v>
      </c>
      <c r="G1636" s="1" t="s">
        <v>900</v>
      </c>
      <c r="H1636" s="1" t="s">
        <v>2520</v>
      </c>
      <c r="I1636" s="2">
        <v>45596</v>
      </c>
      <c r="J1636" s="3">
        <v>0.69027777777777777</v>
      </c>
      <c r="K1636" s="1" t="s">
        <v>88</v>
      </c>
      <c r="L1636" s="2">
        <v>45602</v>
      </c>
      <c r="M1636" s="3">
        <v>0.45833333333333331</v>
      </c>
      <c r="N1636" s="19" t="s">
        <v>4722</v>
      </c>
    </row>
    <row r="1637" spans="5:14" ht="86.4" hidden="1" x14ac:dyDescent="0.3">
      <c r="E1637" s="38" t="s">
        <v>4728</v>
      </c>
      <c r="F1637" s="19" t="s">
        <v>4729</v>
      </c>
      <c r="G1637" s="1" t="s">
        <v>900</v>
      </c>
      <c r="H1637" s="1" t="s">
        <v>2520</v>
      </c>
      <c r="I1637" s="2">
        <v>45597</v>
      </c>
      <c r="J1637" s="3">
        <v>0.4597222222222222</v>
      </c>
      <c r="K1637" s="1" t="s">
        <v>88</v>
      </c>
      <c r="L1637" s="2">
        <v>45602</v>
      </c>
      <c r="M1637" s="3">
        <v>0.47152777777777777</v>
      </c>
      <c r="N1637" s="19" t="s">
        <v>4727</v>
      </c>
    </row>
    <row r="1638" spans="5:14" ht="86.4" hidden="1" x14ac:dyDescent="0.3">
      <c r="E1638" s="38" t="s">
        <v>4730</v>
      </c>
      <c r="F1638" s="19" t="s">
        <v>4731</v>
      </c>
      <c r="G1638" s="1" t="s">
        <v>900</v>
      </c>
      <c r="H1638" s="1" t="s">
        <v>2520</v>
      </c>
      <c r="I1638" s="2">
        <v>45594</v>
      </c>
      <c r="J1638" s="3">
        <v>0.71388888888888891</v>
      </c>
      <c r="K1638" s="1" t="s">
        <v>88</v>
      </c>
      <c r="L1638" s="2">
        <v>45602</v>
      </c>
      <c r="M1638" s="3">
        <v>0.52500000000000002</v>
      </c>
      <c r="N1638" s="19" t="s">
        <v>2544</v>
      </c>
    </row>
    <row r="1639" spans="5:14" ht="57.6" hidden="1" x14ac:dyDescent="0.3">
      <c r="E1639" s="38" t="s">
        <v>4736</v>
      </c>
      <c r="F1639" s="19" t="s">
        <v>4737</v>
      </c>
      <c r="G1639" s="1" t="s">
        <v>10</v>
      </c>
      <c r="H1639" s="1" t="s">
        <v>2520</v>
      </c>
      <c r="I1639" s="2">
        <v>45595</v>
      </c>
      <c r="J1639" s="1" t="s">
        <v>4738</v>
      </c>
      <c r="K1639" s="1" t="s">
        <v>88</v>
      </c>
      <c r="L1639" s="2">
        <v>45607</v>
      </c>
      <c r="M1639" s="3">
        <v>0.51527777777777783</v>
      </c>
      <c r="N1639" s="19" t="s">
        <v>4735</v>
      </c>
    </row>
    <row r="1640" spans="5:14" ht="129.6" hidden="1" x14ac:dyDescent="0.3">
      <c r="E1640" s="38" t="s">
        <v>4741</v>
      </c>
      <c r="F1640" s="19" t="s">
        <v>4740</v>
      </c>
      <c r="G1640" s="1" t="s">
        <v>10</v>
      </c>
      <c r="H1640" s="1" t="s">
        <v>2520</v>
      </c>
      <c r="I1640" s="2">
        <v>45589</v>
      </c>
      <c r="J1640" s="3">
        <v>0.69930555555555562</v>
      </c>
      <c r="K1640" s="1" t="s">
        <v>88</v>
      </c>
      <c r="L1640" s="2">
        <v>45608</v>
      </c>
      <c r="M1640" s="3">
        <v>0.74513888888888891</v>
      </c>
      <c r="N1640" s="19" t="s">
        <v>4742</v>
      </c>
    </row>
    <row r="1641" spans="5:14" ht="57.6" hidden="1" x14ac:dyDescent="0.3">
      <c r="E1641" s="38" t="s">
        <v>4732</v>
      </c>
      <c r="F1641" s="19" t="s">
        <v>4733</v>
      </c>
      <c r="G1641" s="1" t="s">
        <v>4168</v>
      </c>
      <c r="H1641" s="1" t="s">
        <v>4734</v>
      </c>
      <c r="I1641" s="2">
        <v>45603</v>
      </c>
      <c r="J1641" s="3">
        <v>0.61388888888888882</v>
      </c>
      <c r="K1641" s="1" t="s">
        <v>73</v>
      </c>
      <c r="L1641" s="2">
        <v>45607</v>
      </c>
      <c r="M1641" s="3">
        <v>0.4597222222222222</v>
      </c>
      <c r="N1641" s="19" t="s">
        <v>4743</v>
      </c>
    </row>
    <row r="1642" spans="5:14" ht="57.6" hidden="1" x14ac:dyDescent="0.3">
      <c r="E1642" s="38" t="s">
        <v>4744</v>
      </c>
      <c r="F1642" s="19" t="s">
        <v>4745</v>
      </c>
      <c r="G1642" s="1" t="s">
        <v>4168</v>
      </c>
      <c r="H1642" s="1" t="s">
        <v>4734</v>
      </c>
      <c r="I1642" s="2">
        <v>45603</v>
      </c>
      <c r="J1642" s="3">
        <v>0.6166666666666667</v>
      </c>
      <c r="K1642" s="1" t="s">
        <v>73</v>
      </c>
      <c r="L1642" s="2">
        <v>45608</v>
      </c>
      <c r="M1642" s="3">
        <v>0.38125000000000003</v>
      </c>
      <c r="N1642" s="19" t="s">
        <v>4746</v>
      </c>
    </row>
    <row r="1643" spans="5:14" ht="57.6" hidden="1" x14ac:dyDescent="0.3">
      <c r="E1643" s="38" t="s">
        <v>4747</v>
      </c>
      <c r="F1643" s="19" t="s">
        <v>4748</v>
      </c>
      <c r="G1643" s="1" t="s">
        <v>4168</v>
      </c>
      <c r="H1643" s="1" t="s">
        <v>4734</v>
      </c>
      <c r="I1643" s="2">
        <v>45603</v>
      </c>
      <c r="J1643" s="3">
        <v>0.68541666666666667</v>
      </c>
      <c r="K1643" s="1" t="s">
        <v>73</v>
      </c>
      <c r="L1643" s="2">
        <v>45608</v>
      </c>
      <c r="M1643" s="3">
        <v>0.39027777777777778</v>
      </c>
      <c r="N1643" s="19" t="s">
        <v>4749</v>
      </c>
    </row>
    <row r="1644" spans="5:14" ht="57.6" hidden="1" x14ac:dyDescent="0.3">
      <c r="E1644" s="38" t="s">
        <v>4750</v>
      </c>
      <c r="F1644" s="19" t="s">
        <v>4751</v>
      </c>
      <c r="G1644" s="1" t="s">
        <v>4168</v>
      </c>
      <c r="H1644" s="1" t="s">
        <v>4734</v>
      </c>
      <c r="I1644" s="2">
        <v>45603</v>
      </c>
      <c r="J1644" s="3">
        <v>0.6166666666666667</v>
      </c>
      <c r="K1644" s="1" t="s">
        <v>73</v>
      </c>
      <c r="L1644" s="2">
        <v>45608</v>
      </c>
      <c r="M1644" s="3">
        <v>0.39374999999999999</v>
      </c>
      <c r="N1644" s="19" t="s">
        <v>4752</v>
      </c>
    </row>
    <row r="1645" spans="5:14" ht="72" hidden="1" x14ac:dyDescent="0.3">
      <c r="E1645" s="38" t="s">
        <v>4753</v>
      </c>
      <c r="F1645" s="19" t="s">
        <v>4754</v>
      </c>
      <c r="G1645" s="1" t="s">
        <v>4168</v>
      </c>
      <c r="H1645" s="1" t="s">
        <v>4734</v>
      </c>
      <c r="I1645" s="2">
        <v>45604</v>
      </c>
      <c r="J1645" s="3">
        <v>0.56597222222222221</v>
      </c>
      <c r="K1645" s="1" t="s">
        <v>73</v>
      </c>
      <c r="L1645" s="2">
        <v>45608</v>
      </c>
      <c r="M1645" s="3">
        <v>0.40347222222222223</v>
      </c>
      <c r="N1645" s="19" t="s">
        <v>4755</v>
      </c>
    </row>
    <row r="1646" spans="5:14" ht="57.6" hidden="1" x14ac:dyDescent="0.3">
      <c r="E1646" s="38" t="s">
        <v>4756</v>
      </c>
      <c r="F1646" s="19" t="s">
        <v>4757</v>
      </c>
      <c r="G1646" s="1" t="s">
        <v>4168</v>
      </c>
      <c r="H1646" s="1" t="s">
        <v>4734</v>
      </c>
      <c r="I1646" s="2">
        <v>45604</v>
      </c>
      <c r="J1646" s="3">
        <v>0.57152777777777775</v>
      </c>
      <c r="K1646" s="1" t="s">
        <v>73</v>
      </c>
      <c r="L1646" s="2">
        <v>45608</v>
      </c>
      <c r="M1646" s="3">
        <v>0.41041666666666665</v>
      </c>
      <c r="N1646" s="19" t="s">
        <v>4758</v>
      </c>
    </row>
    <row r="1647" spans="5:14" ht="57.6" hidden="1" x14ac:dyDescent="0.3">
      <c r="E1647" s="38" t="s">
        <v>4759</v>
      </c>
      <c r="F1647" s="19" t="s">
        <v>4760</v>
      </c>
      <c r="G1647" s="1" t="s">
        <v>4168</v>
      </c>
      <c r="H1647" s="1" t="s">
        <v>4734</v>
      </c>
      <c r="I1647" s="2">
        <v>45604</v>
      </c>
      <c r="J1647" s="3">
        <v>0.57222222222222219</v>
      </c>
      <c r="K1647" s="1" t="s">
        <v>73</v>
      </c>
      <c r="L1647" s="2">
        <v>45608</v>
      </c>
      <c r="M1647" s="3">
        <v>0.41875000000000001</v>
      </c>
      <c r="N1647" s="19" t="s">
        <v>4761</v>
      </c>
    </row>
    <row r="1648" spans="5:14" ht="57.6" hidden="1" x14ac:dyDescent="0.3">
      <c r="E1648" s="38" t="s">
        <v>4762</v>
      </c>
      <c r="F1648" s="19" t="s">
        <v>4763</v>
      </c>
      <c r="G1648" s="1" t="s">
        <v>4168</v>
      </c>
      <c r="H1648" s="1" t="s">
        <v>4734</v>
      </c>
      <c r="I1648" s="2">
        <v>45603</v>
      </c>
      <c r="J1648" s="3">
        <v>0.66388888888888886</v>
      </c>
      <c r="K1648" s="1" t="s">
        <v>73</v>
      </c>
      <c r="L1648" s="2">
        <v>45609</v>
      </c>
      <c r="M1648" s="3">
        <v>0.3034722222222222</v>
      </c>
      <c r="N1648" s="19" t="s">
        <v>4764</v>
      </c>
    </row>
    <row r="1649" spans="5:14" ht="187.2" hidden="1" x14ac:dyDescent="0.3">
      <c r="E1649" s="38" t="s">
        <v>4765</v>
      </c>
      <c r="F1649" s="19" t="s">
        <v>4766</v>
      </c>
      <c r="G1649" s="1" t="s">
        <v>900</v>
      </c>
      <c r="H1649" s="1" t="s">
        <v>2520</v>
      </c>
      <c r="I1649" s="2">
        <v>45616</v>
      </c>
      <c r="J1649" s="3">
        <v>0.35486111111111113</v>
      </c>
      <c r="K1649" s="1" t="s">
        <v>3946</v>
      </c>
      <c r="L1649" s="2">
        <v>45625</v>
      </c>
      <c r="M1649" s="3">
        <v>0.5</v>
      </c>
      <c r="N1649" s="19" t="s">
        <v>4767</v>
      </c>
    </row>
    <row r="1650" spans="5:14" ht="158.4" hidden="1" x14ac:dyDescent="0.3">
      <c r="E1650" s="38" t="s">
        <v>4768</v>
      </c>
      <c r="F1650" s="19" t="s">
        <v>4769</v>
      </c>
      <c r="G1650" s="1" t="s">
        <v>10</v>
      </c>
      <c r="H1650" s="1" t="s">
        <v>2520</v>
      </c>
      <c r="I1650" s="2">
        <v>45601</v>
      </c>
      <c r="J1650" s="3">
        <v>0.43124999999999997</v>
      </c>
      <c r="K1650" s="1" t="s">
        <v>3946</v>
      </c>
      <c r="L1650" s="2">
        <v>45625</v>
      </c>
      <c r="M1650" s="3">
        <v>0.51180555555555551</v>
      </c>
      <c r="N1650" s="19" t="s">
        <v>4770</v>
      </c>
    </row>
    <row r="1651" spans="5:14" ht="403.2" hidden="1" x14ac:dyDescent="0.3">
      <c r="E1651" s="38" t="s">
        <v>4771</v>
      </c>
      <c r="F1651" s="19" t="s">
        <v>4772</v>
      </c>
      <c r="G1651" s="1" t="s">
        <v>10</v>
      </c>
      <c r="H1651" s="1" t="s">
        <v>2520</v>
      </c>
      <c r="I1651" s="2">
        <v>45603</v>
      </c>
      <c r="J1651" s="3">
        <v>0.36388888888888887</v>
      </c>
      <c r="K1651" s="1" t="s">
        <v>3946</v>
      </c>
      <c r="L1651" s="2">
        <v>45625</v>
      </c>
      <c r="M1651" s="3">
        <v>0.60069444444444442</v>
      </c>
      <c r="N1651" s="19" t="s">
        <v>4773</v>
      </c>
    </row>
    <row r="1652" spans="5:14" ht="100.8" hidden="1" x14ac:dyDescent="0.3">
      <c r="E1652" s="38" t="s">
        <v>4774</v>
      </c>
      <c r="F1652" s="19" t="s">
        <v>4775</v>
      </c>
      <c r="G1652" s="1" t="s">
        <v>10</v>
      </c>
      <c r="H1652" s="1" t="s">
        <v>2520</v>
      </c>
      <c r="I1652" s="2">
        <v>45603</v>
      </c>
      <c r="J1652" s="3">
        <v>0.37152777777777773</v>
      </c>
      <c r="K1652" s="1" t="s">
        <v>3946</v>
      </c>
      <c r="L1652" s="2">
        <v>45625</v>
      </c>
      <c r="M1652" s="3">
        <v>0.61111111111111105</v>
      </c>
      <c r="N1652" s="19" t="s">
        <v>955</v>
      </c>
    </row>
    <row r="1653" spans="5:14" ht="187.2" hidden="1" x14ac:dyDescent="0.3">
      <c r="E1653" s="38" t="s">
        <v>4776</v>
      </c>
      <c r="F1653" s="19" t="s">
        <v>4777</v>
      </c>
      <c r="G1653" s="1" t="s">
        <v>10</v>
      </c>
      <c r="H1653" s="1" t="s">
        <v>2520</v>
      </c>
      <c r="I1653" s="2">
        <v>45604</v>
      </c>
      <c r="J1653" s="3">
        <v>0.6645833333333333</v>
      </c>
      <c r="K1653" s="1" t="s">
        <v>3946</v>
      </c>
      <c r="L1653" s="2">
        <v>45626</v>
      </c>
      <c r="M1653" s="3">
        <v>0.3034722222222222</v>
      </c>
      <c r="N1653" s="19" t="s">
        <v>955</v>
      </c>
    </row>
    <row r="1654" spans="5:14" ht="129.6" hidden="1" x14ac:dyDescent="0.3">
      <c r="E1654" s="38" t="s">
        <v>4778</v>
      </c>
      <c r="F1654" s="19" t="s">
        <v>4779</v>
      </c>
      <c r="G1654" s="1" t="s">
        <v>10</v>
      </c>
      <c r="H1654" s="1" t="s">
        <v>2520</v>
      </c>
      <c r="I1654" s="64">
        <v>45610</v>
      </c>
      <c r="J1654" s="3">
        <v>0.37777777777777777</v>
      </c>
      <c r="K1654" s="1" t="s">
        <v>3946</v>
      </c>
      <c r="L1654" s="2">
        <v>45626</v>
      </c>
      <c r="M1654" s="3">
        <v>0.3215277777777778</v>
      </c>
      <c r="N1654" s="19" t="s">
        <v>4780</v>
      </c>
    </row>
    <row r="1655" spans="5:14" ht="158.4" hidden="1" x14ac:dyDescent="0.3">
      <c r="E1655" s="38" t="s">
        <v>4781</v>
      </c>
      <c r="F1655" s="19" t="s">
        <v>4782</v>
      </c>
      <c r="G1655" s="1" t="s">
        <v>10</v>
      </c>
      <c r="H1655" s="1" t="s">
        <v>2520</v>
      </c>
      <c r="I1655" s="64">
        <v>45616</v>
      </c>
      <c r="J1655" s="3">
        <v>0.35069444444444442</v>
      </c>
      <c r="K1655" s="1" t="s">
        <v>3946</v>
      </c>
      <c r="L1655" s="2">
        <v>45626</v>
      </c>
      <c r="M1655" s="3">
        <v>0.35555555555555557</v>
      </c>
      <c r="N1655" s="19" t="s">
        <v>4783</v>
      </c>
    </row>
    <row r="1656" spans="5:14" ht="409.6" hidden="1" x14ac:dyDescent="0.3">
      <c r="E1656" s="38" t="s">
        <v>4784</v>
      </c>
      <c r="F1656" s="19" t="s">
        <v>4785</v>
      </c>
      <c r="G1656" s="1" t="s">
        <v>10</v>
      </c>
      <c r="H1656" s="1" t="s">
        <v>2520</v>
      </c>
      <c r="I1656" s="64">
        <v>45616</v>
      </c>
      <c r="J1656" s="3">
        <v>0.35833333333333334</v>
      </c>
      <c r="K1656" s="1" t="s">
        <v>3946</v>
      </c>
      <c r="L1656" s="2">
        <v>45626</v>
      </c>
      <c r="M1656" s="3">
        <v>0.36805555555555558</v>
      </c>
      <c r="N1656" s="19" t="s">
        <v>4786</v>
      </c>
    </row>
    <row r="1657" spans="5:14" ht="172.8" hidden="1" x14ac:dyDescent="0.3">
      <c r="E1657" s="38" t="s">
        <v>4787</v>
      </c>
      <c r="F1657" s="19" t="s">
        <v>4788</v>
      </c>
      <c r="G1657" s="1" t="s">
        <v>10</v>
      </c>
      <c r="H1657" s="1" t="s">
        <v>2520</v>
      </c>
      <c r="I1657" s="64">
        <v>45616</v>
      </c>
      <c r="J1657" s="3">
        <v>0.48194444444444445</v>
      </c>
      <c r="K1657" s="1" t="s">
        <v>3946</v>
      </c>
      <c r="L1657" s="2">
        <v>45626</v>
      </c>
      <c r="M1657" s="3">
        <v>0.38263888888888892</v>
      </c>
      <c r="N1657" s="19" t="s">
        <v>4783</v>
      </c>
    </row>
    <row r="1658" spans="5:14" ht="100.8" hidden="1" x14ac:dyDescent="0.3">
      <c r="E1658" s="38" t="s">
        <v>4790</v>
      </c>
      <c r="F1658" s="19" t="s">
        <v>4791</v>
      </c>
      <c r="G1658" s="1" t="s">
        <v>9</v>
      </c>
      <c r="H1658" s="1" t="s">
        <v>2520</v>
      </c>
      <c r="I1658" s="64">
        <v>45617</v>
      </c>
      <c r="J1658" s="3">
        <v>0.65486111111111112</v>
      </c>
      <c r="K1658" s="1" t="s">
        <v>3946</v>
      </c>
      <c r="L1658" s="2">
        <v>45626</v>
      </c>
      <c r="M1658" s="3">
        <v>0.39305555555555555</v>
      </c>
      <c r="N1658" s="19" t="s">
        <v>4789</v>
      </c>
    </row>
    <row r="1659" spans="5:14" ht="100.8" hidden="1" x14ac:dyDescent="0.3">
      <c r="E1659" s="38" t="s">
        <v>4793</v>
      </c>
      <c r="F1659" s="19" t="s">
        <v>4792</v>
      </c>
      <c r="G1659" s="1" t="s">
        <v>9</v>
      </c>
      <c r="H1659" s="1" t="s">
        <v>2520</v>
      </c>
      <c r="I1659" s="64">
        <v>45622</v>
      </c>
      <c r="J1659" s="3">
        <v>0.57916666666666672</v>
      </c>
      <c r="K1659" s="1" t="s">
        <v>3946</v>
      </c>
      <c r="L1659" s="2">
        <v>45626</v>
      </c>
      <c r="M1659" s="3">
        <v>0.39652777777777781</v>
      </c>
      <c r="N1659" s="19" t="s">
        <v>955</v>
      </c>
    </row>
    <row r="1660" spans="5:14" ht="172.8" hidden="1" x14ac:dyDescent="0.3">
      <c r="E1660" s="38" t="s">
        <v>4794</v>
      </c>
      <c r="F1660" s="19" t="s">
        <v>4795</v>
      </c>
      <c r="G1660" s="1" t="s">
        <v>9</v>
      </c>
      <c r="H1660" s="1" t="s">
        <v>2520</v>
      </c>
      <c r="I1660" s="64">
        <v>45623</v>
      </c>
      <c r="J1660" s="3">
        <v>0.34513888888888888</v>
      </c>
      <c r="K1660" s="1" t="s">
        <v>3946</v>
      </c>
      <c r="L1660" s="2">
        <v>45626</v>
      </c>
      <c r="M1660" s="2">
        <v>45626</v>
      </c>
      <c r="N1660" s="19" t="s">
        <v>955</v>
      </c>
    </row>
    <row r="1661" spans="5:14" ht="144" hidden="1" x14ac:dyDescent="0.3">
      <c r="E1661" s="38" t="s">
        <v>4796</v>
      </c>
      <c r="F1661" s="83" t="s">
        <v>4797</v>
      </c>
      <c r="G1661" s="1" t="s">
        <v>9</v>
      </c>
      <c r="H1661" s="1" t="s">
        <v>2520</v>
      </c>
      <c r="I1661" s="64">
        <v>45625</v>
      </c>
      <c r="J1661" s="3">
        <v>0.4375</v>
      </c>
      <c r="K1661" s="1" t="s">
        <v>3946</v>
      </c>
      <c r="L1661" s="2">
        <v>45626</v>
      </c>
      <c r="M1661" s="3">
        <v>0.41666666666666669</v>
      </c>
      <c r="N1661" s="19" t="s">
        <v>955</v>
      </c>
    </row>
    <row r="1662" spans="5:14" ht="388.8" hidden="1" x14ac:dyDescent="0.3">
      <c r="E1662" s="296" t="s">
        <v>4798</v>
      </c>
      <c r="F1662" s="19" t="s">
        <v>4799</v>
      </c>
      <c r="G1662" s="1" t="s">
        <v>4800</v>
      </c>
      <c r="H1662" s="1" t="s">
        <v>2520</v>
      </c>
      <c r="I1662" s="64">
        <v>45604</v>
      </c>
      <c r="J1662" s="3">
        <v>0.59722222222222221</v>
      </c>
      <c r="K1662" s="1" t="s">
        <v>3946</v>
      </c>
      <c r="L1662" s="34" t="s">
        <v>4846</v>
      </c>
      <c r="M1662" s="28" t="s">
        <v>4847</v>
      </c>
      <c r="N1662" s="19" t="s">
        <v>4848</v>
      </c>
    </row>
    <row r="1663" spans="5:14" ht="86.4" hidden="1" x14ac:dyDescent="0.3">
      <c r="E1663" s="38" t="s">
        <v>4801</v>
      </c>
      <c r="F1663" s="19" t="s">
        <v>4802</v>
      </c>
      <c r="G1663" s="1" t="s">
        <v>900</v>
      </c>
      <c r="H1663" s="1" t="s">
        <v>2520</v>
      </c>
      <c r="I1663" s="64">
        <v>45617</v>
      </c>
      <c r="J1663" s="3">
        <v>0.38194444444444442</v>
      </c>
      <c r="K1663" s="1" t="s">
        <v>3946</v>
      </c>
      <c r="L1663" s="2">
        <v>45626</v>
      </c>
      <c r="M1663" s="2">
        <v>45626</v>
      </c>
      <c r="N1663" s="19" t="s">
        <v>4803</v>
      </c>
    </row>
    <row r="1664" spans="5:14" ht="100.8" hidden="1" x14ac:dyDescent="0.3">
      <c r="E1664" s="38" t="s">
        <v>4805</v>
      </c>
      <c r="F1664" s="19" t="s">
        <v>4804</v>
      </c>
      <c r="G1664" s="1" t="s">
        <v>900</v>
      </c>
      <c r="H1664" s="1" t="s">
        <v>2520</v>
      </c>
      <c r="I1664" s="64">
        <v>45617</v>
      </c>
      <c r="J1664" s="3">
        <v>0.3840277777777778</v>
      </c>
      <c r="K1664" s="1" t="s">
        <v>3946</v>
      </c>
      <c r="L1664" s="2">
        <v>45626</v>
      </c>
      <c r="M1664" s="3">
        <v>0.4465277777777778</v>
      </c>
      <c r="N1664" s="19" t="s">
        <v>4806</v>
      </c>
    </row>
    <row r="1665" spans="5:14" ht="72" hidden="1" x14ac:dyDescent="0.3">
      <c r="E1665" s="38" t="s">
        <v>4808</v>
      </c>
      <c r="F1665" s="19" t="s">
        <v>4807</v>
      </c>
      <c r="G1665" s="1" t="s">
        <v>10</v>
      </c>
      <c r="H1665" s="1" t="s">
        <v>2520</v>
      </c>
      <c r="I1665" s="64">
        <v>45618</v>
      </c>
      <c r="J1665" s="3">
        <v>0.71944444444444444</v>
      </c>
      <c r="K1665" s="1" t="s">
        <v>3946</v>
      </c>
      <c r="L1665" s="2">
        <v>45626</v>
      </c>
      <c r="M1665" s="3">
        <v>0.45208333333333334</v>
      </c>
      <c r="N1665" s="19" t="s">
        <v>4809</v>
      </c>
    </row>
    <row r="1666" spans="5:14" ht="144" hidden="1" x14ac:dyDescent="0.3">
      <c r="E1666" s="38" t="s">
        <v>4810</v>
      </c>
      <c r="F1666" s="19" t="s">
        <v>4811</v>
      </c>
      <c r="G1666" s="1" t="s">
        <v>900</v>
      </c>
      <c r="H1666" s="1" t="s">
        <v>2520</v>
      </c>
      <c r="I1666" s="64">
        <v>45601</v>
      </c>
      <c r="J1666" s="3">
        <v>0.42777777777777781</v>
      </c>
      <c r="K1666" s="1" t="s">
        <v>3946</v>
      </c>
      <c r="L1666" s="2">
        <v>45626</v>
      </c>
      <c r="M1666" s="3">
        <v>0.4604166666666667</v>
      </c>
      <c r="N1666" s="19" t="s">
        <v>4812</v>
      </c>
    </row>
    <row r="1667" spans="5:14" ht="86.4" hidden="1" x14ac:dyDescent="0.3">
      <c r="E1667" s="38" t="s">
        <v>4814</v>
      </c>
      <c r="F1667" s="19" t="s">
        <v>4813</v>
      </c>
      <c r="G1667" s="1" t="s">
        <v>10</v>
      </c>
      <c r="H1667" s="1" t="s">
        <v>2520</v>
      </c>
      <c r="I1667" s="64">
        <v>45624</v>
      </c>
      <c r="J1667" s="3">
        <v>0.56388888888888888</v>
      </c>
      <c r="K1667" s="1" t="s">
        <v>3946</v>
      </c>
      <c r="L1667" s="2">
        <v>45626</v>
      </c>
      <c r="M1667" s="3">
        <v>0.46875</v>
      </c>
      <c r="N1667" s="19" t="s">
        <v>955</v>
      </c>
    </row>
    <row r="1668" spans="5:14" ht="409.6" hidden="1" x14ac:dyDescent="0.3">
      <c r="E1668" s="38" t="s">
        <v>4816</v>
      </c>
      <c r="F1668" s="19" t="s">
        <v>4815</v>
      </c>
      <c r="G1668" s="1" t="s">
        <v>10</v>
      </c>
      <c r="H1668" s="1" t="s">
        <v>2520</v>
      </c>
      <c r="I1668" s="64">
        <v>45604</v>
      </c>
      <c r="J1668" s="3">
        <v>0.60138888888888886</v>
      </c>
      <c r="K1668" s="1" t="s">
        <v>3946</v>
      </c>
      <c r="L1668" s="2">
        <v>45626</v>
      </c>
      <c r="M1668" s="3">
        <v>0.47847222222222219</v>
      </c>
      <c r="N1668" s="19" t="s">
        <v>4817</v>
      </c>
    </row>
    <row r="1669" spans="5:14" ht="129.6" hidden="1" x14ac:dyDescent="0.3">
      <c r="E1669" s="38" t="s">
        <v>4819</v>
      </c>
      <c r="F1669" s="19" t="s">
        <v>4818</v>
      </c>
      <c r="G1669" s="1" t="s">
        <v>10</v>
      </c>
      <c r="H1669" s="1" t="s">
        <v>2520</v>
      </c>
      <c r="I1669" s="64">
        <v>45594</v>
      </c>
      <c r="J1669" s="3">
        <v>0.72152777777777777</v>
      </c>
      <c r="K1669" s="1" t="s">
        <v>3946</v>
      </c>
      <c r="L1669" s="2">
        <v>45626</v>
      </c>
      <c r="M1669" s="3">
        <v>0.4826388888888889</v>
      </c>
      <c r="N1669" s="19" t="s">
        <v>955</v>
      </c>
    </row>
    <row r="1670" spans="5:14" ht="129.6" hidden="1" x14ac:dyDescent="0.3">
      <c r="E1670" s="38" t="s">
        <v>4821</v>
      </c>
      <c r="F1670" s="19" t="s">
        <v>4820</v>
      </c>
      <c r="G1670" s="1" t="s">
        <v>10</v>
      </c>
      <c r="H1670" s="1" t="s">
        <v>2520</v>
      </c>
      <c r="I1670" s="64">
        <v>45595</v>
      </c>
      <c r="J1670" s="3">
        <v>0.35833333333333334</v>
      </c>
      <c r="K1670" s="1" t="s">
        <v>3946</v>
      </c>
      <c r="L1670" s="2">
        <v>45626</v>
      </c>
      <c r="M1670" s="3">
        <v>0.48888888888888887</v>
      </c>
      <c r="N1670" s="19" t="s">
        <v>955</v>
      </c>
    </row>
    <row r="1671" spans="5:14" ht="244.8" hidden="1" x14ac:dyDescent="0.3">
      <c r="E1671" s="38" t="s">
        <v>4822</v>
      </c>
      <c r="F1671" s="19" t="s">
        <v>4823</v>
      </c>
      <c r="G1671" s="1" t="s">
        <v>900</v>
      </c>
      <c r="H1671" s="1" t="s">
        <v>2520</v>
      </c>
      <c r="I1671" s="64">
        <v>45625</v>
      </c>
      <c r="J1671" s="3">
        <v>0.40625</v>
      </c>
      <c r="K1671" s="1" t="s">
        <v>3946</v>
      </c>
      <c r="L1671" s="2">
        <v>45626</v>
      </c>
      <c r="M1671" s="3">
        <v>0.49513888888888885</v>
      </c>
      <c r="N1671" s="19" t="s">
        <v>955</v>
      </c>
    </row>
    <row r="1672" spans="5:14" ht="129.6" hidden="1" x14ac:dyDescent="0.3">
      <c r="E1672" s="38" t="s">
        <v>4827</v>
      </c>
      <c r="F1672" s="19" t="s">
        <v>4828</v>
      </c>
      <c r="G1672" s="1" t="s">
        <v>10</v>
      </c>
      <c r="H1672" s="1" t="s">
        <v>2520</v>
      </c>
      <c r="I1672" s="64">
        <v>45628</v>
      </c>
      <c r="J1672" s="3">
        <v>0.38472222222222219</v>
      </c>
      <c r="K1672" s="1" t="s">
        <v>3946</v>
      </c>
      <c r="L1672" s="2">
        <v>45628</v>
      </c>
      <c r="M1672" s="3">
        <v>0.50624999999999998</v>
      </c>
      <c r="N1672" s="19" t="s">
        <v>4829</v>
      </c>
    </row>
    <row r="1673" spans="5:14" ht="100.8" hidden="1" x14ac:dyDescent="0.3">
      <c r="E1673" s="38" t="s">
        <v>4831</v>
      </c>
      <c r="F1673" s="19" t="s">
        <v>4830</v>
      </c>
      <c r="G1673" s="1" t="s">
        <v>9</v>
      </c>
      <c r="H1673" s="1" t="s">
        <v>2520</v>
      </c>
      <c r="I1673" s="64">
        <v>45628</v>
      </c>
      <c r="J1673" s="3">
        <v>0.38194444444444442</v>
      </c>
      <c r="K1673" s="1" t="s">
        <v>3946</v>
      </c>
      <c r="L1673" s="2">
        <v>45628</v>
      </c>
      <c r="M1673" s="3">
        <v>0.50624999999999998</v>
      </c>
      <c r="N1673" s="19" t="s">
        <v>955</v>
      </c>
    </row>
    <row r="1674" spans="5:14" ht="201.6" hidden="1" x14ac:dyDescent="0.3">
      <c r="E1674" s="38" t="s">
        <v>4824</v>
      </c>
      <c r="F1674" s="19" t="s">
        <v>4832</v>
      </c>
      <c r="G1674" s="1" t="s">
        <v>10</v>
      </c>
      <c r="H1674" s="1" t="s">
        <v>2520</v>
      </c>
      <c r="I1674" s="64">
        <v>45595</v>
      </c>
      <c r="J1674" s="3">
        <v>0.7055555555555556</v>
      </c>
      <c r="K1674" s="1" t="s">
        <v>3946</v>
      </c>
      <c r="L1674" s="2">
        <v>45628</v>
      </c>
      <c r="M1674" s="2">
        <v>45628</v>
      </c>
      <c r="N1674" s="19" t="s">
        <v>4833</v>
      </c>
    </row>
    <row r="1675" spans="5:14" ht="230.4" hidden="1" x14ac:dyDescent="0.3">
      <c r="E1675" s="38" t="s">
        <v>4836</v>
      </c>
      <c r="F1675" s="19" t="s">
        <v>4838</v>
      </c>
      <c r="G1675" s="1" t="s">
        <v>900</v>
      </c>
      <c r="H1675" s="1" t="s">
        <v>2520</v>
      </c>
      <c r="I1675" s="64">
        <v>45628</v>
      </c>
      <c r="J1675" s="3">
        <v>0.37986111111111115</v>
      </c>
      <c r="K1675" s="1" t="s">
        <v>3946</v>
      </c>
      <c r="L1675" s="2">
        <v>45628</v>
      </c>
      <c r="M1675" s="3">
        <v>0.64166666666666672</v>
      </c>
      <c r="N1675" s="19" t="s">
        <v>4837</v>
      </c>
    </row>
    <row r="1676" spans="5:14" ht="86.4" hidden="1" x14ac:dyDescent="0.3">
      <c r="E1676" s="38" t="s">
        <v>4841</v>
      </c>
      <c r="F1676" s="19" t="s">
        <v>4842</v>
      </c>
      <c r="G1676" s="1" t="s">
        <v>900</v>
      </c>
      <c r="H1676" s="1" t="s">
        <v>2520</v>
      </c>
      <c r="I1676" s="64">
        <v>45589</v>
      </c>
      <c r="J1676" s="3">
        <v>0.69652777777777775</v>
      </c>
      <c r="K1676" s="1" t="s">
        <v>3946</v>
      </c>
      <c r="L1676" s="2">
        <v>45628</v>
      </c>
      <c r="M1676" s="3">
        <v>0.67708333333333337</v>
      </c>
      <c r="N1676" s="19" t="s">
        <v>955</v>
      </c>
    </row>
    <row r="1677" spans="5:14" ht="273.60000000000002" hidden="1" x14ac:dyDescent="0.3">
      <c r="E1677" s="38" t="s">
        <v>4826</v>
      </c>
      <c r="F1677" s="19" t="s">
        <v>4843</v>
      </c>
      <c r="G1677" s="1" t="s">
        <v>900</v>
      </c>
      <c r="H1677" s="1" t="s">
        <v>2520</v>
      </c>
      <c r="I1677" s="64">
        <v>45628</v>
      </c>
      <c r="J1677" s="3">
        <v>0.3756944444444445</v>
      </c>
      <c r="K1677" s="1" t="s">
        <v>3946</v>
      </c>
      <c r="L1677" s="2">
        <v>45628</v>
      </c>
      <c r="M1677" s="3">
        <v>0.68402777777777779</v>
      </c>
      <c r="N1677" s="19" t="s">
        <v>955</v>
      </c>
    </row>
    <row r="1678" spans="5:14" ht="273.60000000000002" x14ac:dyDescent="0.3">
      <c r="E1678" s="38" t="s">
        <v>4825</v>
      </c>
      <c r="F1678" s="19" t="s">
        <v>4844</v>
      </c>
      <c r="G1678" s="1" t="s">
        <v>10</v>
      </c>
      <c r="H1678" s="1" t="s">
        <v>2520</v>
      </c>
      <c r="I1678" s="64">
        <v>45628</v>
      </c>
      <c r="J1678" s="3">
        <v>0.36874999999999997</v>
      </c>
      <c r="K1678" s="1" t="s">
        <v>3946</v>
      </c>
      <c r="L1678" s="34" t="s">
        <v>4849</v>
      </c>
      <c r="M1678" s="28" t="s">
        <v>4850</v>
      </c>
      <c r="N1678" s="19" t="s">
        <v>4851</v>
      </c>
    </row>
    <row r="1679" spans="5:14" ht="409.6" hidden="1" x14ac:dyDescent="0.3">
      <c r="E1679" s="296" t="s">
        <v>4839</v>
      </c>
      <c r="F1679" s="99" t="s">
        <v>4840</v>
      </c>
      <c r="G1679" s="95" t="s">
        <v>10</v>
      </c>
      <c r="H1679" s="95" t="s">
        <v>2520</v>
      </c>
      <c r="I1679" s="302">
        <v>45616</v>
      </c>
      <c r="J1679" s="97">
        <v>0.47638888888888892</v>
      </c>
      <c r="K1679" s="95" t="s">
        <v>3946</v>
      </c>
      <c r="L1679" s="96">
        <v>45629</v>
      </c>
      <c r="M1679" s="97">
        <v>0.66597222222222219</v>
      </c>
      <c r="N1679" s="99" t="s">
        <v>955</v>
      </c>
    </row>
    <row r="1680" spans="5:14" ht="409.6" hidden="1" x14ac:dyDescent="0.3">
      <c r="E1680" s="296" t="s">
        <v>4834</v>
      </c>
      <c r="F1680" s="99" t="s">
        <v>4835</v>
      </c>
      <c r="G1680" s="95" t="s">
        <v>10</v>
      </c>
      <c r="H1680" s="95" t="s">
        <v>2520</v>
      </c>
      <c r="I1680" s="302">
        <v>45610</v>
      </c>
      <c r="J1680" s="97">
        <v>0.36527777777777781</v>
      </c>
      <c r="K1680" s="95" t="s">
        <v>3946</v>
      </c>
      <c r="L1680" s="96">
        <v>45629</v>
      </c>
      <c r="M1680" s="97">
        <v>0.66597222222222219</v>
      </c>
      <c r="N1680" s="99" t="s">
        <v>4845</v>
      </c>
    </row>
  </sheetData>
  <autoFilter ref="A1:V1680" xr:uid="{472371A0-B84A-4879-AD5C-4AC0E38B5732}">
    <filterColumn colId="4">
      <filters>
        <filter val="CR-0201409-00"/>
      </filters>
    </filterColumn>
  </autoFilter>
  <customSheetViews>
    <customSheetView guid="{DAA4EDDF-90C1-4EF3-98E5-BA46C8BF9260}" scale="85" showPageBreaks="1" fitToPage="1" showAutoFilter="1" topLeftCell="B1">
      <pane ySplit="1" topLeftCell="A469" activePane="bottomLeft" state="frozen"/>
      <selection pane="bottomLeft" activeCell="K477" sqref="K477"/>
      <pageMargins left="0.25" right="0.25" top="0.75" bottom="0.75" header="0.3" footer="0.3"/>
      <pageSetup paperSize="9" scale="10" orientation="landscape" r:id="rId1"/>
      <autoFilter ref="A1:L477" xr:uid="{D5F70901-2426-4A56-A259-6C4ECDBF43AF}"/>
    </customSheetView>
    <customSheetView guid="{D0A55F4A-5BA7-4283-8E8F-B397FDB085D6}" scale="130" fitToPage="1" showAutoFilter="1">
      <pane ySplit="1" topLeftCell="A117" activePane="bottomLeft" state="frozen"/>
      <selection pane="bottomLeft" activeCell="I125" sqref="I125"/>
      <pageMargins left="0.25" right="0.25" top="0.75" bottom="0.75" header="0.3" footer="0.3"/>
      <pageSetup paperSize="9" scale="60" orientation="landscape" r:id="rId2"/>
      <autoFilter ref="A1:L120" xr:uid="{57CBED60-2848-4CA2-9B5A-DD701A6EC338}"/>
    </customSheetView>
  </customSheetViews>
  <phoneticPr fontId="4" type="noConversion"/>
  <conditionalFormatting sqref="N1284">
    <cfRule type="containsBlanks" dxfId="28" priority="20">
      <formula>LEN(TRIM(N1284))=0</formula>
    </cfRule>
  </conditionalFormatting>
  <conditionalFormatting sqref="N1284">
    <cfRule type="duplicateValues" dxfId="27" priority="19"/>
  </conditionalFormatting>
  <conditionalFormatting sqref="E1301">
    <cfRule type="containsBlanks" dxfId="26" priority="17">
      <formula>LEN(TRIM(E1301))=0</formula>
    </cfRule>
  </conditionalFormatting>
  <conditionalFormatting sqref="E1303:E1304 E1301">
    <cfRule type="duplicateValues" dxfId="25" priority="18"/>
  </conditionalFormatting>
  <conditionalFormatting sqref="E1300">
    <cfRule type="containsBlanks" dxfId="24" priority="16">
      <formula>LEN(TRIM(E1300))=0</formula>
    </cfRule>
  </conditionalFormatting>
  <conditionalFormatting sqref="E1300">
    <cfRule type="duplicateValues" dxfId="23" priority="15"/>
  </conditionalFormatting>
  <conditionalFormatting sqref="E1301">
    <cfRule type="containsBlanks" dxfId="22" priority="14">
      <formula>LEN(TRIM(E1301))=0</formula>
    </cfRule>
  </conditionalFormatting>
  <conditionalFormatting sqref="E1302">
    <cfRule type="duplicateValues" dxfId="21" priority="13"/>
  </conditionalFormatting>
  <conditionalFormatting sqref="E1305">
    <cfRule type="duplicateValues" dxfId="20" priority="12"/>
  </conditionalFormatting>
  <conditionalFormatting sqref="E1306">
    <cfRule type="containsBlanks" dxfId="19" priority="11">
      <formula>LEN(TRIM(E1306))=0</formula>
    </cfRule>
  </conditionalFormatting>
  <conditionalFormatting sqref="E1306">
    <cfRule type="duplicateValues" dxfId="18" priority="10"/>
  </conditionalFormatting>
  <conditionalFormatting sqref="E1312:E1313">
    <cfRule type="duplicateValues" dxfId="17" priority="9"/>
  </conditionalFormatting>
  <conditionalFormatting sqref="E1314">
    <cfRule type="duplicateValues" dxfId="16" priority="8"/>
  </conditionalFormatting>
  <conditionalFormatting sqref="E1316">
    <cfRule type="duplicateValues" dxfId="15" priority="7"/>
  </conditionalFormatting>
  <conditionalFormatting sqref="E1318">
    <cfRule type="duplicateValues" dxfId="14" priority="6"/>
  </conditionalFormatting>
  <conditionalFormatting sqref="E1319">
    <cfRule type="duplicateValues" dxfId="13" priority="5"/>
  </conditionalFormatting>
  <conditionalFormatting sqref="E1:E1640 E1649:E1678 E1680:E1048576">
    <cfRule type="duplicateValues" dxfId="12" priority="4"/>
  </conditionalFormatting>
  <conditionalFormatting sqref="E1641:E1648">
    <cfRule type="duplicateValues" dxfId="11" priority="3"/>
  </conditionalFormatting>
  <conditionalFormatting sqref="E1679">
    <cfRule type="duplicateValues" dxfId="10" priority="2"/>
  </conditionalFormatting>
  <conditionalFormatting sqref="E1:E1048576">
    <cfRule type="duplicateValues" dxfId="9" priority="1"/>
  </conditionalFormatting>
  <pageMargins left="0.25" right="0.25" top="0.75" bottom="0.75" header="0.3" footer="0.3"/>
  <pageSetup paperSize="9" scale="10" orientation="landscap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A563-E5F5-4B23-B31B-CD016FFEF6F7}">
  <sheetPr codeName="Planilha9"/>
  <dimension ref="A1:S6"/>
  <sheetViews>
    <sheetView workbookViewId="0">
      <selection activeCell="D2" sqref="D2"/>
    </sheetView>
  </sheetViews>
  <sheetFormatPr defaultRowHeight="14.4" x14ac:dyDescent="0.3"/>
  <cols>
    <col min="3" max="3" width="9.21875" bestFit="1" customWidth="1"/>
    <col min="4" max="4" width="13.44140625" bestFit="1" customWidth="1"/>
    <col min="5" max="5" width="13.21875" bestFit="1" customWidth="1"/>
    <col min="6" max="6" width="12.5546875" bestFit="1" customWidth="1"/>
    <col min="11" max="11" width="13.21875" customWidth="1"/>
    <col min="13" max="13" width="13.44140625" bestFit="1" customWidth="1"/>
    <col min="19" max="19" width="13.44140625" bestFit="1" customWidth="1"/>
  </cols>
  <sheetData>
    <row r="1" spans="1:19" ht="58.2" thickBot="1" x14ac:dyDescent="0.35">
      <c r="A1" t="s">
        <v>4210</v>
      </c>
      <c r="B1" s="273" t="s">
        <v>4196</v>
      </c>
      <c r="C1" s="273" t="s">
        <v>4197</v>
      </c>
      <c r="D1" s="273" t="s">
        <v>3123</v>
      </c>
      <c r="E1" s="273" t="s">
        <v>4335</v>
      </c>
      <c r="F1" s="273" t="s">
        <v>3135</v>
      </c>
      <c r="G1" s="273" t="s">
        <v>3124</v>
      </c>
      <c r="H1" s="273" t="s">
        <v>3173</v>
      </c>
      <c r="I1" s="273" t="s">
        <v>3134</v>
      </c>
      <c r="J1" s="287" t="s">
        <v>3136</v>
      </c>
      <c r="K1" s="288" t="s">
        <v>4336</v>
      </c>
      <c r="L1" s="273" t="s">
        <v>4337</v>
      </c>
      <c r="M1" s="273" t="s">
        <v>4198</v>
      </c>
      <c r="N1" s="273" t="s">
        <v>4199</v>
      </c>
      <c r="O1" s="273" t="s">
        <v>4200</v>
      </c>
      <c r="P1" s="273" t="s">
        <v>4201</v>
      </c>
      <c r="Q1" s="287" t="s">
        <v>4338</v>
      </c>
      <c r="R1" s="288" t="s">
        <v>4202</v>
      </c>
    </row>
    <row r="2" spans="1:19" ht="15" thickBot="1" x14ac:dyDescent="0.35">
      <c r="B2" s="279" t="s">
        <v>10</v>
      </c>
      <c r="C2" s="274" t="s">
        <v>4203</v>
      </c>
      <c r="D2" s="275" t="s">
        <v>4241</v>
      </c>
      <c r="E2" s="289">
        <v>45449</v>
      </c>
      <c r="F2" s="289">
        <v>45449</v>
      </c>
      <c r="H2" s="276">
        <v>2025</v>
      </c>
      <c r="I2" s="290" t="s">
        <v>3138</v>
      </c>
      <c r="J2" s="290" t="s">
        <v>3138</v>
      </c>
      <c r="K2" s="277" t="s">
        <v>52</v>
      </c>
      <c r="L2" s="277" t="s">
        <v>52</v>
      </c>
      <c r="M2" s="277" t="s">
        <v>52</v>
      </c>
      <c r="N2" s="277" t="s">
        <v>52</v>
      </c>
      <c r="O2" s="277" t="s">
        <v>52</v>
      </c>
      <c r="P2" s="277" t="s">
        <v>52</v>
      </c>
      <c r="Q2" s="280" t="s">
        <v>4001</v>
      </c>
      <c r="R2" s="278">
        <v>24</v>
      </c>
      <c r="S2" t="str">
        <f>VLOOKUP(D2,'Controle de CR'!E:E,1,0)</f>
        <v>CR-0183330-00</v>
      </c>
    </row>
    <row r="3" spans="1:19" ht="15" thickBot="1" x14ac:dyDescent="0.35">
      <c r="B3" s="279" t="s">
        <v>900</v>
      </c>
      <c r="C3" s="274" t="s">
        <v>4203</v>
      </c>
      <c r="D3" s="275" t="s">
        <v>4354</v>
      </c>
      <c r="E3" s="289">
        <v>45477</v>
      </c>
      <c r="F3" s="289">
        <v>45477</v>
      </c>
      <c r="H3" s="276">
        <v>2025</v>
      </c>
      <c r="I3" s="290" t="s">
        <v>3138</v>
      </c>
      <c r="J3" s="290" t="s">
        <v>3138</v>
      </c>
      <c r="K3" s="277" t="s">
        <v>52</v>
      </c>
      <c r="L3" s="277" t="s">
        <v>52</v>
      </c>
      <c r="M3" s="277" t="s">
        <v>52</v>
      </c>
      <c r="N3" s="277" t="s">
        <v>52</v>
      </c>
      <c r="O3" s="277" t="s">
        <v>52</v>
      </c>
      <c r="P3" s="280" t="s">
        <v>4001</v>
      </c>
      <c r="Q3" s="280" t="s">
        <v>4001</v>
      </c>
      <c r="R3" s="278">
        <v>13</v>
      </c>
      <c r="S3" t="str">
        <f>VLOOKUP(D3,'Controle de CR'!E:E,1,0)</f>
        <v>CR-0185339-00</v>
      </c>
    </row>
    <row r="4" spans="1:19" ht="15" thickBot="1" x14ac:dyDescent="0.35">
      <c r="B4" s="279" t="s">
        <v>900</v>
      </c>
      <c r="C4" s="274" t="s">
        <v>4203</v>
      </c>
      <c r="D4" s="275" t="s">
        <v>4355</v>
      </c>
      <c r="E4" s="289">
        <v>45481</v>
      </c>
      <c r="F4" s="289">
        <v>45481</v>
      </c>
      <c r="H4" s="276">
        <v>2025</v>
      </c>
      <c r="I4" s="290" t="s">
        <v>3138</v>
      </c>
      <c r="J4" s="290" t="s">
        <v>3138</v>
      </c>
      <c r="K4" s="277" t="s">
        <v>52</v>
      </c>
      <c r="L4" s="277" t="s">
        <v>2906</v>
      </c>
      <c r="M4" s="277" t="s">
        <v>52</v>
      </c>
      <c r="N4" s="277" t="s">
        <v>52</v>
      </c>
      <c r="O4" s="277" t="s">
        <v>52</v>
      </c>
      <c r="P4" s="280" t="s">
        <v>4001</v>
      </c>
      <c r="Q4" s="280" t="s">
        <v>4001</v>
      </c>
      <c r="R4" s="278">
        <v>8</v>
      </c>
      <c r="S4" t="str">
        <f>VLOOKUP(D4,'Controle de CR'!E:E,1,0)</f>
        <v>CR-0185493-00</v>
      </c>
    </row>
    <row r="5" spans="1:19" ht="15" thickBot="1" x14ac:dyDescent="0.35">
      <c r="B5" s="279" t="s">
        <v>9</v>
      </c>
      <c r="C5" s="274" t="s">
        <v>4203</v>
      </c>
      <c r="D5" s="275" t="s">
        <v>4381</v>
      </c>
      <c r="E5" s="289">
        <v>45488</v>
      </c>
      <c r="F5" s="289">
        <v>45488</v>
      </c>
      <c r="H5" s="276" t="s">
        <v>4357</v>
      </c>
      <c r="I5" s="290" t="s">
        <v>3138</v>
      </c>
      <c r="J5" s="290" t="s">
        <v>3138</v>
      </c>
      <c r="K5" s="277" t="s">
        <v>52</v>
      </c>
      <c r="L5" s="277" t="s">
        <v>2906</v>
      </c>
      <c r="M5" s="277" t="s">
        <v>52</v>
      </c>
      <c r="N5" s="277" t="s">
        <v>52</v>
      </c>
      <c r="O5" s="277" t="s">
        <v>52</v>
      </c>
      <c r="P5" s="280" t="s">
        <v>4001</v>
      </c>
      <c r="Q5" s="280" t="s">
        <v>4001</v>
      </c>
      <c r="R5" s="291">
        <v>6</v>
      </c>
      <c r="S5" t="str">
        <f>VLOOKUP(D5,'Controle de CR'!E:E,1,0)</f>
        <v>CR-0190308-00</v>
      </c>
    </row>
    <row r="6" spans="1:19" ht="15" thickBot="1" x14ac:dyDescent="0.35">
      <c r="B6" s="279" t="s">
        <v>9</v>
      </c>
      <c r="C6" s="274" t="s">
        <v>4203</v>
      </c>
      <c r="D6" s="275" t="s">
        <v>4382</v>
      </c>
      <c r="E6" s="289">
        <v>45490</v>
      </c>
      <c r="F6" s="289">
        <v>45490</v>
      </c>
      <c r="H6" s="276" t="s">
        <v>4357</v>
      </c>
      <c r="I6" s="290" t="s">
        <v>3138</v>
      </c>
      <c r="J6" s="290" t="s">
        <v>3138</v>
      </c>
      <c r="K6" s="277" t="s">
        <v>52</v>
      </c>
      <c r="L6" s="277" t="s">
        <v>52</v>
      </c>
      <c r="M6" s="292" t="s">
        <v>4018</v>
      </c>
      <c r="N6" s="277" t="s">
        <v>52</v>
      </c>
      <c r="O6" s="277" t="s">
        <v>52</v>
      </c>
      <c r="P6" s="292" t="s">
        <v>4018</v>
      </c>
      <c r="Q6" s="292" t="s">
        <v>4018</v>
      </c>
      <c r="R6" s="291">
        <v>3</v>
      </c>
      <c r="S6" t="str">
        <f>VLOOKUP(D6,'Controle de CR'!E:E,1,0)</f>
        <v>CR-0190391-00</v>
      </c>
    </row>
  </sheetData>
  <autoFilter ref="A1:M1" xr:uid="{5C3DA563-E5F5-4B23-B31B-CD016FFEF6F7}"/>
  <conditionalFormatting sqref="D2:D1048576">
    <cfRule type="duplicateValues" dxfId="8" priority="453"/>
  </conditionalFormatting>
  <pageMargins left="0.511811024" right="0.511811024" top="0.78740157499999996" bottom="0.78740157499999996" header="0.31496062000000002" footer="0.31496062000000002"/>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0361-E434-4A43-B847-A51FC9AFE93E}">
  <sheetPr codeName="Planilha3"/>
  <dimension ref="A1:AD40"/>
  <sheetViews>
    <sheetView topLeftCell="A31" zoomScaleNormal="100" workbookViewId="0">
      <selection activeCell="F29" sqref="F29"/>
    </sheetView>
  </sheetViews>
  <sheetFormatPr defaultRowHeight="14.4" x14ac:dyDescent="0.3"/>
  <cols>
    <col min="1" max="1" width="3.5546875" customWidth="1"/>
    <col min="2" max="2" width="10.21875" customWidth="1"/>
    <col min="3" max="3" width="11.21875" customWidth="1"/>
    <col min="4" max="4" width="6.5546875" customWidth="1"/>
    <col min="5" max="5" width="13.77734375" bestFit="1" customWidth="1"/>
    <col min="6" max="6" width="23.21875" customWidth="1"/>
    <col min="7" max="7" width="6.44140625" customWidth="1"/>
    <col min="8" max="8" width="20.5546875" hidden="1" customWidth="1"/>
    <col min="9" max="9" width="10.5546875" hidden="1" customWidth="1"/>
    <col min="10" max="10" width="7.5546875" hidden="1" customWidth="1"/>
    <col min="11" max="11" width="14.5546875" bestFit="1" customWidth="1"/>
    <col min="12" max="12" width="10.5546875" bestFit="1" customWidth="1"/>
    <col min="14" max="14" width="15.5546875" customWidth="1"/>
    <col min="15" max="15" width="15.5546875" style="80" customWidth="1"/>
    <col min="16" max="16" width="15.5546875" customWidth="1"/>
    <col min="17" max="17" width="62.5546875" customWidth="1"/>
    <col min="18" max="18" width="17" bestFit="1" customWidth="1"/>
    <col min="19" max="20" width="22.21875" style="1" customWidth="1"/>
    <col min="21" max="22" width="17.77734375" style="1" customWidth="1"/>
    <col min="23" max="23" width="33.44140625" style="1" customWidth="1"/>
    <col min="24" max="24" width="12.5546875" style="1" customWidth="1"/>
    <col min="25" max="26" width="8.77734375" style="1"/>
    <col min="27" max="27" width="11" style="1" customWidth="1"/>
    <col min="28" max="28" width="13" style="1" customWidth="1"/>
    <col min="29" max="29" width="11.77734375" customWidth="1"/>
    <col min="30" max="30" width="14.44140625" bestFit="1" customWidth="1"/>
  </cols>
  <sheetData>
    <row r="1" spans="1:30" ht="43.8" thickBot="1" x14ac:dyDescent="0.35">
      <c r="A1" s="1" t="s">
        <v>2084</v>
      </c>
      <c r="B1" s="21" t="s">
        <v>2081</v>
      </c>
      <c r="C1" s="21" t="s">
        <v>2080</v>
      </c>
      <c r="D1" s="14" t="s">
        <v>25</v>
      </c>
      <c r="E1" s="15" t="s">
        <v>0</v>
      </c>
      <c r="F1" s="16" t="s">
        <v>56</v>
      </c>
      <c r="G1" s="15" t="s">
        <v>8</v>
      </c>
      <c r="H1" s="16" t="s">
        <v>165</v>
      </c>
      <c r="I1" s="15" t="s">
        <v>1927</v>
      </c>
      <c r="J1" s="15" t="s">
        <v>167</v>
      </c>
      <c r="K1" s="15" t="s">
        <v>72</v>
      </c>
      <c r="L1" s="15" t="s">
        <v>166</v>
      </c>
      <c r="M1" s="15" t="s">
        <v>167</v>
      </c>
      <c r="N1" s="73" t="s">
        <v>2934</v>
      </c>
      <c r="O1" s="77" t="s">
        <v>2943</v>
      </c>
      <c r="P1" s="73" t="s">
        <v>3012</v>
      </c>
      <c r="Q1" s="18" t="s">
        <v>168</v>
      </c>
      <c r="R1" s="67" t="s">
        <v>2944</v>
      </c>
      <c r="S1" s="67" t="s">
        <v>2901</v>
      </c>
      <c r="T1" s="67" t="s">
        <v>2958</v>
      </c>
      <c r="U1" s="67" t="s">
        <v>2955</v>
      </c>
      <c r="V1" s="67" t="s">
        <v>2956</v>
      </c>
      <c r="W1" s="67" t="s">
        <v>2899</v>
      </c>
      <c r="X1" s="66" t="s">
        <v>2907</v>
      </c>
      <c r="Y1" s="68" t="s">
        <v>2909</v>
      </c>
      <c r="Z1" s="68" t="s">
        <v>2910</v>
      </c>
      <c r="AA1" s="68" t="s">
        <v>2911</v>
      </c>
      <c r="AB1" s="68" t="s">
        <v>2912</v>
      </c>
      <c r="AC1" s="68" t="s">
        <v>2913</v>
      </c>
      <c r="AD1" s="67" t="s">
        <v>2935</v>
      </c>
    </row>
    <row r="2" spans="1:30" ht="57.6" x14ac:dyDescent="0.3">
      <c r="A2" s="1"/>
      <c r="B2" s="46"/>
      <c r="C2" s="46"/>
      <c r="D2" s="1"/>
      <c r="E2" s="63" t="s">
        <v>2538</v>
      </c>
      <c r="F2" s="21" t="s">
        <v>2548</v>
      </c>
      <c r="G2" s="1" t="s">
        <v>9</v>
      </c>
      <c r="H2" s="1" t="s">
        <v>2520</v>
      </c>
      <c r="I2" s="2">
        <v>45156</v>
      </c>
      <c r="J2" s="3">
        <v>0.35833333333333334</v>
      </c>
      <c r="K2" s="1" t="s">
        <v>88</v>
      </c>
      <c r="L2" s="2">
        <v>45174</v>
      </c>
      <c r="M2" s="3">
        <v>0.67222222222222217</v>
      </c>
      <c r="N2" s="3" t="s">
        <v>2931</v>
      </c>
      <c r="O2" s="78">
        <v>70</v>
      </c>
      <c r="P2" s="3" t="s">
        <v>2936</v>
      </c>
      <c r="Q2" s="76" t="s">
        <v>2940</v>
      </c>
      <c r="R2" s="81">
        <f t="shared" ref="R2:R7" si="0">AD2-O2</f>
        <v>45203</v>
      </c>
      <c r="S2" s="21" t="s">
        <v>2957</v>
      </c>
      <c r="T2" s="21" t="s">
        <v>2959</v>
      </c>
      <c r="U2" s="21"/>
      <c r="V2" s="21"/>
      <c r="W2" s="21"/>
      <c r="AD2" s="74">
        <v>45273</v>
      </c>
    </row>
    <row r="3" spans="1:30" ht="57.6" x14ac:dyDescent="0.3">
      <c r="A3" s="1"/>
      <c r="B3" s="46"/>
      <c r="C3" s="46"/>
      <c r="D3" s="1"/>
      <c r="E3" s="63" t="s">
        <v>2538</v>
      </c>
      <c r="F3" s="21" t="s">
        <v>2548</v>
      </c>
      <c r="G3" s="1" t="s">
        <v>9</v>
      </c>
      <c r="H3" s="1" t="s">
        <v>2520</v>
      </c>
      <c r="I3" s="2">
        <v>45156</v>
      </c>
      <c r="J3" s="3">
        <v>0.35833333333333334</v>
      </c>
      <c r="K3" s="1" t="s">
        <v>88</v>
      </c>
      <c r="L3" s="2">
        <v>45174</v>
      </c>
      <c r="M3" s="3">
        <v>0.67222222222222217</v>
      </c>
      <c r="N3" s="3" t="s">
        <v>2933</v>
      </c>
      <c r="O3" s="78">
        <v>60</v>
      </c>
      <c r="P3" s="3" t="s">
        <v>2936</v>
      </c>
      <c r="Q3" s="72" t="s">
        <v>2904</v>
      </c>
      <c r="R3" s="81">
        <f t="shared" si="0"/>
        <v>45213</v>
      </c>
      <c r="S3" s="21"/>
      <c r="T3" s="21"/>
      <c r="U3" s="21"/>
      <c r="V3" s="21"/>
      <c r="W3" s="21"/>
      <c r="AD3" s="74">
        <v>45273</v>
      </c>
    </row>
    <row r="4" spans="1:30" ht="57.6" x14ac:dyDescent="0.3">
      <c r="A4" s="1"/>
      <c r="B4" s="46"/>
      <c r="C4" s="46"/>
      <c r="D4" s="1"/>
      <c r="E4" s="63" t="s">
        <v>2538</v>
      </c>
      <c r="F4" s="21" t="s">
        <v>2548</v>
      </c>
      <c r="G4" s="1" t="s">
        <v>9</v>
      </c>
      <c r="H4" s="1" t="s">
        <v>2520</v>
      </c>
      <c r="I4" s="2">
        <v>45156</v>
      </c>
      <c r="J4" s="3">
        <v>0.35833333333333334</v>
      </c>
      <c r="K4" s="1" t="s">
        <v>88</v>
      </c>
      <c r="L4" s="2">
        <v>45174</v>
      </c>
      <c r="M4" s="3">
        <v>0.67222222222222217</v>
      </c>
      <c r="N4" s="3" t="s">
        <v>2931</v>
      </c>
      <c r="O4" s="78">
        <v>70</v>
      </c>
      <c r="P4" s="3" t="s">
        <v>2936</v>
      </c>
      <c r="Q4" s="72" t="s">
        <v>2902</v>
      </c>
      <c r="R4" s="81">
        <f t="shared" si="0"/>
        <v>45275</v>
      </c>
      <c r="S4" s="21" t="s">
        <v>2900</v>
      </c>
      <c r="T4" s="21"/>
      <c r="U4" s="21"/>
      <c r="V4" s="21"/>
      <c r="W4" s="21" t="s">
        <v>2908</v>
      </c>
      <c r="AD4" s="74">
        <v>45345</v>
      </c>
    </row>
    <row r="5" spans="1:30" ht="57.6" x14ac:dyDescent="0.3">
      <c r="A5" s="1">
        <v>2023</v>
      </c>
      <c r="B5" s="46">
        <v>33</v>
      </c>
      <c r="C5" s="46">
        <v>36</v>
      </c>
      <c r="D5" s="1"/>
      <c r="E5" s="63" t="s">
        <v>2538</v>
      </c>
      <c r="F5" s="21" t="s">
        <v>2548</v>
      </c>
      <c r="G5" s="1" t="s">
        <v>9</v>
      </c>
      <c r="H5" s="1" t="s">
        <v>2520</v>
      </c>
      <c r="I5" s="2">
        <v>45156</v>
      </c>
      <c r="J5" s="3">
        <v>0.35833333333333334</v>
      </c>
      <c r="K5" s="1" t="s">
        <v>88</v>
      </c>
      <c r="L5" s="2">
        <v>45174</v>
      </c>
      <c r="M5" s="3">
        <v>0.67222222222222217</v>
      </c>
      <c r="N5" s="3" t="s">
        <v>2933</v>
      </c>
      <c r="O5" s="78">
        <v>60</v>
      </c>
      <c r="P5" s="3" t="s">
        <v>2936</v>
      </c>
      <c r="Q5" s="72" t="s">
        <v>2905</v>
      </c>
      <c r="R5" s="81">
        <f t="shared" si="0"/>
        <v>45285</v>
      </c>
      <c r="S5" s="21"/>
      <c r="T5" s="21"/>
      <c r="U5" s="21"/>
      <c r="V5" s="21"/>
      <c r="AD5" s="74">
        <v>45345</v>
      </c>
    </row>
    <row r="6" spans="1:30" ht="57.6" x14ac:dyDescent="0.3">
      <c r="A6" s="1"/>
      <c r="B6" s="46"/>
      <c r="C6" s="46"/>
      <c r="D6" s="1"/>
      <c r="E6" s="63" t="s">
        <v>2538</v>
      </c>
      <c r="F6" s="21" t="s">
        <v>2548</v>
      </c>
      <c r="G6" s="1" t="s">
        <v>9</v>
      </c>
      <c r="H6" s="1" t="s">
        <v>2520</v>
      </c>
      <c r="I6" s="2">
        <v>45156</v>
      </c>
      <c r="J6" s="3">
        <v>0.35833333333333334</v>
      </c>
      <c r="K6" s="1" t="s">
        <v>88</v>
      </c>
      <c r="L6" s="2">
        <v>45174</v>
      </c>
      <c r="M6" s="3">
        <v>0.67222222222222217</v>
      </c>
      <c r="N6" s="3" t="s">
        <v>2932</v>
      </c>
      <c r="O6" s="78">
        <v>90</v>
      </c>
      <c r="P6" s="3" t="s">
        <v>2937</v>
      </c>
      <c r="Q6" s="72" t="s">
        <v>2903</v>
      </c>
      <c r="R6" s="81">
        <f t="shared" si="0"/>
        <v>45255</v>
      </c>
      <c r="S6" s="21" t="s">
        <v>2957</v>
      </c>
      <c r="T6" s="21"/>
      <c r="U6" s="21"/>
      <c r="V6" s="21"/>
      <c r="W6" s="21"/>
      <c r="AD6" s="74">
        <v>45345</v>
      </c>
    </row>
    <row r="7" spans="1:30" ht="43.2" x14ac:dyDescent="0.3">
      <c r="A7" s="1"/>
      <c r="B7" s="46"/>
      <c r="C7" s="46"/>
      <c r="D7" s="1"/>
      <c r="E7" s="63" t="s">
        <v>2552</v>
      </c>
      <c r="F7" s="21" t="s">
        <v>2553</v>
      </c>
      <c r="G7" s="1" t="s">
        <v>9</v>
      </c>
      <c r="H7" s="1" t="s">
        <v>2520</v>
      </c>
      <c r="I7" s="2">
        <v>45177</v>
      </c>
      <c r="J7" s="3">
        <v>0.68472222222222223</v>
      </c>
      <c r="K7" s="1" t="s">
        <v>88</v>
      </c>
      <c r="L7" s="2">
        <v>45183</v>
      </c>
      <c r="M7" s="3">
        <v>0.75902777777777775</v>
      </c>
      <c r="N7" s="3" t="s">
        <v>2931</v>
      </c>
      <c r="O7" s="78">
        <v>70</v>
      </c>
      <c r="P7" s="3" t="s">
        <v>2938</v>
      </c>
      <c r="Q7" s="69" t="s">
        <v>2914</v>
      </c>
      <c r="R7" s="81">
        <f t="shared" si="0"/>
        <v>45275</v>
      </c>
      <c r="S7" s="21" t="s">
        <v>2957</v>
      </c>
      <c r="T7" s="21" t="s">
        <v>2959</v>
      </c>
      <c r="U7" s="21"/>
      <c r="V7" s="21"/>
      <c r="AD7" s="75">
        <v>45345</v>
      </c>
    </row>
    <row r="8" spans="1:30" ht="43.2" x14ac:dyDescent="0.3">
      <c r="A8" s="1"/>
      <c r="B8" s="46"/>
      <c r="C8" s="46"/>
      <c r="D8" s="1"/>
      <c r="E8" s="63" t="s">
        <v>2552</v>
      </c>
      <c r="F8" s="21" t="s">
        <v>2553</v>
      </c>
      <c r="G8" s="1" t="s">
        <v>9</v>
      </c>
      <c r="H8" s="1" t="s">
        <v>2520</v>
      </c>
      <c r="I8" s="2">
        <v>45177</v>
      </c>
      <c r="J8" s="3">
        <v>0.68472222222222223</v>
      </c>
      <c r="K8" s="1" t="s">
        <v>88</v>
      </c>
      <c r="L8" s="2">
        <v>45183</v>
      </c>
      <c r="M8" s="3">
        <v>0.75902777777777775</v>
      </c>
      <c r="N8" s="3" t="s">
        <v>2931</v>
      </c>
      <c r="O8" s="78">
        <v>70</v>
      </c>
      <c r="P8" s="3" t="s">
        <v>2938</v>
      </c>
      <c r="Q8" s="69" t="s">
        <v>2915</v>
      </c>
      <c r="R8" s="81">
        <f t="shared" ref="R8:R40" si="1">AD8-O8</f>
        <v>45275</v>
      </c>
      <c r="S8" s="21" t="s">
        <v>2957</v>
      </c>
      <c r="T8" s="21" t="s">
        <v>2959</v>
      </c>
      <c r="U8" s="21"/>
      <c r="V8" s="21"/>
      <c r="AD8" s="75">
        <v>45345</v>
      </c>
    </row>
    <row r="9" spans="1:30" ht="43.2" x14ac:dyDescent="0.3">
      <c r="A9" s="1"/>
      <c r="B9" s="46"/>
      <c r="C9" s="46"/>
      <c r="D9" s="1"/>
      <c r="E9" s="63" t="s">
        <v>2552</v>
      </c>
      <c r="F9" s="21" t="s">
        <v>2553</v>
      </c>
      <c r="G9" s="1" t="s">
        <v>9</v>
      </c>
      <c r="H9" s="1" t="s">
        <v>2520</v>
      </c>
      <c r="I9" s="2">
        <v>45177</v>
      </c>
      <c r="J9" s="3">
        <v>0.68472222222222223</v>
      </c>
      <c r="K9" s="1" t="s">
        <v>88</v>
      </c>
      <c r="L9" s="2">
        <v>45183</v>
      </c>
      <c r="M9" s="3">
        <v>0.75902777777777775</v>
      </c>
      <c r="N9" s="3" t="s">
        <v>2931</v>
      </c>
      <c r="O9" s="78">
        <v>70</v>
      </c>
      <c r="P9" s="3" t="s">
        <v>2938</v>
      </c>
      <c r="Q9" s="69" t="s">
        <v>2916</v>
      </c>
      <c r="R9" s="81">
        <f>AD9-O9</f>
        <v>45275</v>
      </c>
      <c r="S9" s="21" t="s">
        <v>2957</v>
      </c>
      <c r="T9" s="21" t="s">
        <v>2959</v>
      </c>
      <c r="U9" s="21"/>
      <c r="V9" s="21"/>
      <c r="AD9" s="75">
        <v>45345</v>
      </c>
    </row>
    <row r="10" spans="1:30" ht="43.2" x14ac:dyDescent="0.3">
      <c r="A10" s="1"/>
      <c r="B10" s="46"/>
      <c r="C10" s="46"/>
      <c r="D10" s="1"/>
      <c r="E10" s="63" t="s">
        <v>2552</v>
      </c>
      <c r="F10" s="21" t="s">
        <v>2553</v>
      </c>
      <c r="G10" s="1" t="s">
        <v>9</v>
      </c>
      <c r="H10" s="1" t="s">
        <v>2520</v>
      </c>
      <c r="I10" s="2">
        <v>45177</v>
      </c>
      <c r="J10" s="3">
        <v>0.68472222222222223</v>
      </c>
      <c r="K10" s="1" t="s">
        <v>88</v>
      </c>
      <c r="L10" s="2">
        <v>45183</v>
      </c>
      <c r="M10" s="3">
        <v>0.75902777777777775</v>
      </c>
      <c r="N10" s="3" t="s">
        <v>2931</v>
      </c>
      <c r="O10" s="78">
        <v>70</v>
      </c>
      <c r="P10" s="3" t="s">
        <v>2938</v>
      </c>
      <c r="Q10" s="69" t="s">
        <v>2917</v>
      </c>
      <c r="R10" s="81">
        <f t="shared" si="1"/>
        <v>45275</v>
      </c>
      <c r="S10" s="21" t="s">
        <v>2957</v>
      </c>
      <c r="T10" s="21" t="s">
        <v>2959</v>
      </c>
      <c r="U10" s="21"/>
      <c r="V10" s="21"/>
      <c r="AD10" s="75">
        <v>45345</v>
      </c>
    </row>
    <row r="11" spans="1:30" ht="86.4" x14ac:dyDescent="0.3">
      <c r="A11" s="1">
        <v>2023</v>
      </c>
      <c r="B11" s="46">
        <v>34</v>
      </c>
      <c r="C11" s="46">
        <v>37</v>
      </c>
      <c r="D11" s="1"/>
      <c r="E11" s="63" t="s">
        <v>2558</v>
      </c>
      <c r="F11" s="21" t="s">
        <v>2569</v>
      </c>
      <c r="G11" s="1" t="s">
        <v>9</v>
      </c>
      <c r="H11" s="1" t="s">
        <v>2520</v>
      </c>
      <c r="I11" s="2">
        <v>45159</v>
      </c>
      <c r="J11" s="3">
        <v>0.58194444444444449</v>
      </c>
      <c r="K11" s="1" t="s">
        <v>88</v>
      </c>
      <c r="L11" s="2">
        <v>45184</v>
      </c>
      <c r="M11" s="3">
        <v>0.38750000000000001</v>
      </c>
      <c r="N11" s="3" t="s">
        <v>2906</v>
      </c>
      <c r="O11" s="78">
        <v>30</v>
      </c>
      <c r="P11" s="3" t="s">
        <v>2939</v>
      </c>
      <c r="Q11" s="11" t="s">
        <v>2568</v>
      </c>
      <c r="R11" s="81">
        <f t="shared" si="1"/>
        <v>-30</v>
      </c>
      <c r="S11" s="21"/>
      <c r="T11" s="21"/>
      <c r="U11" s="21"/>
      <c r="V11" s="21"/>
      <c r="W11" s="21"/>
      <c r="AD11" s="11"/>
    </row>
    <row r="12" spans="1:30" ht="57.6" x14ac:dyDescent="0.3">
      <c r="A12" s="1">
        <v>2023</v>
      </c>
      <c r="B12" s="46">
        <v>34</v>
      </c>
      <c r="C12" s="46">
        <v>37</v>
      </c>
      <c r="D12" s="1"/>
      <c r="E12" s="63" t="s">
        <v>2559</v>
      </c>
      <c r="F12" s="21" t="s">
        <v>2570</v>
      </c>
      <c r="G12" s="1" t="s">
        <v>9</v>
      </c>
      <c r="H12" s="1" t="s">
        <v>2520</v>
      </c>
      <c r="I12" s="2">
        <v>45159</v>
      </c>
      <c r="J12" s="3">
        <v>0.5854166666666667</v>
      </c>
      <c r="K12" s="1" t="s">
        <v>88</v>
      </c>
      <c r="L12" s="2">
        <v>45184</v>
      </c>
      <c r="M12" s="3">
        <v>0.38958333333333334</v>
      </c>
      <c r="N12" s="3" t="s">
        <v>2906</v>
      </c>
      <c r="O12" s="78">
        <v>30</v>
      </c>
      <c r="P12" s="3" t="s">
        <v>2939</v>
      </c>
      <c r="Q12" s="11" t="s">
        <v>2578</v>
      </c>
      <c r="R12" s="81">
        <f t="shared" si="1"/>
        <v>-30</v>
      </c>
      <c r="S12" s="21"/>
      <c r="T12" s="21"/>
      <c r="U12" s="21"/>
      <c r="V12" s="21"/>
      <c r="W12" s="21"/>
      <c r="AD12" s="11"/>
    </row>
    <row r="13" spans="1:30" ht="57.6" x14ac:dyDescent="0.3">
      <c r="A13" s="1">
        <v>2023</v>
      </c>
      <c r="B13" s="46">
        <v>34</v>
      </c>
      <c r="C13" s="46">
        <v>37</v>
      </c>
      <c r="D13" s="1"/>
      <c r="E13" s="63" t="s">
        <v>2560</v>
      </c>
      <c r="F13" s="21" t="s">
        <v>2570</v>
      </c>
      <c r="G13" s="1" t="s">
        <v>9</v>
      </c>
      <c r="H13" s="1" t="s">
        <v>2520</v>
      </c>
      <c r="I13" s="2">
        <v>45159</v>
      </c>
      <c r="J13" s="3">
        <v>0.71875</v>
      </c>
      <c r="K13" s="1" t="s">
        <v>88</v>
      </c>
      <c r="L13" s="2">
        <v>45184</v>
      </c>
      <c r="M13" s="3">
        <v>0.39097222222222222</v>
      </c>
      <c r="N13" s="3" t="s">
        <v>2906</v>
      </c>
      <c r="O13" s="78">
        <v>30</v>
      </c>
      <c r="P13" s="3" t="s">
        <v>2939</v>
      </c>
      <c r="Q13" s="11" t="s">
        <v>2578</v>
      </c>
      <c r="R13" s="81">
        <f t="shared" si="1"/>
        <v>-30</v>
      </c>
      <c r="S13" s="21"/>
      <c r="T13" s="21"/>
      <c r="U13" s="21"/>
      <c r="V13" s="21"/>
      <c r="W13" s="21"/>
      <c r="AD13" s="11"/>
    </row>
    <row r="14" spans="1:30" ht="57.6" x14ac:dyDescent="0.3">
      <c r="A14" s="1">
        <v>2023</v>
      </c>
      <c r="B14" s="46">
        <v>34</v>
      </c>
      <c r="C14" s="46">
        <v>37</v>
      </c>
      <c r="D14" s="1"/>
      <c r="E14" s="63" t="s">
        <v>2561</v>
      </c>
      <c r="F14" s="21" t="s">
        <v>2570</v>
      </c>
      <c r="G14" s="1" t="s">
        <v>9</v>
      </c>
      <c r="H14" s="1" t="s">
        <v>2520</v>
      </c>
      <c r="I14" s="2">
        <v>45160</v>
      </c>
      <c r="J14" s="3">
        <v>0.70347222222222217</v>
      </c>
      <c r="K14" s="1" t="s">
        <v>88</v>
      </c>
      <c r="L14" s="2">
        <v>45184</v>
      </c>
      <c r="M14" s="3">
        <v>0.3923611111111111</v>
      </c>
      <c r="N14" s="3" t="s">
        <v>2906</v>
      </c>
      <c r="O14" s="78">
        <v>30</v>
      </c>
      <c r="P14" s="3" t="s">
        <v>2939</v>
      </c>
      <c r="Q14" s="11" t="s">
        <v>2578</v>
      </c>
      <c r="R14" s="81">
        <f t="shared" si="1"/>
        <v>-30</v>
      </c>
      <c r="S14" s="21"/>
      <c r="T14" s="21"/>
      <c r="U14" s="21"/>
      <c r="V14" s="21"/>
      <c r="W14" s="21"/>
      <c r="AD14" s="11"/>
    </row>
    <row r="15" spans="1:30" ht="57.6" x14ac:dyDescent="0.3">
      <c r="A15" s="1">
        <v>2023</v>
      </c>
      <c r="B15" s="46">
        <v>34</v>
      </c>
      <c r="C15" s="46">
        <v>37</v>
      </c>
      <c r="D15" s="1"/>
      <c r="E15" s="63" t="s">
        <v>2562</v>
      </c>
      <c r="F15" s="21" t="s">
        <v>2570</v>
      </c>
      <c r="G15" s="1" t="s">
        <v>9</v>
      </c>
      <c r="H15" s="1" t="s">
        <v>2520</v>
      </c>
      <c r="I15" s="2">
        <v>45162</v>
      </c>
      <c r="J15" s="3">
        <v>0.41180555555555554</v>
      </c>
      <c r="K15" s="1" t="s">
        <v>88</v>
      </c>
      <c r="L15" s="2">
        <v>45184</v>
      </c>
      <c r="M15" s="3">
        <v>0.39583333333333331</v>
      </c>
      <c r="N15" s="3" t="s">
        <v>2906</v>
      </c>
      <c r="O15" s="78">
        <v>30</v>
      </c>
      <c r="P15" s="3" t="s">
        <v>2939</v>
      </c>
      <c r="Q15" s="11" t="s">
        <v>2578</v>
      </c>
      <c r="R15" s="81">
        <f t="shared" si="1"/>
        <v>-30</v>
      </c>
      <c r="S15" s="21"/>
      <c r="T15" s="21"/>
      <c r="U15" s="21"/>
      <c r="V15" s="21"/>
      <c r="W15" s="21"/>
      <c r="AD15" s="11"/>
    </row>
    <row r="16" spans="1:30" ht="57.6" x14ac:dyDescent="0.3">
      <c r="A16" s="1">
        <v>2023</v>
      </c>
      <c r="B16" s="46">
        <v>34</v>
      </c>
      <c r="C16" s="46">
        <v>37</v>
      </c>
      <c r="D16" s="1"/>
      <c r="E16" s="63" t="s">
        <v>2563</v>
      </c>
      <c r="F16" s="21" t="s">
        <v>2570</v>
      </c>
      <c r="G16" s="1" t="s">
        <v>9</v>
      </c>
      <c r="H16" s="1" t="s">
        <v>2520</v>
      </c>
      <c r="I16" s="2">
        <v>45162</v>
      </c>
      <c r="J16" s="3">
        <v>0.39166666666666666</v>
      </c>
      <c r="K16" s="1" t="s">
        <v>88</v>
      </c>
      <c r="L16" s="2">
        <v>45184</v>
      </c>
      <c r="M16" s="3">
        <v>0.39861111111111108</v>
      </c>
      <c r="N16" s="3" t="s">
        <v>2906</v>
      </c>
      <c r="O16" s="78">
        <v>30</v>
      </c>
      <c r="P16" s="3" t="s">
        <v>2939</v>
      </c>
      <c r="Q16" s="11" t="s">
        <v>2578</v>
      </c>
      <c r="R16" s="81">
        <f t="shared" si="1"/>
        <v>-30</v>
      </c>
      <c r="S16" s="21"/>
      <c r="T16" s="21"/>
      <c r="U16" s="21"/>
      <c r="V16" s="21"/>
      <c r="W16" s="21"/>
      <c r="AD16" s="11"/>
    </row>
    <row r="17" spans="1:30" ht="57.6" x14ac:dyDescent="0.3">
      <c r="A17" s="1">
        <v>2023</v>
      </c>
      <c r="B17" s="46">
        <v>35</v>
      </c>
      <c r="C17" s="46">
        <v>37</v>
      </c>
      <c r="D17" s="1"/>
      <c r="E17" s="63" t="s">
        <v>2564</v>
      </c>
      <c r="F17" s="21" t="s">
        <v>2571</v>
      </c>
      <c r="G17" s="1" t="s">
        <v>9</v>
      </c>
      <c r="H17" s="1" t="s">
        <v>2520</v>
      </c>
      <c r="I17" s="2">
        <v>45170</v>
      </c>
      <c r="J17" s="3">
        <v>0.69930555555555562</v>
      </c>
      <c r="K17" s="1" t="s">
        <v>88</v>
      </c>
      <c r="L17" s="2">
        <v>45184</v>
      </c>
      <c r="M17" s="3">
        <v>0.39999999999999997</v>
      </c>
      <c r="N17" s="3" t="s">
        <v>2906</v>
      </c>
      <c r="O17" s="78">
        <v>30</v>
      </c>
      <c r="P17" s="3" t="s">
        <v>2939</v>
      </c>
      <c r="Q17" s="11" t="s">
        <v>2578</v>
      </c>
      <c r="R17" s="81">
        <f t="shared" si="1"/>
        <v>-30</v>
      </c>
      <c r="S17" s="21"/>
      <c r="T17" s="21"/>
      <c r="U17" s="21"/>
      <c r="V17" s="21"/>
      <c r="W17" s="21"/>
      <c r="AD17" s="11"/>
    </row>
    <row r="18" spans="1:30" ht="57.6" x14ac:dyDescent="0.3">
      <c r="A18" s="1">
        <v>2023</v>
      </c>
      <c r="B18" s="46">
        <v>35</v>
      </c>
      <c r="C18" s="46">
        <v>37</v>
      </c>
      <c r="D18" s="1"/>
      <c r="E18" s="63" t="s">
        <v>2565</v>
      </c>
      <c r="F18" s="21" t="s">
        <v>2570</v>
      </c>
      <c r="G18" s="1" t="s">
        <v>9</v>
      </c>
      <c r="H18" s="1" t="s">
        <v>2520</v>
      </c>
      <c r="I18" s="2">
        <v>45170</v>
      </c>
      <c r="J18" s="3">
        <v>0.71180555555555547</v>
      </c>
      <c r="K18" s="1" t="s">
        <v>88</v>
      </c>
      <c r="L18" s="2">
        <v>45184</v>
      </c>
      <c r="M18" s="3">
        <v>0.40138888888888885</v>
      </c>
      <c r="N18" s="3" t="s">
        <v>2906</v>
      </c>
      <c r="O18" s="78">
        <v>30</v>
      </c>
      <c r="P18" s="3" t="s">
        <v>2939</v>
      </c>
      <c r="Q18" s="11" t="s">
        <v>2578</v>
      </c>
      <c r="R18" s="81">
        <f t="shared" si="1"/>
        <v>-30</v>
      </c>
      <c r="S18" s="21"/>
      <c r="T18" s="21"/>
      <c r="U18" s="21"/>
      <c r="V18" s="21"/>
      <c r="W18" s="21"/>
      <c r="AD18" s="11"/>
    </row>
    <row r="19" spans="1:30" ht="57.6" x14ac:dyDescent="0.3">
      <c r="A19" s="1">
        <v>2023</v>
      </c>
      <c r="B19" s="46">
        <v>36</v>
      </c>
      <c r="C19" s="46">
        <v>37</v>
      </c>
      <c r="D19" s="1"/>
      <c r="E19" s="63" t="s">
        <v>2566</v>
      </c>
      <c r="F19" s="21" t="s">
        <v>2570</v>
      </c>
      <c r="G19" s="1" t="s">
        <v>9</v>
      </c>
      <c r="H19" s="1" t="s">
        <v>2520</v>
      </c>
      <c r="I19" s="2">
        <v>45177</v>
      </c>
      <c r="J19" s="3">
        <v>0.67569444444444438</v>
      </c>
      <c r="K19" s="1" t="s">
        <v>88</v>
      </c>
      <c r="L19" s="2">
        <v>45184</v>
      </c>
      <c r="M19" s="3">
        <v>0.40347222222222223</v>
      </c>
      <c r="N19" s="3" t="s">
        <v>2906</v>
      </c>
      <c r="O19" s="78">
        <v>30</v>
      </c>
      <c r="P19" s="3" t="s">
        <v>2939</v>
      </c>
      <c r="Q19" s="11" t="s">
        <v>2578</v>
      </c>
      <c r="R19" s="81">
        <f t="shared" si="1"/>
        <v>-30</v>
      </c>
      <c r="S19" s="21"/>
      <c r="T19" s="21"/>
      <c r="U19" s="21"/>
      <c r="V19" s="21"/>
      <c r="W19" s="21"/>
      <c r="AD19" s="11"/>
    </row>
    <row r="20" spans="1:30" ht="57.6" x14ac:dyDescent="0.3">
      <c r="A20" s="1">
        <v>2023</v>
      </c>
      <c r="B20" s="46">
        <v>37</v>
      </c>
      <c r="C20" s="46">
        <v>37</v>
      </c>
      <c r="D20" s="1"/>
      <c r="E20" s="63" t="s">
        <v>2567</v>
      </c>
      <c r="F20" s="21" t="s">
        <v>2570</v>
      </c>
      <c r="G20" s="1" t="s">
        <v>9</v>
      </c>
      <c r="H20" s="1" t="s">
        <v>2520</v>
      </c>
      <c r="I20" s="2">
        <v>45180</v>
      </c>
      <c r="J20" s="3">
        <v>0.6694444444444444</v>
      </c>
      <c r="K20" s="1" t="s">
        <v>88</v>
      </c>
      <c r="L20" s="2">
        <v>45184</v>
      </c>
      <c r="M20" s="3">
        <v>0.40486111111111112</v>
      </c>
      <c r="N20" s="3" t="s">
        <v>2906</v>
      </c>
      <c r="O20" s="78">
        <v>30</v>
      </c>
      <c r="P20" s="3" t="s">
        <v>2939</v>
      </c>
      <c r="Q20" s="11" t="s">
        <v>2578</v>
      </c>
      <c r="R20" s="81">
        <f t="shared" si="1"/>
        <v>-30</v>
      </c>
      <c r="S20" s="21"/>
      <c r="T20" s="21"/>
      <c r="U20" s="21"/>
      <c r="V20" s="21"/>
      <c r="W20" s="21"/>
      <c r="AD20" s="11"/>
    </row>
    <row r="21" spans="1:30" ht="72" x14ac:dyDescent="0.3">
      <c r="A21" s="1">
        <v>2023</v>
      </c>
      <c r="B21" s="46">
        <v>35</v>
      </c>
      <c r="C21" s="46">
        <v>37</v>
      </c>
      <c r="D21" s="1"/>
      <c r="E21" s="63" t="s">
        <v>2574</v>
      </c>
      <c r="F21" s="21" t="s">
        <v>2585</v>
      </c>
      <c r="G21" s="1" t="s">
        <v>9</v>
      </c>
      <c r="H21" s="1" t="s">
        <v>2520</v>
      </c>
      <c r="I21" s="2">
        <v>45169</v>
      </c>
      <c r="J21" s="3">
        <v>0.42152777777777778</v>
      </c>
      <c r="K21" s="1" t="s">
        <v>88</v>
      </c>
      <c r="L21" s="2">
        <v>45184</v>
      </c>
      <c r="M21" s="1"/>
      <c r="N21" s="3" t="s">
        <v>2906</v>
      </c>
      <c r="O21" s="78">
        <v>30</v>
      </c>
      <c r="P21" s="3" t="s">
        <v>2939</v>
      </c>
      <c r="Q21" s="11" t="s">
        <v>2584</v>
      </c>
      <c r="R21" s="81">
        <f t="shared" si="1"/>
        <v>-30</v>
      </c>
      <c r="S21" s="21"/>
      <c r="T21" s="21"/>
      <c r="U21" s="21"/>
      <c r="V21" s="21"/>
      <c r="W21" s="21"/>
      <c r="AD21" s="11"/>
    </row>
    <row r="22" spans="1:30" ht="72" x14ac:dyDescent="0.3">
      <c r="A22" s="1">
        <v>2023</v>
      </c>
      <c r="B22" s="46">
        <v>35</v>
      </c>
      <c r="C22" s="46">
        <v>37</v>
      </c>
      <c r="D22" s="1"/>
      <c r="E22" s="63" t="s">
        <v>2575</v>
      </c>
      <c r="F22" s="21" t="s">
        <v>2582</v>
      </c>
      <c r="G22" s="1" t="s">
        <v>9</v>
      </c>
      <c r="H22" s="1" t="s">
        <v>2520</v>
      </c>
      <c r="I22" s="2">
        <v>45169</v>
      </c>
      <c r="J22" s="3">
        <v>0.42430555555555555</v>
      </c>
      <c r="K22" s="1" t="s">
        <v>88</v>
      </c>
      <c r="L22" s="2">
        <v>45184</v>
      </c>
      <c r="M22" s="3">
        <v>0.58750000000000002</v>
      </c>
      <c r="N22" s="3" t="s">
        <v>2906</v>
      </c>
      <c r="O22" s="78">
        <v>30</v>
      </c>
      <c r="P22" s="3" t="s">
        <v>2939</v>
      </c>
      <c r="Q22" s="11" t="s">
        <v>2583</v>
      </c>
      <c r="R22" s="81">
        <f t="shared" si="1"/>
        <v>-30</v>
      </c>
      <c r="S22" s="21"/>
      <c r="T22" s="21"/>
      <c r="U22" s="21"/>
      <c r="V22" s="21"/>
      <c r="W22" s="21"/>
      <c r="AD22" s="11"/>
    </row>
    <row r="23" spans="1:30" x14ac:dyDescent="0.3">
      <c r="A23" s="1"/>
      <c r="B23" s="46"/>
      <c r="C23" s="46"/>
      <c r="D23" s="1"/>
      <c r="E23" s="63" t="s">
        <v>2552</v>
      </c>
      <c r="F23" s="21" t="s">
        <v>2553</v>
      </c>
      <c r="G23" s="1" t="s">
        <v>9</v>
      </c>
      <c r="H23" s="1" t="s">
        <v>2520</v>
      </c>
      <c r="I23" s="2">
        <v>45177</v>
      </c>
      <c r="J23" s="3">
        <v>0.68472222222222223</v>
      </c>
      <c r="K23" s="1" t="s">
        <v>88</v>
      </c>
      <c r="L23" s="2">
        <v>45183</v>
      </c>
      <c r="M23" s="3">
        <v>0.75902777777777775</v>
      </c>
      <c r="N23" s="3"/>
      <c r="O23" s="78">
        <v>30</v>
      </c>
      <c r="P23" s="3" t="s">
        <v>2939</v>
      </c>
      <c r="Q23" s="69" t="s">
        <v>2918</v>
      </c>
      <c r="R23" s="81">
        <f t="shared" si="1"/>
        <v>-30</v>
      </c>
      <c r="S23" s="21"/>
      <c r="T23" s="21"/>
      <c r="U23" s="21"/>
      <c r="V23" s="21"/>
      <c r="AD23" s="69"/>
    </row>
    <row r="24" spans="1:30" ht="43.2" x14ac:dyDescent="0.3">
      <c r="A24" s="1">
        <v>2023</v>
      </c>
      <c r="B24" s="46">
        <v>34</v>
      </c>
      <c r="C24" s="46">
        <v>36</v>
      </c>
      <c r="D24" s="1"/>
      <c r="E24" s="63" t="s">
        <v>2547</v>
      </c>
      <c r="F24" s="21" t="s">
        <v>2545</v>
      </c>
      <c r="G24" s="1" t="s">
        <v>9</v>
      </c>
      <c r="H24" s="1" t="s">
        <v>2520</v>
      </c>
      <c r="I24" s="2">
        <v>45159</v>
      </c>
      <c r="J24" s="3">
        <v>0.56805555555555554</v>
      </c>
      <c r="K24" s="1" t="s">
        <v>88</v>
      </c>
      <c r="L24" s="2">
        <v>45174</v>
      </c>
      <c r="M24" s="3">
        <v>0.38055555555555554</v>
      </c>
      <c r="N24" s="3"/>
      <c r="O24" s="78">
        <v>30</v>
      </c>
      <c r="P24" s="3" t="s">
        <v>2939</v>
      </c>
      <c r="Q24" s="11" t="s">
        <v>2546</v>
      </c>
      <c r="R24" s="81">
        <f t="shared" si="1"/>
        <v>-30</v>
      </c>
      <c r="S24" s="21" t="s">
        <v>2906</v>
      </c>
      <c r="T24" s="21"/>
      <c r="U24" s="21"/>
      <c r="V24" s="21"/>
      <c r="W24" s="21" t="s">
        <v>2906</v>
      </c>
      <c r="X24" s="21" t="s">
        <v>2906</v>
      </c>
      <c r="AD24" s="11"/>
    </row>
    <row r="25" spans="1:30" x14ac:dyDescent="0.3">
      <c r="A25" s="1">
        <v>2023</v>
      </c>
      <c r="B25" s="46">
        <v>36</v>
      </c>
      <c r="C25" s="46">
        <v>37</v>
      </c>
      <c r="D25" s="1"/>
      <c r="E25" s="63" t="s">
        <v>2552</v>
      </c>
      <c r="F25" s="21" t="s">
        <v>2553</v>
      </c>
      <c r="G25" s="1" t="s">
        <v>9</v>
      </c>
      <c r="H25" s="1" t="s">
        <v>2520</v>
      </c>
      <c r="I25" s="2">
        <v>45177</v>
      </c>
      <c r="J25" s="3">
        <v>0.68472222222222223</v>
      </c>
      <c r="K25" s="1" t="s">
        <v>88</v>
      </c>
      <c r="L25" s="2">
        <v>45183</v>
      </c>
      <c r="M25" s="3">
        <v>0.75902777777777775</v>
      </c>
      <c r="N25" s="3"/>
      <c r="O25" s="78">
        <v>30</v>
      </c>
      <c r="P25" s="3" t="s">
        <v>2939</v>
      </c>
      <c r="Q25" s="11" t="s">
        <v>2919</v>
      </c>
      <c r="R25" s="81">
        <f t="shared" si="1"/>
        <v>-30</v>
      </c>
      <c r="S25" s="21"/>
      <c r="T25" s="21"/>
      <c r="U25" s="21"/>
      <c r="V25" s="21"/>
      <c r="W25" s="21"/>
      <c r="AD25" s="11"/>
    </row>
    <row r="26" spans="1:30" ht="72" x14ac:dyDescent="0.3">
      <c r="A26" s="1">
        <v>2023</v>
      </c>
      <c r="B26" s="46">
        <v>35</v>
      </c>
      <c r="C26" s="46">
        <v>37</v>
      </c>
      <c r="D26" s="1"/>
      <c r="E26" s="70" t="s">
        <v>2576</v>
      </c>
      <c r="F26" s="21" t="s">
        <v>2581</v>
      </c>
      <c r="G26" s="1" t="s">
        <v>9</v>
      </c>
      <c r="H26" s="1" t="s">
        <v>2520</v>
      </c>
      <c r="I26" s="2">
        <v>45169</v>
      </c>
      <c r="J26" s="3">
        <v>0.42708333333333331</v>
      </c>
      <c r="K26" s="1" t="s">
        <v>88</v>
      </c>
      <c r="L26" s="2">
        <v>45184</v>
      </c>
      <c r="M26" s="3">
        <v>0.59583333333333333</v>
      </c>
      <c r="N26" s="3"/>
      <c r="O26" s="78">
        <v>30</v>
      </c>
      <c r="P26" s="3"/>
      <c r="Q26" s="71" t="s">
        <v>2577</v>
      </c>
      <c r="R26" s="81">
        <f t="shared" si="1"/>
        <v>-30</v>
      </c>
      <c r="S26" s="21"/>
      <c r="T26" s="21"/>
      <c r="U26" s="21"/>
      <c r="V26" s="21"/>
      <c r="W26" s="21"/>
      <c r="AD26" s="71"/>
    </row>
    <row r="27" spans="1:30" ht="86.4" x14ac:dyDescent="0.3">
      <c r="A27" s="1">
        <v>2023</v>
      </c>
      <c r="B27" s="46">
        <v>38</v>
      </c>
      <c r="C27" s="46">
        <v>39</v>
      </c>
      <c r="D27" s="1"/>
      <c r="E27" s="70" t="s">
        <v>2628</v>
      </c>
      <c r="F27" s="22" t="s">
        <v>2629</v>
      </c>
      <c r="G27" s="7" t="s">
        <v>9</v>
      </c>
      <c r="H27" s="7" t="s">
        <v>2520</v>
      </c>
      <c r="I27" s="8">
        <v>45188</v>
      </c>
      <c r="J27" s="9">
        <v>0.3444444444444445</v>
      </c>
      <c r="K27" s="7" t="s">
        <v>88</v>
      </c>
      <c r="L27" s="8">
        <v>45197</v>
      </c>
      <c r="M27" s="9">
        <v>0.73819444444444438</v>
      </c>
      <c r="N27" s="9" t="s">
        <v>2941</v>
      </c>
      <c r="O27" s="79">
        <v>90</v>
      </c>
      <c r="P27" s="9" t="s">
        <v>2938</v>
      </c>
      <c r="Q27" s="20" t="s">
        <v>2928</v>
      </c>
      <c r="R27" s="81">
        <f t="shared" si="1"/>
        <v>-90</v>
      </c>
      <c r="S27" s="21"/>
      <c r="T27" s="21"/>
      <c r="U27" s="21"/>
      <c r="V27" s="21"/>
      <c r="W27" s="21"/>
      <c r="AD27" s="20"/>
    </row>
    <row r="28" spans="1:30" ht="72" x14ac:dyDescent="0.3">
      <c r="A28" s="1">
        <v>2023</v>
      </c>
      <c r="B28" s="46">
        <v>42</v>
      </c>
      <c r="C28" s="46">
        <v>43</v>
      </c>
      <c r="D28" s="1"/>
      <c r="E28" s="70" t="s">
        <v>2716</v>
      </c>
      <c r="F28" s="21" t="s">
        <v>2715</v>
      </c>
      <c r="G28" s="1" t="s">
        <v>9</v>
      </c>
      <c r="H28" s="1" t="s">
        <v>2520</v>
      </c>
      <c r="I28" s="2">
        <v>45215</v>
      </c>
      <c r="J28" s="3">
        <v>0.41319444444444442</v>
      </c>
      <c r="K28" s="1" t="s">
        <v>88</v>
      </c>
      <c r="L28" s="2">
        <v>45222</v>
      </c>
      <c r="M28" s="3">
        <v>0.77013888888888893</v>
      </c>
      <c r="N28" s="3" t="s">
        <v>2931</v>
      </c>
      <c r="O28" s="78">
        <v>70</v>
      </c>
      <c r="P28" s="3" t="s">
        <v>2938</v>
      </c>
      <c r="Q28" s="71" t="s">
        <v>2927</v>
      </c>
      <c r="R28" s="81">
        <f t="shared" si="1"/>
        <v>-70</v>
      </c>
      <c r="S28" s="21" t="s">
        <v>2930</v>
      </c>
      <c r="T28" s="21"/>
      <c r="U28" s="21"/>
      <c r="V28" s="21"/>
      <c r="W28" s="21"/>
      <c r="AD28" s="71"/>
    </row>
    <row r="29" spans="1:30" ht="72" x14ac:dyDescent="0.3">
      <c r="A29" s="1">
        <v>2023</v>
      </c>
      <c r="B29" s="46">
        <v>42</v>
      </c>
      <c r="C29" s="46">
        <v>43</v>
      </c>
      <c r="D29" s="1"/>
      <c r="E29" s="70" t="s">
        <v>2722</v>
      </c>
      <c r="F29" s="21" t="s">
        <v>2723</v>
      </c>
      <c r="G29" s="1" t="s">
        <v>9</v>
      </c>
      <c r="H29" s="1" t="s">
        <v>2520</v>
      </c>
      <c r="I29" s="2">
        <v>45215</v>
      </c>
      <c r="J29" s="3">
        <v>0.41597222222222219</v>
      </c>
      <c r="K29" s="1" t="s">
        <v>88</v>
      </c>
      <c r="L29" s="2">
        <v>45224</v>
      </c>
      <c r="M29" s="3">
        <v>0.62222222222222223</v>
      </c>
      <c r="N29" s="3" t="s">
        <v>2906</v>
      </c>
      <c r="O29" s="78"/>
      <c r="P29" s="3"/>
      <c r="Q29" s="71" t="s">
        <v>2721</v>
      </c>
      <c r="R29" s="81">
        <f t="shared" si="1"/>
        <v>0</v>
      </c>
      <c r="S29" s="21"/>
      <c r="T29" s="21"/>
      <c r="U29" s="21"/>
      <c r="V29" s="21"/>
      <c r="W29" s="21"/>
      <c r="AD29" s="71"/>
    </row>
    <row r="30" spans="1:30" ht="72" x14ac:dyDescent="0.3">
      <c r="A30" s="1">
        <v>2023</v>
      </c>
      <c r="B30" s="46">
        <v>43</v>
      </c>
      <c r="C30" s="46">
        <v>45</v>
      </c>
      <c r="D30" s="1"/>
      <c r="E30" s="70" t="s">
        <v>2770</v>
      </c>
      <c r="F30" s="21" t="s">
        <v>2771</v>
      </c>
      <c r="G30" s="1" t="s">
        <v>9</v>
      </c>
      <c r="H30" s="21" t="s">
        <v>2520</v>
      </c>
      <c r="I30" s="2">
        <v>45224</v>
      </c>
      <c r="J30" s="3">
        <v>0.58958333333333335</v>
      </c>
      <c r="K30" s="1" t="s">
        <v>88</v>
      </c>
      <c r="L30" s="2">
        <v>45241</v>
      </c>
      <c r="M30" s="3">
        <v>0.31388888888888888</v>
      </c>
      <c r="N30" s="3" t="s">
        <v>2906</v>
      </c>
      <c r="O30" s="78"/>
      <c r="P30" s="3"/>
      <c r="Q30" s="71" t="s">
        <v>2772</v>
      </c>
      <c r="R30" s="81">
        <f t="shared" si="1"/>
        <v>0</v>
      </c>
      <c r="S30" s="21"/>
      <c r="T30" s="21"/>
      <c r="U30" s="21"/>
      <c r="V30" s="21"/>
      <c r="W30" s="21"/>
      <c r="AD30" s="71"/>
    </row>
    <row r="31" spans="1:30" ht="115.2" x14ac:dyDescent="0.3">
      <c r="A31" s="1">
        <v>2023</v>
      </c>
      <c r="B31" s="46">
        <v>43</v>
      </c>
      <c r="C31" s="46">
        <v>45</v>
      </c>
      <c r="D31" s="1"/>
      <c r="E31" s="70" t="s">
        <v>2774</v>
      </c>
      <c r="F31" s="21" t="s">
        <v>2775</v>
      </c>
      <c r="G31" s="1" t="s">
        <v>9</v>
      </c>
      <c r="H31" s="21" t="s">
        <v>2520</v>
      </c>
      <c r="I31" s="2">
        <v>45224</v>
      </c>
      <c r="J31" s="3">
        <v>0.59305555555555556</v>
      </c>
      <c r="K31" s="1" t="s">
        <v>88</v>
      </c>
      <c r="L31" s="2">
        <v>45241</v>
      </c>
      <c r="M31" s="3">
        <v>0.40416666666666662</v>
      </c>
      <c r="N31" s="3" t="s">
        <v>2906</v>
      </c>
      <c r="O31" s="78"/>
      <c r="P31" s="3"/>
      <c r="Q31" s="71" t="s">
        <v>2929</v>
      </c>
      <c r="R31" s="81">
        <f t="shared" si="1"/>
        <v>0</v>
      </c>
      <c r="S31" s="21"/>
      <c r="T31" s="21"/>
      <c r="U31" s="21"/>
      <c r="V31" s="21"/>
      <c r="W31" s="21"/>
      <c r="AD31" s="71"/>
    </row>
    <row r="32" spans="1:30" ht="57.6" x14ac:dyDescent="0.3">
      <c r="A32" s="1">
        <v>2023</v>
      </c>
      <c r="B32" s="46">
        <v>43</v>
      </c>
      <c r="C32" s="46">
        <v>45</v>
      </c>
      <c r="D32" s="1"/>
      <c r="E32" s="70" t="s">
        <v>2779</v>
      </c>
      <c r="F32" s="21" t="s">
        <v>2780</v>
      </c>
      <c r="G32" s="1" t="s">
        <v>9</v>
      </c>
      <c r="H32" s="21" t="s">
        <v>2520</v>
      </c>
      <c r="I32" s="2">
        <v>45225</v>
      </c>
      <c r="J32" s="3">
        <v>0.60416666666666663</v>
      </c>
      <c r="K32" s="1" t="s">
        <v>88</v>
      </c>
      <c r="L32" s="2">
        <v>45241</v>
      </c>
      <c r="M32" s="1"/>
      <c r="N32" s="1" t="s">
        <v>2933</v>
      </c>
      <c r="O32" s="78">
        <v>60</v>
      </c>
      <c r="P32" s="1"/>
      <c r="Q32" s="71" t="s">
        <v>2942</v>
      </c>
      <c r="R32" s="94">
        <f>AD32-O32</f>
        <v>-60</v>
      </c>
      <c r="S32" s="21"/>
      <c r="T32" s="21"/>
      <c r="U32" s="21"/>
      <c r="V32" s="21"/>
      <c r="W32" s="21"/>
      <c r="AD32" s="71"/>
    </row>
    <row r="33" spans="1:30" ht="72" x14ac:dyDescent="0.3">
      <c r="A33" s="1"/>
      <c r="B33" s="46"/>
      <c r="C33" s="46"/>
      <c r="D33" s="1"/>
      <c r="E33" s="70" t="s">
        <v>2811</v>
      </c>
      <c r="F33" s="21" t="s">
        <v>2812</v>
      </c>
      <c r="G33" s="1" t="s">
        <v>2813</v>
      </c>
      <c r="H33" s="21" t="s">
        <v>2520</v>
      </c>
      <c r="I33" s="2">
        <v>45240</v>
      </c>
      <c r="J33" s="3">
        <v>0.51736111111111105</v>
      </c>
      <c r="K33" s="1" t="s">
        <v>88</v>
      </c>
      <c r="L33" s="2">
        <v>45261</v>
      </c>
      <c r="M33" s="3">
        <v>0.5180555555555556</v>
      </c>
      <c r="N33" s="3" t="s">
        <v>2931</v>
      </c>
      <c r="O33" s="78">
        <v>70</v>
      </c>
      <c r="P33" s="3" t="s">
        <v>2938</v>
      </c>
      <c r="Q33" s="71" t="s">
        <v>2920</v>
      </c>
      <c r="R33" s="81">
        <f t="shared" si="1"/>
        <v>-70</v>
      </c>
      <c r="S33" s="21" t="s">
        <v>2930</v>
      </c>
      <c r="T33" s="21"/>
      <c r="U33" s="21"/>
      <c r="V33" s="21"/>
      <c r="W33" s="21"/>
      <c r="AD33" s="71"/>
    </row>
    <row r="34" spans="1:30" ht="72" x14ac:dyDescent="0.3">
      <c r="A34" s="1"/>
      <c r="B34" s="46"/>
      <c r="C34" s="46"/>
      <c r="D34" s="1"/>
      <c r="E34" s="70" t="s">
        <v>2811</v>
      </c>
      <c r="F34" s="21" t="s">
        <v>2812</v>
      </c>
      <c r="G34" s="1" t="s">
        <v>2813</v>
      </c>
      <c r="H34" s="21" t="s">
        <v>2520</v>
      </c>
      <c r="I34" s="2">
        <v>45240</v>
      </c>
      <c r="J34" s="3">
        <v>0.51736111111111105</v>
      </c>
      <c r="K34" s="1" t="s">
        <v>88</v>
      </c>
      <c r="L34" s="2">
        <v>45261</v>
      </c>
      <c r="M34" s="3">
        <v>0.5180555555555556</v>
      </c>
      <c r="N34" s="3" t="s">
        <v>2931</v>
      </c>
      <c r="O34" s="78">
        <v>70</v>
      </c>
      <c r="P34" s="3" t="s">
        <v>2938</v>
      </c>
      <c r="Q34" s="71" t="s">
        <v>2921</v>
      </c>
      <c r="R34" s="81">
        <f t="shared" si="1"/>
        <v>-70</v>
      </c>
      <c r="S34" s="21" t="s">
        <v>2930</v>
      </c>
      <c r="T34" s="21"/>
      <c r="U34" s="21"/>
      <c r="V34" s="21"/>
      <c r="W34" s="21"/>
      <c r="AD34" s="71"/>
    </row>
    <row r="35" spans="1:30" ht="72" x14ac:dyDescent="0.3">
      <c r="A35" s="1"/>
      <c r="B35" s="46"/>
      <c r="C35" s="46"/>
      <c r="D35" s="1"/>
      <c r="E35" s="70" t="s">
        <v>2811</v>
      </c>
      <c r="F35" s="21" t="s">
        <v>2812</v>
      </c>
      <c r="G35" s="1" t="s">
        <v>2813</v>
      </c>
      <c r="H35" s="21" t="s">
        <v>2520</v>
      </c>
      <c r="I35" s="2">
        <v>45240</v>
      </c>
      <c r="J35" s="3">
        <v>0.51736111111111105</v>
      </c>
      <c r="K35" s="1" t="s">
        <v>88</v>
      </c>
      <c r="L35" s="2">
        <v>45261</v>
      </c>
      <c r="M35" s="3">
        <v>0.5180555555555556</v>
      </c>
      <c r="N35" s="3" t="s">
        <v>2931</v>
      </c>
      <c r="O35" s="78">
        <v>70</v>
      </c>
      <c r="P35" s="3" t="s">
        <v>2938</v>
      </c>
      <c r="Q35" s="71" t="s">
        <v>2922</v>
      </c>
      <c r="R35" s="81">
        <f t="shared" si="1"/>
        <v>-70</v>
      </c>
      <c r="S35" s="21" t="s">
        <v>2930</v>
      </c>
      <c r="T35" s="21"/>
      <c r="U35" s="21"/>
      <c r="V35" s="21"/>
      <c r="W35" s="21"/>
      <c r="AD35" s="71"/>
    </row>
    <row r="36" spans="1:30" ht="72" x14ac:dyDescent="0.3">
      <c r="A36" s="1"/>
      <c r="B36" s="46"/>
      <c r="C36" s="46"/>
      <c r="D36" s="1"/>
      <c r="E36" s="70" t="s">
        <v>2811</v>
      </c>
      <c r="F36" s="21" t="s">
        <v>2812</v>
      </c>
      <c r="G36" s="1" t="s">
        <v>2813</v>
      </c>
      <c r="H36" s="21" t="s">
        <v>2520</v>
      </c>
      <c r="I36" s="2">
        <v>45240</v>
      </c>
      <c r="J36" s="3">
        <v>0.51736111111111105</v>
      </c>
      <c r="K36" s="1" t="s">
        <v>88</v>
      </c>
      <c r="L36" s="2">
        <v>45261</v>
      </c>
      <c r="M36" s="3">
        <v>0.5180555555555556</v>
      </c>
      <c r="N36" s="3" t="s">
        <v>2931</v>
      </c>
      <c r="O36" s="78">
        <v>70</v>
      </c>
      <c r="P36" s="3" t="s">
        <v>2938</v>
      </c>
      <c r="Q36" s="71" t="s">
        <v>2923</v>
      </c>
      <c r="R36" s="81">
        <f t="shared" si="1"/>
        <v>-70</v>
      </c>
      <c r="S36" s="21" t="s">
        <v>2930</v>
      </c>
      <c r="T36" s="21"/>
      <c r="U36" s="21"/>
      <c r="V36" s="21"/>
      <c r="W36" s="21"/>
      <c r="AD36" s="71"/>
    </row>
    <row r="37" spans="1:30" ht="72" x14ac:dyDescent="0.3">
      <c r="A37" s="1"/>
      <c r="B37" s="46"/>
      <c r="C37" s="46"/>
      <c r="D37" s="1"/>
      <c r="E37" s="70" t="s">
        <v>2811</v>
      </c>
      <c r="F37" s="21" t="s">
        <v>2812</v>
      </c>
      <c r="G37" s="1" t="s">
        <v>2813</v>
      </c>
      <c r="H37" s="21" t="s">
        <v>2520</v>
      </c>
      <c r="I37" s="2">
        <v>45240</v>
      </c>
      <c r="J37" s="3">
        <v>0.51736111111111105</v>
      </c>
      <c r="K37" s="1" t="s">
        <v>88</v>
      </c>
      <c r="L37" s="2">
        <v>45261</v>
      </c>
      <c r="M37" s="3">
        <v>0.5180555555555556</v>
      </c>
      <c r="N37" s="3" t="s">
        <v>2906</v>
      </c>
      <c r="O37" s="78"/>
      <c r="P37" s="3"/>
      <c r="Q37" s="71" t="s">
        <v>2924</v>
      </c>
      <c r="R37" s="81">
        <f t="shared" si="1"/>
        <v>0</v>
      </c>
      <c r="S37" s="21"/>
      <c r="T37" s="21"/>
      <c r="U37" s="21"/>
      <c r="V37" s="21"/>
      <c r="W37" s="21"/>
      <c r="AD37" s="71"/>
    </row>
    <row r="38" spans="1:30" ht="72" x14ac:dyDescent="0.3">
      <c r="A38" s="1"/>
      <c r="B38" s="46"/>
      <c r="C38" s="46"/>
      <c r="D38" s="1"/>
      <c r="E38" s="70" t="s">
        <v>2811</v>
      </c>
      <c r="F38" s="21" t="s">
        <v>2812</v>
      </c>
      <c r="G38" s="1" t="s">
        <v>2813</v>
      </c>
      <c r="H38" s="21" t="s">
        <v>2520</v>
      </c>
      <c r="I38" s="2">
        <v>45240</v>
      </c>
      <c r="J38" s="3">
        <v>0.51736111111111105</v>
      </c>
      <c r="K38" s="1" t="s">
        <v>88</v>
      </c>
      <c r="L38" s="2">
        <v>45261</v>
      </c>
      <c r="M38" s="3">
        <v>0.5180555555555556</v>
      </c>
      <c r="N38" s="3" t="s">
        <v>2906</v>
      </c>
      <c r="O38" s="78"/>
      <c r="P38" s="3"/>
      <c r="Q38" s="71" t="s">
        <v>2925</v>
      </c>
      <c r="R38" s="81">
        <f t="shared" si="1"/>
        <v>0</v>
      </c>
      <c r="S38" s="21"/>
      <c r="T38" s="21"/>
      <c r="U38" s="21"/>
      <c r="V38" s="21"/>
      <c r="W38" s="21"/>
      <c r="AD38" s="71"/>
    </row>
    <row r="39" spans="1:30" ht="72" x14ac:dyDescent="0.3">
      <c r="A39" s="1">
        <v>2023</v>
      </c>
      <c r="B39" s="62">
        <v>45</v>
      </c>
      <c r="C39" s="62">
        <v>48</v>
      </c>
      <c r="D39" s="1"/>
      <c r="E39" s="70" t="s">
        <v>2811</v>
      </c>
      <c r="F39" s="21" t="s">
        <v>2812</v>
      </c>
      <c r="G39" s="1" t="s">
        <v>2813</v>
      </c>
      <c r="H39" s="21" t="s">
        <v>2520</v>
      </c>
      <c r="I39" s="2">
        <v>45240</v>
      </c>
      <c r="J39" s="3">
        <v>0.51736111111111105</v>
      </c>
      <c r="K39" s="1" t="s">
        <v>88</v>
      </c>
      <c r="L39" s="2">
        <v>45261</v>
      </c>
      <c r="M39" s="3">
        <v>0.5180555555555556</v>
      </c>
      <c r="N39" s="3" t="s">
        <v>2906</v>
      </c>
      <c r="O39" s="78"/>
      <c r="P39" s="3"/>
      <c r="Q39" s="71" t="s">
        <v>2926</v>
      </c>
      <c r="R39" s="81">
        <f t="shared" si="1"/>
        <v>0</v>
      </c>
      <c r="S39" s="21"/>
      <c r="T39" s="21"/>
      <c r="U39" s="21"/>
      <c r="V39" s="21"/>
      <c r="W39" s="21"/>
      <c r="AD39" s="71"/>
    </row>
    <row r="40" spans="1:30" s="38" customFormat="1" ht="57.6" x14ac:dyDescent="0.3">
      <c r="A40" s="1">
        <v>2023</v>
      </c>
      <c r="B40" s="62">
        <v>46</v>
      </c>
      <c r="C40" s="62">
        <v>49</v>
      </c>
      <c r="D40" s="1"/>
      <c r="E40" s="70" t="s">
        <v>2893</v>
      </c>
      <c r="F40" s="21" t="s">
        <v>2548</v>
      </c>
      <c r="G40" s="1" t="s">
        <v>9</v>
      </c>
      <c r="H40" s="21" t="s">
        <v>2520</v>
      </c>
      <c r="I40" s="2">
        <v>45246</v>
      </c>
      <c r="J40" s="3">
        <v>0.68125000000000002</v>
      </c>
      <c r="K40" s="1" t="s">
        <v>88</v>
      </c>
      <c r="L40" s="2">
        <v>45268</v>
      </c>
      <c r="M40" s="3">
        <v>0.60347222222222219</v>
      </c>
      <c r="N40" s="3" t="s">
        <v>2906</v>
      </c>
      <c r="O40" s="78"/>
      <c r="P40" s="3"/>
      <c r="Q40" s="71" t="s">
        <v>2894</v>
      </c>
      <c r="R40" s="81">
        <f t="shared" si="1"/>
        <v>0</v>
      </c>
      <c r="S40" s="21"/>
      <c r="T40" s="21"/>
      <c r="U40" s="21"/>
      <c r="V40" s="21"/>
      <c r="W40" s="21"/>
      <c r="X40" s="1"/>
      <c r="Y40" s="1"/>
      <c r="Z40" s="1"/>
      <c r="AA40" s="1"/>
      <c r="AB40" s="1"/>
      <c r="AD40" s="71"/>
    </row>
  </sheetData>
  <autoFilter ref="A1:Q40" xr:uid="{11D00361-E434-4A43-B847-A51FC9AFE93E}"/>
  <phoneticPr fontId="4" type="noConversion"/>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FD1C8-2DE8-4433-8A43-DE746998BCF7}">
  <sheetPr codeName="Planilha4" filterMode="1"/>
  <dimension ref="C2:N37"/>
  <sheetViews>
    <sheetView workbookViewId="0">
      <selection activeCell="I33" sqref="I33"/>
    </sheetView>
  </sheetViews>
  <sheetFormatPr defaultRowHeight="14.4" x14ac:dyDescent="0.3"/>
  <cols>
    <col min="3" max="3" width="11.44140625" bestFit="1" customWidth="1"/>
    <col min="4" max="4" width="10.44140625" bestFit="1" customWidth="1"/>
    <col min="5" max="5" width="10.5546875" bestFit="1" customWidth="1"/>
    <col min="6" max="6" width="12.44140625" bestFit="1" customWidth="1"/>
    <col min="7" max="7" width="9.44140625" bestFit="1" customWidth="1"/>
    <col min="8" max="8" width="5.77734375" bestFit="1" customWidth="1"/>
    <col min="11" max="11" width="33.77734375" bestFit="1" customWidth="1"/>
    <col min="12" max="12" width="21" bestFit="1" customWidth="1"/>
    <col min="13" max="13" width="19.44140625" bestFit="1" customWidth="1"/>
    <col min="14" max="14" width="9.5546875" bestFit="1" customWidth="1"/>
  </cols>
  <sheetData>
    <row r="2" spans="3:14" x14ac:dyDescent="0.3">
      <c r="C2" t="s">
        <v>3231</v>
      </c>
      <c r="D2" s="47" t="s">
        <v>3204</v>
      </c>
      <c r="E2" s="138" t="s">
        <v>3205</v>
      </c>
      <c r="F2" s="139" t="s">
        <v>3206</v>
      </c>
      <c r="G2" s="139" t="s">
        <v>3207</v>
      </c>
      <c r="H2" s="139" t="s">
        <v>3208</v>
      </c>
      <c r="I2" s="139" t="s">
        <v>3209</v>
      </c>
      <c r="J2" s="139" t="s">
        <v>3173</v>
      </c>
    </row>
    <row r="3" spans="3:14" hidden="1" x14ac:dyDescent="0.3">
      <c r="C3" s="136" t="s">
        <v>3210</v>
      </c>
      <c r="D3" s="117">
        <v>0</v>
      </c>
      <c r="E3" s="117">
        <v>2</v>
      </c>
      <c r="F3" s="216">
        <v>2.0867029491962148</v>
      </c>
      <c r="G3" s="217">
        <v>6644.7275958160581</v>
      </c>
      <c r="H3" s="216">
        <v>-2</v>
      </c>
      <c r="I3" s="218">
        <v>1</v>
      </c>
      <c r="J3" s="218"/>
      <c r="K3" s="116" t="s">
        <v>3155</v>
      </c>
      <c r="L3" s="116"/>
      <c r="M3" s="115" t="s">
        <v>3265</v>
      </c>
      <c r="N3" s="116" t="s">
        <v>3366</v>
      </c>
    </row>
    <row r="4" spans="3:14" hidden="1" x14ac:dyDescent="0.3">
      <c r="C4" s="177" t="s">
        <v>3211</v>
      </c>
      <c r="D4" s="186">
        <v>0</v>
      </c>
      <c r="E4" s="186">
        <v>2</v>
      </c>
      <c r="F4" s="187">
        <v>1.1342066159788777</v>
      </c>
      <c r="G4" s="188">
        <v>3151.7668007094644</v>
      </c>
      <c r="H4" s="187">
        <v>-2</v>
      </c>
      <c r="I4" s="189">
        <v>1</v>
      </c>
      <c r="J4" s="189"/>
      <c r="K4" t="s">
        <v>3155</v>
      </c>
    </row>
    <row r="5" spans="3:14" hidden="1" x14ac:dyDescent="0.3">
      <c r="C5" s="136" t="s">
        <v>3212</v>
      </c>
      <c r="D5" s="117">
        <v>0</v>
      </c>
      <c r="E5" s="117">
        <v>3</v>
      </c>
      <c r="F5" s="216">
        <v>1.3960154244865637</v>
      </c>
      <c r="G5" s="217">
        <v>2410.0196838669676</v>
      </c>
      <c r="H5" s="216">
        <v>-3</v>
      </c>
      <c r="I5" s="218">
        <v>1</v>
      </c>
      <c r="J5" s="218"/>
      <c r="K5" s="116" t="s">
        <v>3155</v>
      </c>
      <c r="L5" s="116"/>
      <c r="M5" s="115" t="s">
        <v>3265</v>
      </c>
      <c r="N5" s="116" t="s">
        <v>3365</v>
      </c>
    </row>
    <row r="6" spans="3:14" hidden="1" x14ac:dyDescent="0.3">
      <c r="C6" s="136" t="s">
        <v>3213</v>
      </c>
      <c r="D6" s="117">
        <v>0</v>
      </c>
      <c r="E6" s="117">
        <v>3</v>
      </c>
      <c r="F6" s="216">
        <v>0.82667418737170828</v>
      </c>
      <c r="G6" s="217">
        <v>1493.4206745858573</v>
      </c>
      <c r="H6" s="216">
        <v>-3</v>
      </c>
      <c r="I6" s="218">
        <v>1</v>
      </c>
      <c r="J6" s="218"/>
      <c r="K6" s="116" t="s">
        <v>3155</v>
      </c>
      <c r="L6" s="116"/>
      <c r="M6" s="115" t="s">
        <v>3265</v>
      </c>
      <c r="N6" s="116" t="s">
        <v>3365</v>
      </c>
    </row>
    <row r="7" spans="3:14" hidden="1" x14ac:dyDescent="0.3">
      <c r="C7" s="190">
        <v>320298235</v>
      </c>
      <c r="D7" s="186">
        <v>1</v>
      </c>
      <c r="E7" s="186">
        <v>2</v>
      </c>
      <c r="F7" s="187">
        <v>0.34074896710997382</v>
      </c>
      <c r="G7" s="188">
        <v>1192.9199490865449</v>
      </c>
      <c r="H7" s="187">
        <v>-1</v>
      </c>
      <c r="I7" s="189">
        <v>1</v>
      </c>
      <c r="J7" s="189"/>
      <c r="K7" t="s">
        <v>3155</v>
      </c>
      <c r="L7" t="s">
        <v>3214</v>
      </c>
    </row>
    <row r="8" spans="3:14" hidden="1" x14ac:dyDescent="0.3">
      <c r="C8" s="177" t="s">
        <v>3215</v>
      </c>
      <c r="D8" s="186">
        <v>0</v>
      </c>
      <c r="E8" s="191">
        <v>0</v>
      </c>
      <c r="F8" s="192">
        <v>0</v>
      </c>
      <c r="G8" s="193">
        <v>0</v>
      </c>
      <c r="H8" s="186">
        <v>0</v>
      </c>
      <c r="I8" s="186">
        <v>1</v>
      </c>
      <c r="J8" s="186"/>
      <c r="K8" t="s">
        <v>3165</v>
      </c>
    </row>
    <row r="9" spans="3:14" hidden="1" x14ac:dyDescent="0.3">
      <c r="C9" s="177" t="s">
        <v>3216</v>
      </c>
      <c r="D9" s="186">
        <v>0</v>
      </c>
      <c r="E9" s="191">
        <v>0</v>
      </c>
      <c r="F9" s="192">
        <v>0</v>
      </c>
      <c r="G9" s="193">
        <v>0</v>
      </c>
      <c r="H9" s="186">
        <v>0</v>
      </c>
      <c r="I9" s="186">
        <v>1</v>
      </c>
      <c r="J9" s="186"/>
      <c r="K9" t="s">
        <v>3165</v>
      </c>
    </row>
    <row r="10" spans="3:14" hidden="1" x14ac:dyDescent="0.3">
      <c r="C10" s="177">
        <v>320298243</v>
      </c>
      <c r="D10" s="186">
        <v>1</v>
      </c>
      <c r="E10" s="191">
        <v>0</v>
      </c>
      <c r="F10" s="192">
        <v>0</v>
      </c>
      <c r="G10" s="193">
        <v>0</v>
      </c>
      <c r="H10" s="186">
        <v>1</v>
      </c>
      <c r="I10" s="186">
        <v>1</v>
      </c>
      <c r="J10" s="186"/>
      <c r="K10" t="s">
        <v>3165</v>
      </c>
    </row>
    <row r="11" spans="3:14" hidden="1" x14ac:dyDescent="0.3">
      <c r="C11" s="177" t="s">
        <v>3217</v>
      </c>
      <c r="D11" s="186">
        <v>0</v>
      </c>
      <c r="E11" s="191">
        <v>0</v>
      </c>
      <c r="F11" s="192">
        <v>0</v>
      </c>
      <c r="G11" s="193">
        <v>5400</v>
      </c>
      <c r="H11" s="186">
        <v>0</v>
      </c>
      <c r="I11" s="186">
        <v>1</v>
      </c>
      <c r="J11" s="186"/>
      <c r="K11" t="s">
        <v>3165</v>
      </c>
      <c r="L11" t="s">
        <v>3218</v>
      </c>
    </row>
    <row r="12" spans="3:14" hidden="1" x14ac:dyDescent="0.3">
      <c r="C12" s="136" t="s">
        <v>3219</v>
      </c>
      <c r="D12" s="117">
        <v>0</v>
      </c>
      <c r="E12" s="117">
        <f>VLOOKUP(C12,'[1]Distr.Aplicadores GEM'!$A:$B,2,0)</f>
        <v>0</v>
      </c>
      <c r="F12" s="219">
        <f>VLOOKUP(C12,'[1]Distr.Aplicadores GEM'!$A:$H,8,0)</f>
        <v>0</v>
      </c>
      <c r="G12" s="220">
        <v>2244.7613818997575</v>
      </c>
      <c r="H12" s="117">
        <f t="shared" ref="H12" si="0">D12-E12</f>
        <v>0</v>
      </c>
      <c r="I12" s="117">
        <v>1</v>
      </c>
      <c r="J12" s="117"/>
      <c r="K12" s="116" t="s">
        <v>3220</v>
      </c>
      <c r="L12" s="116"/>
      <c r="M12" s="115" t="s">
        <v>3177</v>
      </c>
      <c r="N12" s="116" t="s">
        <v>3365</v>
      </c>
    </row>
    <row r="13" spans="3:14" hidden="1" x14ac:dyDescent="0.3">
      <c r="C13" s="136" t="s">
        <v>3219</v>
      </c>
      <c r="D13" s="117">
        <v>0</v>
      </c>
      <c r="E13" s="117">
        <v>1</v>
      </c>
      <c r="F13" s="216">
        <v>0.63935239699958313</v>
      </c>
      <c r="G13" s="117">
        <v>2244.7613818997575</v>
      </c>
      <c r="H13" s="116">
        <v>-1</v>
      </c>
      <c r="I13" s="117">
        <v>1</v>
      </c>
      <c r="J13" s="117"/>
      <c r="K13" s="116" t="s">
        <v>3167</v>
      </c>
      <c r="L13" s="116"/>
      <c r="M13" s="115" t="s">
        <v>3177</v>
      </c>
      <c r="N13" s="116" t="s">
        <v>3365</v>
      </c>
    </row>
    <row r="14" spans="3:14" hidden="1" x14ac:dyDescent="0.3">
      <c r="C14" s="194" t="s">
        <v>3221</v>
      </c>
      <c r="D14" s="186">
        <v>0</v>
      </c>
      <c r="E14" s="186">
        <v>1</v>
      </c>
      <c r="F14" s="187"/>
      <c r="G14" s="186">
        <v>0</v>
      </c>
      <c r="H14" s="191">
        <v>-1</v>
      </c>
      <c r="I14" s="186">
        <v>1</v>
      </c>
      <c r="J14" s="186"/>
      <c r="K14" t="s">
        <v>3167</v>
      </c>
    </row>
    <row r="15" spans="3:14" hidden="1" x14ac:dyDescent="0.3">
      <c r="C15" s="195" t="s">
        <v>3222</v>
      </c>
      <c r="D15" s="186">
        <v>2</v>
      </c>
      <c r="E15" s="186">
        <v>4</v>
      </c>
      <c r="F15" s="187">
        <v>7.0213813212109697</v>
      </c>
      <c r="G15" s="186">
        <v>15940</v>
      </c>
      <c r="H15" s="186">
        <v>-2</v>
      </c>
      <c r="I15" s="186">
        <v>1</v>
      </c>
      <c r="J15" s="186"/>
      <c r="K15" t="s">
        <v>3348</v>
      </c>
    </row>
    <row r="16" spans="3:14" hidden="1" x14ac:dyDescent="0.3">
      <c r="C16" s="177" t="s">
        <v>3223</v>
      </c>
      <c r="D16" s="186">
        <v>0</v>
      </c>
      <c r="E16" s="186">
        <v>0</v>
      </c>
      <c r="F16" s="187">
        <v>0</v>
      </c>
      <c r="G16" s="186">
        <v>0</v>
      </c>
      <c r="H16" s="186">
        <v>0</v>
      </c>
      <c r="I16" s="186">
        <v>1</v>
      </c>
      <c r="J16" s="186"/>
      <c r="K16" t="s">
        <v>3348</v>
      </c>
    </row>
    <row r="17" spans="3:11" hidden="1" x14ac:dyDescent="0.3">
      <c r="C17" s="177" t="s">
        <v>3224</v>
      </c>
      <c r="D17" s="186">
        <v>0</v>
      </c>
      <c r="E17" s="186">
        <v>0</v>
      </c>
      <c r="F17" s="187">
        <v>0</v>
      </c>
      <c r="G17" s="186">
        <v>0</v>
      </c>
      <c r="H17" s="186">
        <v>0</v>
      </c>
      <c r="I17" s="186">
        <v>1</v>
      </c>
      <c r="J17" s="186"/>
      <c r="K17" t="s">
        <v>3348</v>
      </c>
    </row>
    <row r="18" spans="3:11" hidden="1" x14ac:dyDescent="0.3">
      <c r="C18" s="177" t="s">
        <v>3225</v>
      </c>
      <c r="D18" s="186">
        <v>0</v>
      </c>
      <c r="E18" s="186">
        <v>0</v>
      </c>
      <c r="F18" s="187">
        <v>0</v>
      </c>
      <c r="G18" s="186">
        <v>0</v>
      </c>
      <c r="H18" s="186">
        <v>0</v>
      </c>
      <c r="I18" s="186">
        <v>1</v>
      </c>
      <c r="J18" s="186"/>
      <c r="K18" t="s">
        <v>3348</v>
      </c>
    </row>
    <row r="19" spans="3:11" hidden="1" x14ac:dyDescent="0.3">
      <c r="C19" s="177" t="s">
        <v>3226</v>
      </c>
      <c r="D19" s="186">
        <v>0</v>
      </c>
      <c r="E19" s="186">
        <v>0</v>
      </c>
      <c r="F19" s="187">
        <v>0</v>
      </c>
      <c r="G19" s="186">
        <v>0</v>
      </c>
      <c r="H19" s="186">
        <v>0</v>
      </c>
      <c r="I19" s="186">
        <v>1</v>
      </c>
      <c r="J19" s="186"/>
      <c r="K19" t="s">
        <v>3348</v>
      </c>
    </row>
    <row r="20" spans="3:11" x14ac:dyDescent="0.3">
      <c r="C20" s="135" t="s">
        <v>3227</v>
      </c>
      <c r="D20" s="186">
        <v>0</v>
      </c>
      <c r="E20" s="186">
        <v>0</v>
      </c>
      <c r="F20" s="193">
        <v>0</v>
      </c>
      <c r="G20" s="193">
        <v>0</v>
      </c>
      <c r="H20" s="186">
        <v>0</v>
      </c>
      <c r="I20" s="186">
        <v>1</v>
      </c>
      <c r="J20" s="186"/>
      <c r="K20" t="s">
        <v>3171</v>
      </c>
    </row>
    <row r="21" spans="3:11" hidden="1" x14ac:dyDescent="0.3">
      <c r="C21" s="177" t="s">
        <v>3228</v>
      </c>
      <c r="D21" s="186">
        <v>0</v>
      </c>
      <c r="E21" s="186">
        <v>0</v>
      </c>
      <c r="F21" s="187">
        <v>0</v>
      </c>
      <c r="G21" s="186">
        <v>0</v>
      </c>
      <c r="H21" s="186">
        <v>0</v>
      </c>
      <c r="I21" s="186">
        <v>1</v>
      </c>
      <c r="J21" s="186">
        <v>2026</v>
      </c>
      <c r="K21" s="135" t="s">
        <v>3177</v>
      </c>
    </row>
    <row r="22" spans="3:11" hidden="1" x14ac:dyDescent="0.3">
      <c r="C22" s="177" t="s">
        <v>3229</v>
      </c>
      <c r="D22" s="186">
        <v>0</v>
      </c>
      <c r="E22" s="186">
        <v>0</v>
      </c>
      <c r="F22" s="193">
        <v>0</v>
      </c>
      <c r="G22" s="193">
        <v>0</v>
      </c>
      <c r="H22" s="186">
        <v>0</v>
      </c>
      <c r="I22" s="186">
        <v>1</v>
      </c>
      <c r="J22" s="186">
        <v>2026</v>
      </c>
      <c r="K22" s="135" t="s">
        <v>3177</v>
      </c>
    </row>
    <row r="23" spans="3:11" hidden="1" x14ac:dyDescent="0.3">
      <c r="C23" s="177" t="s">
        <v>3230</v>
      </c>
      <c r="D23" s="186">
        <v>0</v>
      </c>
      <c r="E23" s="186">
        <v>0</v>
      </c>
      <c r="F23" s="187">
        <v>0</v>
      </c>
      <c r="G23" s="186">
        <v>0</v>
      </c>
      <c r="H23" s="186">
        <v>0</v>
      </c>
      <c r="I23" s="186">
        <v>1</v>
      </c>
      <c r="J23" s="186">
        <v>2026</v>
      </c>
      <c r="K23" s="135" t="s">
        <v>3177</v>
      </c>
    </row>
    <row r="24" spans="3:11" hidden="1" x14ac:dyDescent="0.3">
      <c r="C24" s="177" t="s">
        <v>3219</v>
      </c>
      <c r="D24" s="186">
        <v>0</v>
      </c>
      <c r="E24" s="186">
        <v>0</v>
      </c>
      <c r="F24" s="193">
        <v>0</v>
      </c>
      <c r="G24" s="193">
        <v>0</v>
      </c>
      <c r="H24" s="186">
        <v>0</v>
      </c>
      <c r="I24" s="186">
        <v>1</v>
      </c>
      <c r="J24" s="186">
        <v>2026</v>
      </c>
      <c r="K24" s="135" t="s">
        <v>3177</v>
      </c>
    </row>
    <row r="25" spans="3:11" hidden="1" x14ac:dyDescent="0.3">
      <c r="C25" s="196" t="s">
        <v>3263</v>
      </c>
      <c r="D25" s="186">
        <v>0</v>
      </c>
      <c r="E25" s="186">
        <v>0</v>
      </c>
      <c r="F25" s="193">
        <v>0</v>
      </c>
      <c r="G25" s="193">
        <v>0</v>
      </c>
      <c r="H25" s="186">
        <v>0</v>
      </c>
      <c r="I25" s="186">
        <v>5</v>
      </c>
      <c r="J25" s="186">
        <v>2026</v>
      </c>
      <c r="K25" s="135" t="s">
        <v>3265</v>
      </c>
    </row>
    <row r="26" spans="3:11" hidden="1" x14ac:dyDescent="0.3">
      <c r="C26" s="197">
        <v>320452329</v>
      </c>
      <c r="D26" s="186">
        <v>0</v>
      </c>
      <c r="E26" s="186">
        <v>0</v>
      </c>
      <c r="F26" s="193">
        <v>0</v>
      </c>
      <c r="G26" s="193">
        <v>0</v>
      </c>
      <c r="H26" s="186">
        <v>0</v>
      </c>
      <c r="I26" s="197">
        <v>1</v>
      </c>
      <c r="J26" s="186">
        <v>2026</v>
      </c>
      <c r="K26" s="135" t="s">
        <v>3265</v>
      </c>
    </row>
    <row r="27" spans="3:11" hidden="1" x14ac:dyDescent="0.3">
      <c r="C27" s="197" t="s">
        <v>3264</v>
      </c>
      <c r="D27" s="186">
        <v>0</v>
      </c>
      <c r="E27" s="186">
        <v>0</v>
      </c>
      <c r="F27" s="193">
        <v>0</v>
      </c>
      <c r="G27" s="193">
        <v>0</v>
      </c>
      <c r="H27" s="186">
        <v>0</v>
      </c>
      <c r="I27" s="197">
        <v>1</v>
      </c>
      <c r="J27" s="186">
        <v>2026</v>
      </c>
      <c r="K27" s="135" t="s">
        <v>3265</v>
      </c>
    </row>
    <row r="28" spans="3:11" hidden="1" x14ac:dyDescent="0.3">
      <c r="C28" s="178" t="s">
        <v>3266</v>
      </c>
      <c r="D28" s="186">
        <v>0</v>
      </c>
      <c r="E28" s="186">
        <v>0</v>
      </c>
      <c r="F28" s="193">
        <v>0</v>
      </c>
      <c r="G28" s="193">
        <v>0</v>
      </c>
      <c r="H28" s="186">
        <v>0</v>
      </c>
      <c r="I28" s="189">
        <v>1</v>
      </c>
      <c r="J28" s="186">
        <v>2026</v>
      </c>
      <c r="K28" s="135" t="s">
        <v>3265</v>
      </c>
    </row>
    <row r="29" spans="3:11" hidden="1" x14ac:dyDescent="0.3">
      <c r="C29" s="198" t="s">
        <v>3213</v>
      </c>
      <c r="D29" s="186">
        <v>0</v>
      </c>
      <c r="E29" s="186">
        <v>0</v>
      </c>
      <c r="F29" s="193">
        <v>0</v>
      </c>
      <c r="G29" s="193">
        <v>0</v>
      </c>
      <c r="H29" s="186">
        <v>0</v>
      </c>
      <c r="I29" s="199">
        <v>1</v>
      </c>
      <c r="J29" s="186">
        <v>2026</v>
      </c>
      <c r="K29" s="135" t="s">
        <v>3265</v>
      </c>
    </row>
    <row r="30" spans="3:11" hidden="1" x14ac:dyDescent="0.3">
      <c r="C30" s="198" t="s">
        <v>3212</v>
      </c>
      <c r="D30" s="186">
        <v>0</v>
      </c>
      <c r="E30" s="186">
        <v>0</v>
      </c>
      <c r="F30" s="193">
        <v>0</v>
      </c>
      <c r="G30" s="193">
        <v>0</v>
      </c>
      <c r="H30" s="186">
        <v>0</v>
      </c>
      <c r="I30" s="199">
        <v>1</v>
      </c>
      <c r="J30" s="186">
        <v>2026</v>
      </c>
      <c r="K30" s="135" t="s">
        <v>3265</v>
      </c>
    </row>
    <row r="31" spans="3:11" hidden="1" x14ac:dyDescent="0.3">
      <c r="C31" s="177" t="s">
        <v>3267</v>
      </c>
      <c r="D31" s="186">
        <v>0</v>
      </c>
      <c r="E31" s="186">
        <v>0</v>
      </c>
      <c r="F31" s="193">
        <v>0</v>
      </c>
      <c r="G31" s="193">
        <v>0</v>
      </c>
      <c r="H31" s="186">
        <v>0</v>
      </c>
      <c r="I31" s="189">
        <v>1</v>
      </c>
      <c r="J31" s="186">
        <v>2026</v>
      </c>
      <c r="K31" s="135" t="s">
        <v>3265</v>
      </c>
    </row>
    <row r="32" spans="3:11" hidden="1" x14ac:dyDescent="0.3">
      <c r="C32" s="177" t="s">
        <v>3268</v>
      </c>
      <c r="D32" s="186">
        <v>0</v>
      </c>
      <c r="E32" s="186">
        <v>0</v>
      </c>
      <c r="F32" s="193">
        <v>0</v>
      </c>
      <c r="G32" s="193">
        <v>0</v>
      </c>
      <c r="H32" s="186">
        <v>0</v>
      </c>
      <c r="I32" s="189">
        <v>1</v>
      </c>
      <c r="J32" s="186">
        <v>2026</v>
      </c>
      <c r="K32" s="135" t="s">
        <v>3265</v>
      </c>
    </row>
    <row r="33" spans="3:14" hidden="1" x14ac:dyDescent="0.3">
      <c r="C33" s="177" t="s">
        <v>3210</v>
      </c>
      <c r="D33" s="186">
        <v>0</v>
      </c>
      <c r="E33" s="186">
        <v>0</v>
      </c>
      <c r="F33" s="193">
        <v>0</v>
      </c>
      <c r="G33" s="193">
        <v>0</v>
      </c>
      <c r="H33" s="186">
        <v>0</v>
      </c>
      <c r="I33" s="189">
        <v>1</v>
      </c>
      <c r="J33" s="186">
        <v>2026</v>
      </c>
      <c r="K33" s="135" t="s">
        <v>3265</v>
      </c>
    </row>
    <row r="34" spans="3:14" hidden="1" x14ac:dyDescent="0.3">
      <c r="C34" s="214" t="s">
        <v>3362</v>
      </c>
      <c r="K34" t="s">
        <v>3155</v>
      </c>
    </row>
    <row r="35" spans="3:14" hidden="1" x14ac:dyDescent="0.3">
      <c r="C35" s="214">
        <v>320452329</v>
      </c>
      <c r="D35" s="116"/>
      <c r="E35" s="116"/>
      <c r="F35" s="116"/>
      <c r="G35" s="116"/>
      <c r="H35" s="116"/>
      <c r="I35" s="116"/>
      <c r="J35" s="116"/>
      <c r="K35" s="116" t="s">
        <v>3155</v>
      </c>
      <c r="L35" s="115" t="s">
        <v>3265</v>
      </c>
      <c r="M35" s="116"/>
      <c r="N35" s="116" t="s">
        <v>3365</v>
      </c>
    </row>
    <row r="36" spans="3:14" hidden="1" x14ac:dyDescent="0.3">
      <c r="C36" s="215" t="s">
        <v>3363</v>
      </c>
      <c r="D36" s="116"/>
      <c r="E36" s="116"/>
      <c r="F36" s="116"/>
      <c r="G36" s="116"/>
      <c r="H36" s="116"/>
      <c r="I36" s="116"/>
      <c r="J36" s="116"/>
      <c r="K36" s="116" t="s">
        <v>3169</v>
      </c>
      <c r="L36" s="116"/>
      <c r="M36" s="116"/>
      <c r="N36" s="116" t="s">
        <v>3365</v>
      </c>
    </row>
    <row r="37" spans="3:14" x14ac:dyDescent="0.3">
      <c r="C37" s="116" t="s">
        <v>3364</v>
      </c>
      <c r="K37" t="s">
        <v>3171</v>
      </c>
    </row>
  </sheetData>
  <autoFilter ref="C2:M37" xr:uid="{B25FD1C8-2DE8-4433-8A43-DE746998BCF7}">
    <filterColumn colId="8">
      <filters>
        <filter val="CR-0172352-00 Front Bumper Carbon"/>
      </filters>
    </filterColumn>
  </autoFilter>
  <conditionalFormatting sqref="C3:C33">
    <cfRule type="duplicateValues" dxfId="7" priority="452"/>
  </conditionalFormatting>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71CD-E32B-4BCD-A146-8B0464936193}">
  <sheetPr codeName="Planilha5"/>
  <dimension ref="B1:I42"/>
  <sheetViews>
    <sheetView topLeftCell="A16" workbookViewId="0">
      <selection activeCell="F20" sqref="F20"/>
    </sheetView>
  </sheetViews>
  <sheetFormatPr defaultRowHeight="14.4" x14ac:dyDescent="0.3"/>
  <cols>
    <col min="2" max="2" width="13.77734375" bestFit="1" customWidth="1"/>
    <col min="4" max="4" width="11.5546875" bestFit="1" customWidth="1"/>
    <col min="5" max="5" width="24.21875" customWidth="1"/>
    <col min="6" max="6" width="50.44140625" customWidth="1"/>
    <col min="7" max="7" width="11.77734375" bestFit="1" customWidth="1"/>
  </cols>
  <sheetData>
    <row r="1" spans="2:8" ht="29.4" thickBot="1" x14ac:dyDescent="0.35">
      <c r="B1" s="100" t="s">
        <v>3123</v>
      </c>
      <c r="C1" s="100" t="s">
        <v>3124</v>
      </c>
      <c r="D1" s="100" t="s">
        <v>3134</v>
      </c>
      <c r="E1" s="100" t="s">
        <v>3135</v>
      </c>
      <c r="G1" s="105" t="s">
        <v>3136</v>
      </c>
    </row>
    <row r="2" spans="2:8" ht="28.8" x14ac:dyDescent="0.3">
      <c r="B2" s="157" t="s">
        <v>3100</v>
      </c>
      <c r="C2" s="126" t="s">
        <v>3125</v>
      </c>
      <c r="D2" s="127">
        <v>4489010</v>
      </c>
      <c r="E2" s="158">
        <v>45148</v>
      </c>
      <c r="F2" s="129" t="s">
        <v>3237</v>
      </c>
      <c r="G2" s="124" t="s">
        <v>3137</v>
      </c>
      <c r="H2" t="s">
        <v>10</v>
      </c>
    </row>
    <row r="3" spans="2:8" ht="72" x14ac:dyDescent="0.3">
      <c r="B3" s="130" t="s">
        <v>3101</v>
      </c>
      <c r="C3" s="131" t="s">
        <v>3125</v>
      </c>
      <c r="D3" s="132" t="s">
        <v>3129</v>
      </c>
      <c r="E3" s="133">
        <v>45169</v>
      </c>
      <c r="F3" s="93" t="s">
        <v>2597</v>
      </c>
      <c r="G3" s="134" t="s">
        <v>3138</v>
      </c>
      <c r="H3" t="s">
        <v>10</v>
      </c>
    </row>
    <row r="4" spans="2:8" ht="72" x14ac:dyDescent="0.3">
      <c r="B4" s="130" t="s">
        <v>2604</v>
      </c>
      <c r="C4" s="131" t="s">
        <v>3125</v>
      </c>
      <c r="D4" s="132" t="s">
        <v>3129</v>
      </c>
      <c r="E4" s="133">
        <v>45169</v>
      </c>
      <c r="F4" s="93" t="s">
        <v>2603</v>
      </c>
      <c r="G4" s="106" t="s">
        <v>3138</v>
      </c>
      <c r="H4" t="s">
        <v>10</v>
      </c>
    </row>
    <row r="5" spans="2:8" ht="57.6" x14ac:dyDescent="0.3">
      <c r="B5" s="130" t="s">
        <v>2613</v>
      </c>
      <c r="C5" s="131" t="s">
        <v>3125</v>
      </c>
      <c r="D5" s="132" t="s">
        <v>3129</v>
      </c>
      <c r="E5" s="133">
        <v>45169</v>
      </c>
      <c r="F5" s="93" t="s">
        <v>2612</v>
      </c>
      <c r="G5" s="106" t="s">
        <v>3138</v>
      </c>
      <c r="H5" t="s">
        <v>10</v>
      </c>
    </row>
    <row r="6" spans="2:8" ht="72" x14ac:dyDescent="0.3">
      <c r="B6" s="130" t="s">
        <v>2615</v>
      </c>
      <c r="C6" s="131" t="s">
        <v>3125</v>
      </c>
      <c r="D6" s="132" t="s">
        <v>3129</v>
      </c>
      <c r="E6" s="133">
        <v>45169</v>
      </c>
      <c r="F6" s="93" t="s">
        <v>2616</v>
      </c>
      <c r="G6" s="106" t="s">
        <v>3138</v>
      </c>
      <c r="H6" t="s">
        <v>10</v>
      </c>
    </row>
    <row r="7" spans="2:8" ht="57.6" x14ac:dyDescent="0.3">
      <c r="B7" s="125" t="s">
        <v>2607</v>
      </c>
      <c r="C7" s="126" t="s">
        <v>3125</v>
      </c>
      <c r="D7" s="127">
        <v>4489010</v>
      </c>
      <c r="E7" s="128">
        <v>45170</v>
      </c>
      <c r="F7" s="129" t="s">
        <v>2606</v>
      </c>
      <c r="G7" s="124" t="s">
        <v>3138</v>
      </c>
      <c r="H7" t="s">
        <v>10</v>
      </c>
    </row>
    <row r="8" spans="2:8" ht="57.6" x14ac:dyDescent="0.3">
      <c r="B8" s="125" t="s">
        <v>3102</v>
      </c>
      <c r="C8" s="126" t="s">
        <v>3125</v>
      </c>
      <c r="D8" s="127">
        <v>4489010</v>
      </c>
      <c r="E8" s="128">
        <v>45173</v>
      </c>
      <c r="F8" s="129" t="s">
        <v>2609</v>
      </c>
      <c r="G8" s="124" t="s">
        <v>3138</v>
      </c>
      <c r="H8" t="s">
        <v>10</v>
      </c>
    </row>
    <row r="9" spans="2:8" ht="144" x14ac:dyDescent="0.3">
      <c r="B9" s="130" t="s">
        <v>2666</v>
      </c>
      <c r="C9" s="131" t="s">
        <v>3125</v>
      </c>
      <c r="D9" s="132" t="s">
        <v>3129</v>
      </c>
      <c r="E9" s="133">
        <v>45202</v>
      </c>
      <c r="F9" s="93" t="s">
        <v>2668</v>
      </c>
      <c r="G9" s="106" t="s">
        <v>3138</v>
      </c>
      <c r="H9" t="s">
        <v>10</v>
      </c>
    </row>
    <row r="10" spans="2:8" ht="27.6" x14ac:dyDescent="0.3">
      <c r="B10" s="130" t="s">
        <v>3103</v>
      </c>
      <c r="C10" s="131" t="s">
        <v>3125</v>
      </c>
      <c r="D10" s="132" t="s">
        <v>3129</v>
      </c>
      <c r="E10" s="133">
        <v>45202</v>
      </c>
      <c r="F10" s="93" t="e">
        <v>#N/A</v>
      </c>
      <c r="G10" s="106" t="s">
        <v>3138</v>
      </c>
      <c r="H10" t="s">
        <v>10</v>
      </c>
    </row>
    <row r="11" spans="2:8" ht="27.6" x14ac:dyDescent="0.3">
      <c r="B11" s="130" t="s">
        <v>3104</v>
      </c>
      <c r="C11" s="131" t="s">
        <v>3126</v>
      </c>
      <c r="D11" s="132" t="s">
        <v>3130</v>
      </c>
      <c r="E11" s="133">
        <v>45202</v>
      </c>
      <c r="F11" s="93" t="e">
        <v>#N/A</v>
      </c>
      <c r="G11" s="106" t="s">
        <v>3138</v>
      </c>
      <c r="H11" t="s">
        <v>10</v>
      </c>
    </row>
    <row r="12" spans="2:8" ht="27.6" x14ac:dyDescent="0.3">
      <c r="B12" s="130" t="s">
        <v>3105</v>
      </c>
      <c r="C12" s="131" t="s">
        <v>3126</v>
      </c>
      <c r="D12" s="132" t="s">
        <v>3129</v>
      </c>
      <c r="E12" s="133">
        <v>45202</v>
      </c>
      <c r="F12" s="93" t="e">
        <v>#N/A</v>
      </c>
      <c r="G12" s="106" t="s">
        <v>3138</v>
      </c>
      <c r="H12" t="s">
        <v>10</v>
      </c>
    </row>
    <row r="13" spans="2:8" ht="27.6" x14ac:dyDescent="0.3">
      <c r="B13" s="130" t="s">
        <v>3106</v>
      </c>
      <c r="C13" s="131" t="s">
        <v>3126</v>
      </c>
      <c r="D13" s="132" t="s">
        <v>3129</v>
      </c>
      <c r="E13" s="133">
        <v>45212</v>
      </c>
      <c r="F13" s="93" t="e">
        <v>#N/A</v>
      </c>
      <c r="G13" s="106" t="s">
        <v>3138</v>
      </c>
      <c r="H13" t="s">
        <v>10</v>
      </c>
    </row>
    <row r="14" spans="2:8" ht="27.6" x14ac:dyDescent="0.3">
      <c r="B14" s="159" t="s">
        <v>3107</v>
      </c>
      <c r="C14" s="160" t="s">
        <v>3126</v>
      </c>
      <c r="D14" s="161" t="s">
        <v>3129</v>
      </c>
      <c r="E14" s="162">
        <v>45217</v>
      </c>
      <c r="F14" s="163" t="s">
        <v>1632</v>
      </c>
      <c r="G14" s="164" t="s">
        <v>3138</v>
      </c>
      <c r="H14" t="s">
        <v>10</v>
      </c>
    </row>
    <row r="15" spans="2:8" ht="27.6" x14ac:dyDescent="0.3">
      <c r="B15" s="171" t="s">
        <v>3108</v>
      </c>
      <c r="C15" s="165" t="s">
        <v>3126</v>
      </c>
      <c r="D15" s="166" t="s">
        <v>3130</v>
      </c>
      <c r="E15" s="172">
        <v>45217</v>
      </c>
      <c r="F15" s="173" t="e">
        <v>#N/A</v>
      </c>
      <c r="G15" s="167" t="s">
        <v>3138</v>
      </c>
      <c r="H15" s="147" t="s">
        <v>10</v>
      </c>
    </row>
    <row r="16" spans="2:8" ht="172.8" x14ac:dyDescent="0.3">
      <c r="B16" s="125" t="s">
        <v>2704</v>
      </c>
      <c r="C16" s="126" t="s">
        <v>3126</v>
      </c>
      <c r="D16" s="127" t="s">
        <v>3129</v>
      </c>
      <c r="E16" s="128">
        <v>45217</v>
      </c>
      <c r="F16" s="129" t="s">
        <v>2703</v>
      </c>
      <c r="G16" s="107" t="s">
        <v>3137</v>
      </c>
      <c r="H16" s="38" t="s">
        <v>10</v>
      </c>
    </row>
    <row r="17" spans="2:8" ht="87.75" customHeight="1" x14ac:dyDescent="0.3">
      <c r="B17" s="125" t="s">
        <v>2708</v>
      </c>
      <c r="C17" s="126" t="s">
        <v>3126</v>
      </c>
      <c r="D17" s="127" t="s">
        <v>3130</v>
      </c>
      <c r="E17" s="128">
        <v>45217</v>
      </c>
      <c r="F17" s="129" t="s">
        <v>2706</v>
      </c>
      <c r="G17" s="124" t="s">
        <v>3137</v>
      </c>
      <c r="H17" t="s">
        <v>10</v>
      </c>
    </row>
    <row r="18" spans="2:8" ht="129.6" x14ac:dyDescent="0.3">
      <c r="B18" s="125" t="s">
        <v>3093</v>
      </c>
      <c r="C18" s="126" t="s">
        <v>3126</v>
      </c>
      <c r="D18" s="127" t="s">
        <v>3129</v>
      </c>
      <c r="E18" s="128">
        <v>45217</v>
      </c>
      <c r="F18" s="129" t="s">
        <v>3095</v>
      </c>
      <c r="G18" s="107" t="s">
        <v>3137</v>
      </c>
      <c r="H18" t="s">
        <v>10</v>
      </c>
    </row>
    <row r="19" spans="2:8" ht="129.6" x14ac:dyDescent="0.3">
      <c r="B19" s="125" t="s">
        <v>3109</v>
      </c>
      <c r="C19" s="126" t="s">
        <v>3127</v>
      </c>
      <c r="D19" s="127" t="s">
        <v>3129</v>
      </c>
      <c r="E19" s="128">
        <v>45217</v>
      </c>
      <c r="F19" s="129" t="s">
        <v>2727</v>
      </c>
      <c r="G19" s="107" t="s">
        <v>3137</v>
      </c>
      <c r="H19" t="s">
        <v>10</v>
      </c>
    </row>
    <row r="20" spans="2:8" ht="115.2" x14ac:dyDescent="0.3">
      <c r="B20" s="125" t="s">
        <v>2728</v>
      </c>
      <c r="C20" s="126" t="s">
        <v>3127</v>
      </c>
      <c r="D20" s="127" t="s">
        <v>3130</v>
      </c>
      <c r="E20" s="128">
        <v>45217</v>
      </c>
      <c r="F20" s="129" t="s">
        <v>2730</v>
      </c>
      <c r="G20" s="107" t="s">
        <v>3137</v>
      </c>
      <c r="H20" t="s">
        <v>10</v>
      </c>
    </row>
    <row r="21" spans="2:8" ht="115.2" x14ac:dyDescent="0.3">
      <c r="B21" s="125" t="s">
        <v>2731</v>
      </c>
      <c r="C21" s="126" t="s">
        <v>3126</v>
      </c>
      <c r="D21" s="127" t="s">
        <v>3129</v>
      </c>
      <c r="E21" s="128">
        <v>45217</v>
      </c>
      <c r="F21" s="129" t="s">
        <v>2733</v>
      </c>
      <c r="G21" s="124" t="s">
        <v>3137</v>
      </c>
      <c r="H21" t="s">
        <v>10</v>
      </c>
    </row>
    <row r="22" spans="2:8" ht="273.60000000000002" x14ac:dyDescent="0.3">
      <c r="B22" s="125" t="s">
        <v>2890</v>
      </c>
      <c r="C22" s="126" t="s">
        <v>3126</v>
      </c>
      <c r="D22" s="127" t="s">
        <v>3129</v>
      </c>
      <c r="E22" s="128">
        <v>45246</v>
      </c>
      <c r="F22" s="129" t="s">
        <v>2892</v>
      </c>
      <c r="G22" s="107" t="s">
        <v>3137</v>
      </c>
      <c r="H22" t="s">
        <v>10</v>
      </c>
    </row>
    <row r="23" spans="2:8" ht="57.6" x14ac:dyDescent="0.3">
      <c r="B23" s="130" t="s">
        <v>3110</v>
      </c>
      <c r="C23" s="131" t="s">
        <v>3126</v>
      </c>
      <c r="D23" s="132" t="s">
        <v>3129</v>
      </c>
      <c r="E23" s="133">
        <v>45247</v>
      </c>
      <c r="F23" s="93" t="s">
        <v>3344</v>
      </c>
      <c r="G23" s="106" t="s">
        <v>3138</v>
      </c>
      <c r="H23" s="147" t="s">
        <v>10</v>
      </c>
    </row>
    <row r="24" spans="2:8" x14ac:dyDescent="0.3">
      <c r="B24" s="130" t="s">
        <v>3111</v>
      </c>
      <c r="C24" s="131" t="s">
        <v>3125</v>
      </c>
      <c r="D24" s="132">
        <v>4489010</v>
      </c>
      <c r="E24" s="133">
        <v>45250</v>
      </c>
      <c r="F24" s="93" t="e">
        <v>#N/A</v>
      </c>
      <c r="G24" s="106" t="s">
        <v>3138</v>
      </c>
      <c r="H24" s="147" t="s">
        <v>10</v>
      </c>
    </row>
    <row r="25" spans="2:8" ht="57.6" x14ac:dyDescent="0.3">
      <c r="B25" s="125" t="s">
        <v>2878</v>
      </c>
      <c r="C25" s="126" t="s">
        <v>3126</v>
      </c>
      <c r="D25" s="127">
        <v>4590640</v>
      </c>
      <c r="E25" s="128">
        <v>45257</v>
      </c>
      <c r="F25" s="129" t="s">
        <v>2880</v>
      </c>
      <c r="G25" s="107" t="s">
        <v>3138</v>
      </c>
      <c r="H25" t="s">
        <v>10</v>
      </c>
    </row>
    <row r="26" spans="2:8" ht="187.2" x14ac:dyDescent="0.3">
      <c r="B26" s="125" t="s">
        <v>3112</v>
      </c>
      <c r="C26" s="126" t="s">
        <v>3126</v>
      </c>
      <c r="D26" s="127">
        <v>4489010</v>
      </c>
      <c r="E26" s="128">
        <v>45257</v>
      </c>
      <c r="F26" s="129" t="s">
        <v>3246</v>
      </c>
      <c r="G26" s="124" t="s">
        <v>3137</v>
      </c>
      <c r="H26" s="121" t="s">
        <v>10</v>
      </c>
    </row>
    <row r="27" spans="2:8" ht="144" x14ac:dyDescent="0.3">
      <c r="B27" s="125" t="s">
        <v>2882</v>
      </c>
      <c r="C27" s="126" t="s">
        <v>3126</v>
      </c>
      <c r="D27" s="127">
        <v>4489010</v>
      </c>
      <c r="E27" s="128">
        <v>45257</v>
      </c>
      <c r="F27" s="129" t="s">
        <v>2884</v>
      </c>
      <c r="G27" s="107" t="s">
        <v>3137</v>
      </c>
      <c r="H27" t="s">
        <v>10</v>
      </c>
    </row>
    <row r="28" spans="2:8" ht="57.6" x14ac:dyDescent="0.3">
      <c r="B28" s="125" t="s">
        <v>3113</v>
      </c>
      <c r="C28" s="126" t="s">
        <v>3126</v>
      </c>
      <c r="D28" s="127" t="s">
        <v>3129</v>
      </c>
      <c r="E28" s="128">
        <v>45259</v>
      </c>
      <c r="F28" s="129" t="s">
        <v>3344</v>
      </c>
      <c r="G28" s="124" t="s">
        <v>3137</v>
      </c>
      <c r="H28" s="121" t="s">
        <v>10</v>
      </c>
    </row>
    <row r="29" spans="2:8" ht="288" x14ac:dyDescent="0.3">
      <c r="B29" s="125" t="s">
        <v>2898</v>
      </c>
      <c r="C29" s="126" t="s">
        <v>3125</v>
      </c>
      <c r="D29" s="127" t="s">
        <v>3131</v>
      </c>
      <c r="E29" s="128">
        <v>45259</v>
      </c>
      <c r="F29" s="129" t="s">
        <v>2969</v>
      </c>
      <c r="G29" s="124" t="s">
        <v>3138</v>
      </c>
      <c r="H29" s="153" t="s">
        <v>10</v>
      </c>
    </row>
    <row r="30" spans="2:8" ht="28.8" x14ac:dyDescent="0.3">
      <c r="B30" s="154" t="s">
        <v>2953</v>
      </c>
      <c r="C30" s="131" t="s">
        <v>3126</v>
      </c>
      <c r="D30" s="132">
        <v>4590640</v>
      </c>
      <c r="E30" s="155">
        <v>45259</v>
      </c>
      <c r="F30" s="93" t="s">
        <v>2952</v>
      </c>
      <c r="G30" s="106" t="s">
        <v>3138</v>
      </c>
      <c r="H30" t="s">
        <v>10</v>
      </c>
    </row>
    <row r="31" spans="2:8" x14ac:dyDescent="0.3">
      <c r="B31" s="103" t="s">
        <v>2965</v>
      </c>
      <c r="C31" s="101" t="s">
        <v>3126</v>
      </c>
      <c r="D31" s="102">
        <v>4590640</v>
      </c>
      <c r="E31" s="104">
        <v>45260</v>
      </c>
      <c r="F31" s="38"/>
      <c r="G31" s="107" t="s">
        <v>3138</v>
      </c>
      <c r="H31" t="s">
        <v>10</v>
      </c>
    </row>
    <row r="32" spans="2:8" x14ac:dyDescent="0.3">
      <c r="B32" s="103" t="s">
        <v>3114</v>
      </c>
      <c r="C32" s="101" t="s">
        <v>3126</v>
      </c>
      <c r="D32" s="102">
        <v>4489010</v>
      </c>
      <c r="E32" s="104">
        <v>45261</v>
      </c>
      <c r="F32" s="38" t="s">
        <v>3232</v>
      </c>
      <c r="G32" s="107" t="s">
        <v>3138</v>
      </c>
      <c r="H32" t="s">
        <v>10</v>
      </c>
    </row>
    <row r="33" spans="2:9" ht="187.2" x14ac:dyDescent="0.3">
      <c r="B33" s="125" t="s">
        <v>3011</v>
      </c>
      <c r="C33" s="126" t="s">
        <v>3125</v>
      </c>
      <c r="D33" s="127">
        <v>4590640</v>
      </c>
      <c r="E33" s="128">
        <v>45273</v>
      </c>
      <c r="F33" s="129" t="s">
        <v>3198</v>
      </c>
      <c r="G33" s="124" t="s">
        <v>3138</v>
      </c>
      <c r="H33" s="38" t="s">
        <v>10</v>
      </c>
    </row>
    <row r="34" spans="2:9" ht="57.6" x14ac:dyDescent="0.3">
      <c r="B34" s="125" t="s">
        <v>3030</v>
      </c>
      <c r="C34" s="126" t="s">
        <v>3126</v>
      </c>
      <c r="D34" s="127"/>
      <c r="E34" s="128">
        <v>45302</v>
      </c>
      <c r="F34" s="129" t="s">
        <v>3029</v>
      </c>
      <c r="G34" s="124" t="s">
        <v>3138</v>
      </c>
      <c r="H34" t="s">
        <v>10</v>
      </c>
    </row>
    <row r="35" spans="2:9" ht="43.2" x14ac:dyDescent="0.3">
      <c r="B35" s="125" t="s">
        <v>3115</v>
      </c>
      <c r="C35" s="126" t="s">
        <v>3128</v>
      </c>
      <c r="D35" s="127" t="s">
        <v>3132</v>
      </c>
      <c r="E35" s="128">
        <v>45303</v>
      </c>
      <c r="F35" s="129" t="s">
        <v>3340</v>
      </c>
      <c r="G35" s="124" t="s">
        <v>3138</v>
      </c>
      <c r="H35" s="121" t="s">
        <v>10</v>
      </c>
      <c r="I35" s="121"/>
    </row>
    <row r="36" spans="2:9" x14ac:dyDescent="0.3">
      <c r="B36" s="168" t="s">
        <v>3116</v>
      </c>
      <c r="C36" s="160" t="s">
        <v>3128</v>
      </c>
      <c r="D36" s="161" t="s">
        <v>3133</v>
      </c>
      <c r="E36" s="169">
        <v>45308</v>
      </c>
      <c r="F36" s="170" t="s">
        <v>3243</v>
      </c>
      <c r="G36" s="164" t="s">
        <v>3138</v>
      </c>
      <c r="H36" t="s">
        <v>10</v>
      </c>
    </row>
    <row r="37" spans="2:9" x14ac:dyDescent="0.3">
      <c r="B37" s="206" t="s">
        <v>3117</v>
      </c>
      <c r="C37" s="207" t="s">
        <v>3128</v>
      </c>
      <c r="D37" s="208">
        <v>4634774</v>
      </c>
      <c r="E37" s="209">
        <v>45308</v>
      </c>
      <c r="F37" s="210" t="s">
        <v>3359</v>
      </c>
      <c r="G37" s="211" t="s">
        <v>3138</v>
      </c>
      <c r="H37" s="212" t="s">
        <v>10</v>
      </c>
      <c r="I37" s="212"/>
    </row>
    <row r="38" spans="2:9" ht="28.8" x14ac:dyDescent="0.3">
      <c r="B38" s="206" t="s">
        <v>3118</v>
      </c>
      <c r="C38" s="207" t="s">
        <v>3126</v>
      </c>
      <c r="D38" s="208">
        <v>4634774</v>
      </c>
      <c r="E38" s="209">
        <v>45309</v>
      </c>
      <c r="F38" s="213" t="s">
        <v>3360</v>
      </c>
      <c r="G38" s="211" t="s">
        <v>3138</v>
      </c>
      <c r="H38" s="212" t="s">
        <v>10</v>
      </c>
    </row>
    <row r="39" spans="2:9" x14ac:dyDescent="0.3">
      <c r="B39" s="145" t="s">
        <v>3119</v>
      </c>
      <c r="C39" s="108" t="s">
        <v>3126</v>
      </c>
      <c r="D39" s="109"/>
      <c r="E39" s="146">
        <v>45310</v>
      </c>
      <c r="F39" s="72" t="e">
        <v>#N/A</v>
      </c>
      <c r="G39" s="110" t="s">
        <v>3138</v>
      </c>
      <c r="H39" t="s">
        <v>10</v>
      </c>
    </row>
    <row r="40" spans="2:9" x14ac:dyDescent="0.3">
      <c r="B40" s="145" t="s">
        <v>3120</v>
      </c>
      <c r="C40" s="156"/>
      <c r="D40" s="109">
        <v>4634774</v>
      </c>
      <c r="E40" s="146">
        <v>45310</v>
      </c>
      <c r="F40" s="72" t="e">
        <v>#N/A</v>
      </c>
      <c r="G40" s="110" t="s">
        <v>3138</v>
      </c>
      <c r="H40" t="s">
        <v>10</v>
      </c>
    </row>
    <row r="41" spans="2:9" x14ac:dyDescent="0.3">
      <c r="B41" s="145" t="s">
        <v>3121</v>
      </c>
      <c r="C41" s="156"/>
      <c r="D41" s="109">
        <v>4634774</v>
      </c>
      <c r="E41" s="146">
        <v>45313</v>
      </c>
      <c r="F41" s="72" t="e">
        <v>#N/A</v>
      </c>
      <c r="G41" s="110" t="s">
        <v>3138</v>
      </c>
      <c r="H41" s="116" t="s">
        <v>10</v>
      </c>
    </row>
    <row r="42" spans="2:9" x14ac:dyDescent="0.3">
      <c r="B42" s="168" t="s">
        <v>3122</v>
      </c>
      <c r="C42" s="170"/>
      <c r="D42" s="161"/>
      <c r="E42" s="169">
        <v>45315</v>
      </c>
      <c r="F42" s="170" t="s">
        <v>3243</v>
      </c>
      <c r="G42" s="164" t="s">
        <v>3138</v>
      </c>
      <c r="H42" t="s">
        <v>10</v>
      </c>
    </row>
  </sheetData>
  <autoFilter ref="B1:I42" xr:uid="{561771CD-E32B-4BCD-A146-8B0464936193}"/>
  <conditionalFormatting sqref="E1">
    <cfRule type="cellIs" dxfId="6" priority="451" operator="equal">
      <formula>"CL não emitido"</formula>
    </cfRule>
  </conditionalFormatting>
  <conditionalFormatting sqref="G2:G42">
    <cfRule type="cellIs" dxfId="5" priority="443" operator="equal">
      <formula>"AGUARDANDO CHECKLIST"</formula>
    </cfRule>
  </conditionalFormatting>
  <conditionalFormatting sqref="G2:G42">
    <cfRule type="cellIs" dxfId="4" priority="446" operator="equal">
      <formula>"SIM"</formula>
    </cfRule>
  </conditionalFormatting>
  <pageMargins left="0.511811024" right="0.511811024" top="0.78740157499999996" bottom="0.78740157499999996" header="0.31496062000000002" footer="0.31496062000000002"/>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FDF1-9641-450E-B926-FE76BCB629E0}">
  <sheetPr codeName="Planilha6"/>
  <dimension ref="A1:AN232"/>
  <sheetViews>
    <sheetView zoomScale="98" zoomScaleNormal="98" workbookViewId="0">
      <pane ySplit="1" topLeftCell="A2" activePane="bottomLeft" state="frozen"/>
      <selection pane="bottomLeft" activeCell="D4" sqref="D4"/>
    </sheetView>
  </sheetViews>
  <sheetFormatPr defaultRowHeight="14.4" x14ac:dyDescent="0.3"/>
  <cols>
    <col min="1" max="1" width="10.44140625" bestFit="1" customWidth="1"/>
    <col min="2" max="2" width="10.77734375" bestFit="1" customWidth="1"/>
    <col min="3" max="3" width="19.5546875" style="47" customWidth="1"/>
    <col min="4" max="4" width="37.5546875" customWidth="1"/>
    <col min="5" max="5" width="8.5546875" bestFit="1" customWidth="1"/>
    <col min="6" max="6" width="10.77734375" customWidth="1"/>
    <col min="7" max="7" width="9.21875" customWidth="1"/>
    <col min="8" max="11" width="4.5546875" bestFit="1" customWidth="1"/>
    <col min="12" max="12" width="5.5546875" bestFit="1" customWidth="1"/>
    <col min="13" max="15" width="5" bestFit="1" customWidth="1"/>
    <col min="16" max="16" width="4" bestFit="1" customWidth="1"/>
    <col min="17" max="18" width="2.77734375" bestFit="1" customWidth="1"/>
    <col min="19" max="24" width="5" bestFit="1" customWidth="1"/>
    <col min="25" max="25" width="3.77734375" customWidth="1"/>
    <col min="26" max="26" width="5.5546875" bestFit="1" customWidth="1"/>
    <col min="27" max="29" width="3.77734375" customWidth="1"/>
    <col min="30" max="30" width="5.44140625" customWidth="1"/>
    <col min="31" max="31" width="9" bestFit="1" customWidth="1"/>
    <col min="32" max="32" width="8.44140625" bestFit="1" customWidth="1"/>
    <col min="33" max="33" width="11.44140625" bestFit="1" customWidth="1"/>
    <col min="34" max="34" width="9.44140625" bestFit="1" customWidth="1"/>
    <col min="35" max="35" width="13.5546875" bestFit="1" customWidth="1"/>
    <col min="36" max="36" width="9.44140625" style="47" customWidth="1"/>
    <col min="37" max="37" width="64.21875" style="186" bestFit="1" customWidth="1"/>
    <col min="38" max="38" width="11.5546875" style="186" bestFit="1" customWidth="1"/>
    <col min="39" max="39" width="33.77734375" customWidth="1"/>
    <col min="40" max="40" width="91.77734375" customWidth="1"/>
  </cols>
  <sheetData>
    <row r="1" spans="1:40" x14ac:dyDescent="0.3">
      <c r="A1" s="111" t="s">
        <v>3201</v>
      </c>
      <c r="B1" s="111" t="s">
        <v>3315</v>
      </c>
      <c r="C1" s="255" t="s">
        <v>3158</v>
      </c>
      <c r="D1" s="111" t="s">
        <v>3199</v>
      </c>
      <c r="E1" s="111" t="s">
        <v>3139</v>
      </c>
      <c r="F1" s="111" t="s">
        <v>3140</v>
      </c>
      <c r="G1" s="111" t="s">
        <v>3141</v>
      </c>
      <c r="H1" s="111" t="s">
        <v>3194</v>
      </c>
      <c r="I1" s="111" t="s">
        <v>3195</v>
      </c>
      <c r="J1" s="111" t="s">
        <v>3196</v>
      </c>
      <c r="K1" s="111" t="s">
        <v>3197</v>
      </c>
      <c r="L1" s="111" t="s">
        <v>3142</v>
      </c>
      <c r="M1" s="111" t="s">
        <v>3143</v>
      </c>
      <c r="N1" s="111" t="s">
        <v>3144</v>
      </c>
      <c r="O1" s="111" t="s">
        <v>3145</v>
      </c>
      <c r="P1" s="111" t="s">
        <v>3159</v>
      </c>
      <c r="Q1" s="111" t="s">
        <v>3160</v>
      </c>
      <c r="R1" s="111" t="s">
        <v>3161</v>
      </c>
      <c r="S1" s="111" t="s">
        <v>3146</v>
      </c>
      <c r="T1" s="111" t="s">
        <v>3147</v>
      </c>
      <c r="U1" s="111" t="s">
        <v>3148</v>
      </c>
      <c r="V1" s="111" t="s">
        <v>3149</v>
      </c>
      <c r="W1" s="111" t="s">
        <v>3162</v>
      </c>
      <c r="X1" s="111" t="s">
        <v>3163</v>
      </c>
      <c r="Y1" s="137" t="s">
        <v>3200</v>
      </c>
      <c r="Z1" s="111" t="s">
        <v>3349</v>
      </c>
      <c r="AA1" s="111" t="s">
        <v>3350</v>
      </c>
      <c r="AB1" s="111" t="s">
        <v>3351</v>
      </c>
      <c r="AC1" s="111" t="s">
        <v>3352</v>
      </c>
      <c r="AD1" s="111" t="s">
        <v>3353</v>
      </c>
      <c r="AE1" s="137" t="s">
        <v>3185</v>
      </c>
      <c r="AF1" s="112" t="s">
        <v>3150</v>
      </c>
      <c r="AG1" s="112" t="s">
        <v>3151</v>
      </c>
      <c r="AH1" s="112" t="s">
        <v>3178</v>
      </c>
      <c r="AI1" s="112" t="s">
        <v>3152</v>
      </c>
      <c r="AJ1" s="176" t="s">
        <v>3173</v>
      </c>
      <c r="AK1" s="205" t="s">
        <v>3357</v>
      </c>
      <c r="AM1" s="182"/>
    </row>
    <row r="2" spans="1:40" x14ac:dyDescent="0.3">
      <c r="C2" s="239" t="s">
        <v>3153</v>
      </c>
      <c r="D2" s="113"/>
      <c r="E2" s="200">
        <v>1.2</v>
      </c>
      <c r="F2" s="200">
        <v>0.5</v>
      </c>
      <c r="G2" s="200">
        <v>1.7</v>
      </c>
      <c r="H2" s="142"/>
      <c r="I2" s="142"/>
      <c r="J2" s="142"/>
      <c r="K2" s="142"/>
      <c r="L2" s="115">
        <v>0.35</v>
      </c>
      <c r="M2" s="115">
        <v>0.5</v>
      </c>
      <c r="N2" s="115">
        <v>0.35</v>
      </c>
      <c r="O2" s="115"/>
      <c r="P2" s="116"/>
      <c r="Q2" s="116"/>
      <c r="R2" s="116"/>
      <c r="S2" s="115">
        <v>0.5</v>
      </c>
      <c r="T2" s="115"/>
      <c r="U2" s="115"/>
      <c r="V2" s="115"/>
      <c r="W2" s="116"/>
      <c r="X2" s="115"/>
      <c r="Y2" s="115"/>
      <c r="Z2" s="115"/>
      <c r="AA2" s="115"/>
      <c r="AB2" s="115"/>
      <c r="AC2" s="115"/>
      <c r="AD2" s="115"/>
      <c r="AE2" s="116"/>
      <c r="AF2" s="117" t="s">
        <v>3154</v>
      </c>
      <c r="AG2" s="117" t="s">
        <v>3154</v>
      </c>
      <c r="AH2" s="117"/>
      <c r="AI2" s="117">
        <v>16</v>
      </c>
      <c r="AJ2" s="117"/>
      <c r="AK2" s="135" t="str">
        <f t="shared" ref="AK2:AK65" si="0">CONCATENATE(A2,"-",B2,"-",C2,"-",E2,"-",F2,"-",G2,"-",H2,"-",I2,"-",J2,"-",K2,"-",L2,"-",M2,"-",N2,"-",O2,"-",P2,"-",Q2,"-",R2,"-",S2,"-",T2,"-",U2,"-",V2,"-",W2,"-",X2,"-",Y2,"-",Z2,"-",AA2,"-",AB2,"-",AC2,"-",AD2)</f>
        <v>--3299362G2-1,2-0,5-1,7-----0,35-0,5-0,35-----0,5-----------</v>
      </c>
      <c r="AL2" s="186">
        <f>VLOOKUP(AK2,Planilha1!B:C,2,0)</f>
        <v>1</v>
      </c>
      <c r="AM2" s="182" t="s">
        <v>3155</v>
      </c>
    </row>
    <row r="3" spans="1:40" x14ac:dyDescent="0.3">
      <c r="C3" s="239" t="s">
        <v>3153</v>
      </c>
      <c r="D3" s="113"/>
      <c r="E3" s="200">
        <v>0.7</v>
      </c>
      <c r="F3" s="200">
        <v>1</v>
      </c>
      <c r="G3" s="200">
        <v>1.7</v>
      </c>
      <c r="H3" s="143"/>
      <c r="I3" s="143"/>
      <c r="J3" s="143"/>
      <c r="K3" s="143"/>
      <c r="L3" s="118">
        <v>0.35</v>
      </c>
      <c r="M3" s="118">
        <v>0.35</v>
      </c>
      <c r="N3" s="118"/>
      <c r="O3" s="118"/>
      <c r="P3" s="121"/>
      <c r="Q3" s="121"/>
      <c r="R3" s="121"/>
      <c r="S3" s="118">
        <v>0.5</v>
      </c>
      <c r="T3" s="118">
        <v>0.5</v>
      </c>
      <c r="U3" s="118"/>
      <c r="V3" s="118"/>
      <c r="W3" s="118"/>
      <c r="X3" s="118"/>
      <c r="Y3" s="118"/>
      <c r="Z3" s="118"/>
      <c r="AA3" s="118"/>
      <c r="AB3" s="118"/>
      <c r="AC3" s="118"/>
      <c r="AD3" s="118"/>
      <c r="AE3" s="118"/>
      <c r="AF3" s="118"/>
      <c r="AG3" s="118" t="s">
        <v>3154</v>
      </c>
      <c r="AH3" s="118"/>
      <c r="AI3" s="118">
        <v>8</v>
      </c>
      <c r="AJ3" s="118"/>
      <c r="AK3" s="135" t="str">
        <f t="shared" si="0"/>
        <v>--3299362G2-0,7-1-1,7-----0,35-0,35------0,5-0,5----------</v>
      </c>
      <c r="AL3" s="186">
        <f>VLOOKUP(AK3,Planilha1!B:C,2,0)</f>
        <v>2</v>
      </c>
      <c r="AM3" s="182" t="s">
        <v>3155</v>
      </c>
    </row>
    <row r="4" spans="1:40" x14ac:dyDescent="0.3">
      <c r="C4" s="239" t="s">
        <v>3156</v>
      </c>
      <c r="D4" s="113"/>
      <c r="E4" s="200">
        <v>1.05</v>
      </c>
      <c r="F4" s="200">
        <v>0.35</v>
      </c>
      <c r="G4" s="200">
        <v>1.4</v>
      </c>
      <c r="H4" s="143"/>
      <c r="I4" s="143"/>
      <c r="J4" s="143"/>
      <c r="K4" s="143"/>
      <c r="L4" s="243">
        <v>0.35</v>
      </c>
      <c r="M4" s="243">
        <v>0.35</v>
      </c>
      <c r="N4" s="243">
        <v>0.35</v>
      </c>
      <c r="O4" s="243"/>
      <c r="P4" s="252"/>
      <c r="Q4" s="252"/>
      <c r="R4" s="121"/>
      <c r="S4" s="243">
        <v>0.35</v>
      </c>
      <c r="T4" s="243"/>
      <c r="U4" s="243"/>
      <c r="V4" s="243"/>
      <c r="W4" s="243"/>
      <c r="X4" s="243"/>
      <c r="Y4" s="118"/>
      <c r="Z4" s="118"/>
      <c r="AA4" s="118"/>
      <c r="AB4" s="118"/>
      <c r="AC4" s="118"/>
      <c r="AD4" s="118"/>
      <c r="AE4" s="118"/>
      <c r="AF4" s="243"/>
      <c r="AG4" s="243" t="s">
        <v>3154</v>
      </c>
      <c r="AH4" s="118"/>
      <c r="AI4" s="118">
        <v>8</v>
      </c>
      <c r="AJ4" s="118"/>
      <c r="AK4" s="135" t="str">
        <f t="shared" si="0"/>
        <v>--E16718500-1,05-0,35-1,4-----0,35-0,35-0,35-----0,35-----------</v>
      </c>
      <c r="AL4" s="186">
        <f>VLOOKUP(AK4,Planilha1!B:C,2,0)</f>
        <v>3</v>
      </c>
      <c r="AM4" s="184" t="s">
        <v>3155</v>
      </c>
    </row>
    <row r="5" spans="1:40" x14ac:dyDescent="0.3">
      <c r="C5" s="239" t="s">
        <v>3156</v>
      </c>
      <c r="D5" s="236"/>
      <c r="E5" s="204">
        <v>1.05</v>
      </c>
      <c r="F5" s="200">
        <v>0.35</v>
      </c>
      <c r="G5" s="200">
        <v>1.4</v>
      </c>
      <c r="H5" s="121"/>
      <c r="I5" s="121"/>
      <c r="J5" s="121"/>
      <c r="K5" s="121"/>
      <c r="L5" s="144">
        <v>0.35</v>
      </c>
      <c r="M5" s="144">
        <v>0.35</v>
      </c>
      <c r="N5" s="144">
        <v>0.35</v>
      </c>
      <c r="O5" s="144" t="s">
        <v>3176</v>
      </c>
      <c r="P5" s="144" t="s">
        <v>3176</v>
      </c>
      <c r="Q5" s="144" t="s">
        <v>3176</v>
      </c>
      <c r="R5" s="121"/>
      <c r="S5" s="144">
        <v>0.35</v>
      </c>
      <c r="T5" s="144" t="s">
        <v>3176</v>
      </c>
      <c r="U5" s="144" t="s">
        <v>3176</v>
      </c>
      <c r="V5" s="144" t="s">
        <v>3176</v>
      </c>
      <c r="W5" s="144" t="s">
        <v>3176</v>
      </c>
      <c r="X5" s="144" t="s">
        <v>3176</v>
      </c>
      <c r="Y5" s="121"/>
      <c r="Z5" s="121"/>
      <c r="AA5" s="121"/>
      <c r="AB5" s="121"/>
      <c r="AC5" s="121"/>
      <c r="AD5" s="121"/>
      <c r="AE5" s="121"/>
      <c r="AF5" s="144"/>
      <c r="AG5" s="243" t="s">
        <v>3154</v>
      </c>
      <c r="AH5" s="121"/>
      <c r="AI5" s="118">
        <v>8</v>
      </c>
      <c r="AJ5" s="118">
        <v>2026</v>
      </c>
      <c r="AK5" s="135" t="str">
        <f t="shared" si="0"/>
        <v>--E16718500-1,05-0,35-1,4-----0,35-0,35-0,35-----0,35-----------</v>
      </c>
      <c r="AL5" s="186">
        <f>VLOOKUP(AK5,Planilha1!B:C,2,0)</f>
        <v>3</v>
      </c>
      <c r="AM5" s="183" t="s">
        <v>3265</v>
      </c>
    </row>
    <row r="6" spans="1:40" x14ac:dyDescent="0.3">
      <c r="A6" s="48"/>
      <c r="B6" s="48"/>
      <c r="C6" s="239" t="s">
        <v>3156</v>
      </c>
      <c r="D6" s="113"/>
      <c r="E6" s="200">
        <v>0.35</v>
      </c>
      <c r="F6" s="200">
        <v>0.7</v>
      </c>
      <c r="G6" s="200">
        <v>1.05</v>
      </c>
      <c r="H6" s="143"/>
      <c r="I6" s="143"/>
      <c r="J6" s="143"/>
      <c r="K6" s="143"/>
      <c r="L6" s="118">
        <v>0.35</v>
      </c>
      <c r="M6" s="118"/>
      <c r="N6" s="118"/>
      <c r="O6" s="118"/>
      <c r="P6" s="121"/>
      <c r="Q6" s="121"/>
      <c r="R6" s="121"/>
      <c r="S6" s="118">
        <v>0.35</v>
      </c>
      <c r="T6" s="118">
        <v>0.35</v>
      </c>
      <c r="U6" s="118"/>
      <c r="V6" s="118"/>
      <c r="W6" s="118"/>
      <c r="X6" s="118"/>
      <c r="Y6" s="118"/>
      <c r="Z6" s="118"/>
      <c r="AA6" s="118"/>
      <c r="AB6" s="118"/>
      <c r="AC6" s="118"/>
      <c r="AD6" s="118"/>
      <c r="AE6" s="118"/>
      <c r="AF6" s="118"/>
      <c r="AG6" s="118" t="s">
        <v>3154</v>
      </c>
      <c r="AH6" s="118"/>
      <c r="AI6" s="118">
        <v>8</v>
      </c>
      <c r="AJ6" s="118"/>
      <c r="AK6" s="135" t="str">
        <f t="shared" si="0"/>
        <v>--E16718500-0,35-0,7-1,05-----0,35-------0,35-0,35----------</v>
      </c>
      <c r="AL6" s="186">
        <f>VLOOKUP(AK6,Planilha1!B:C,2,0)</f>
        <v>4</v>
      </c>
      <c r="AM6" s="179" t="s">
        <v>3155</v>
      </c>
    </row>
    <row r="7" spans="1:40" x14ac:dyDescent="0.3">
      <c r="C7" s="239" t="s">
        <v>3156</v>
      </c>
      <c r="D7" s="113"/>
      <c r="E7" s="200">
        <v>0.35</v>
      </c>
      <c r="F7" s="200">
        <v>0.7</v>
      </c>
      <c r="G7" s="200">
        <v>1.05</v>
      </c>
      <c r="H7" s="143"/>
      <c r="I7" s="143"/>
      <c r="J7" s="143"/>
      <c r="K7" s="143"/>
      <c r="L7" s="118">
        <v>0.35</v>
      </c>
      <c r="M7" s="118"/>
      <c r="N7" s="118"/>
      <c r="O7" s="118"/>
      <c r="P7" s="118"/>
      <c r="Q7" s="118"/>
      <c r="R7" s="118"/>
      <c r="S7" s="118">
        <v>0.35</v>
      </c>
      <c r="T7" s="118">
        <v>0.35</v>
      </c>
      <c r="U7" s="118"/>
      <c r="V7" s="118"/>
      <c r="W7" s="118"/>
      <c r="X7" s="118"/>
      <c r="Y7" s="118"/>
      <c r="Z7" s="118"/>
      <c r="AA7" s="118"/>
      <c r="AB7" s="118"/>
      <c r="AC7" s="118"/>
      <c r="AD7" s="118"/>
      <c r="AE7" s="118"/>
      <c r="AF7" s="118"/>
      <c r="AG7" s="118" t="s">
        <v>3154</v>
      </c>
      <c r="AH7" s="118"/>
      <c r="AI7" s="118">
        <v>8</v>
      </c>
      <c r="AJ7" s="118"/>
      <c r="AK7" s="135" t="str">
        <f t="shared" si="0"/>
        <v>--E16718500-0,35-0,7-1,05-----0,35-------0,35-0,35----------</v>
      </c>
      <c r="AL7" s="186">
        <f>VLOOKUP(AK7,Planilha1!B:C,2,0)</f>
        <v>4</v>
      </c>
      <c r="AM7" s="179" t="s">
        <v>3165</v>
      </c>
    </row>
    <row r="8" spans="1:40" x14ac:dyDescent="0.3">
      <c r="C8" s="239" t="s">
        <v>3157</v>
      </c>
      <c r="D8" s="113"/>
      <c r="E8" s="200">
        <v>3.35</v>
      </c>
      <c r="F8" s="200">
        <v>4</v>
      </c>
      <c r="G8" s="200">
        <v>7.35</v>
      </c>
      <c r="H8" s="142"/>
      <c r="I8" s="142"/>
      <c r="J8" s="142"/>
      <c r="K8" s="142"/>
      <c r="L8" s="115">
        <v>0.35</v>
      </c>
      <c r="M8" s="140">
        <v>0.5</v>
      </c>
      <c r="N8" s="115">
        <v>2.5</v>
      </c>
      <c r="O8" s="115"/>
      <c r="P8" s="116"/>
      <c r="Q8" s="116"/>
      <c r="R8" s="116"/>
      <c r="S8" s="140">
        <v>1</v>
      </c>
      <c r="T8" s="140">
        <v>3</v>
      </c>
      <c r="U8" s="140"/>
      <c r="V8" s="140"/>
      <c r="W8" s="251"/>
      <c r="X8" s="115"/>
      <c r="Y8" s="115"/>
      <c r="Z8" s="115"/>
      <c r="AA8" s="115"/>
      <c r="AB8" s="115"/>
      <c r="AC8" s="115"/>
      <c r="AD8" s="115"/>
      <c r="AE8" s="116"/>
      <c r="AF8" s="117" t="s">
        <v>3154</v>
      </c>
      <c r="AG8" s="117" t="s">
        <v>3154</v>
      </c>
      <c r="AH8" s="117"/>
      <c r="AI8" s="117">
        <v>16</v>
      </c>
      <c r="AJ8" s="117"/>
      <c r="AK8" s="135" t="str">
        <f t="shared" si="0"/>
        <v>--3299362M9-3,35-4-7,35-----0,35-0,5-2,5-----1-3----------</v>
      </c>
      <c r="AL8" s="186">
        <f>VLOOKUP(AK8,Planilha1!B:C,2,0)</f>
        <v>5</v>
      </c>
      <c r="AM8" s="182" t="s">
        <v>3155</v>
      </c>
    </row>
    <row r="9" spans="1:40" x14ac:dyDescent="0.3">
      <c r="C9" s="239" t="s">
        <v>3157</v>
      </c>
      <c r="D9" s="113"/>
      <c r="E9" s="200">
        <v>4.3499999999999996</v>
      </c>
      <c r="F9" s="200">
        <v>3</v>
      </c>
      <c r="G9" s="200">
        <v>7.35</v>
      </c>
      <c r="H9" s="142"/>
      <c r="I9" s="142"/>
      <c r="J9" s="142"/>
      <c r="K9" s="142"/>
      <c r="L9" s="117">
        <v>1</v>
      </c>
      <c r="M9" s="248">
        <v>0.35</v>
      </c>
      <c r="N9" s="117">
        <v>0.5</v>
      </c>
      <c r="O9" s="117">
        <v>2.5</v>
      </c>
      <c r="P9" s="116"/>
      <c r="Q9" s="116"/>
      <c r="R9" s="116"/>
      <c r="S9" s="248">
        <v>3</v>
      </c>
      <c r="T9" s="140"/>
      <c r="U9" s="140"/>
      <c r="V9" s="140"/>
      <c r="W9" s="251"/>
      <c r="X9" s="115"/>
      <c r="Y9" s="115"/>
      <c r="Z9" s="115"/>
      <c r="AA9" s="115"/>
      <c r="AB9" s="115"/>
      <c r="AC9" s="115"/>
      <c r="AD9" s="115"/>
      <c r="AE9" s="116"/>
      <c r="AF9" s="117" t="s">
        <v>3154</v>
      </c>
      <c r="AG9" s="117" t="s">
        <v>3154</v>
      </c>
      <c r="AH9" s="117"/>
      <c r="AI9" s="117">
        <v>16</v>
      </c>
      <c r="AJ9" s="117"/>
      <c r="AK9" s="135" t="str">
        <f t="shared" si="0"/>
        <v>--3299362M9-4,35-3-7,35-----1-0,35-0,5-2,5----3-----------</v>
      </c>
      <c r="AL9" s="186">
        <f>VLOOKUP(AK9,Planilha1!B:C,2,0)</f>
        <v>6</v>
      </c>
      <c r="AM9" s="182" t="s">
        <v>3155</v>
      </c>
    </row>
    <row r="10" spans="1:40" x14ac:dyDescent="0.3">
      <c r="A10" s="48"/>
      <c r="B10" s="48"/>
      <c r="C10" s="239" t="s">
        <v>3156</v>
      </c>
      <c r="D10" s="113"/>
      <c r="E10" s="200">
        <v>0.5</v>
      </c>
      <c r="F10" s="200">
        <v>0.85</v>
      </c>
      <c r="G10" s="200">
        <v>1.35</v>
      </c>
      <c r="H10" s="143"/>
      <c r="I10" s="143"/>
      <c r="J10" s="143"/>
      <c r="K10" s="143"/>
      <c r="L10" s="118">
        <v>0.5</v>
      </c>
      <c r="M10" s="118"/>
      <c r="N10" s="118"/>
      <c r="O10" s="118"/>
      <c r="P10" s="121"/>
      <c r="Q10" s="121"/>
      <c r="R10" s="121"/>
      <c r="S10" s="118">
        <v>0.5</v>
      </c>
      <c r="T10" s="118">
        <v>0.35</v>
      </c>
      <c r="U10" s="118"/>
      <c r="V10" s="118"/>
      <c r="W10" s="118"/>
      <c r="X10" s="118"/>
      <c r="Y10" s="118"/>
      <c r="Z10" s="118"/>
      <c r="AA10" s="118"/>
      <c r="AB10" s="118"/>
      <c r="AC10" s="118"/>
      <c r="AD10" s="118"/>
      <c r="AE10" s="118"/>
      <c r="AF10" s="118"/>
      <c r="AG10" s="118" t="s">
        <v>3154</v>
      </c>
      <c r="AH10" s="118"/>
      <c r="AI10" s="118">
        <v>8</v>
      </c>
      <c r="AJ10" s="118"/>
      <c r="AK10" s="135" t="str">
        <f t="shared" si="0"/>
        <v>--E16718500-0,5-0,85-1,35-----0,5-------0,5-0,35----------</v>
      </c>
      <c r="AL10" s="186">
        <f>VLOOKUP(AK10,Planilha1!B:C,2,0)</f>
        <v>7</v>
      </c>
      <c r="AM10" s="179" t="s">
        <v>3155</v>
      </c>
    </row>
    <row r="11" spans="1:40" x14ac:dyDescent="0.3">
      <c r="A11" s="48"/>
      <c r="B11" s="48"/>
      <c r="C11" s="239" t="s">
        <v>3156</v>
      </c>
      <c r="D11" s="236"/>
      <c r="E11" s="200">
        <v>0.5</v>
      </c>
      <c r="F11" s="200">
        <v>0.85</v>
      </c>
      <c r="G11" s="200">
        <v>1.35</v>
      </c>
      <c r="H11" s="121"/>
      <c r="I11" s="121"/>
      <c r="J11" s="121"/>
      <c r="K11" s="121"/>
      <c r="L11" s="243">
        <v>0.5</v>
      </c>
      <c r="M11" s="243"/>
      <c r="N11" s="121"/>
      <c r="O11" s="121"/>
      <c r="P11" s="121"/>
      <c r="Q11" s="121"/>
      <c r="R11" s="121"/>
      <c r="S11" s="243">
        <v>0.5</v>
      </c>
      <c r="T11" s="243">
        <v>0.35</v>
      </c>
      <c r="U11" s="243"/>
      <c r="V11" s="121"/>
      <c r="W11" s="121"/>
      <c r="X11" s="121"/>
      <c r="Y11" s="121"/>
      <c r="Z11" s="121"/>
      <c r="AA11" s="121"/>
      <c r="AB11" s="121"/>
      <c r="AC11" s="121"/>
      <c r="AD11" s="121"/>
      <c r="AE11" s="121"/>
      <c r="AF11" s="121"/>
      <c r="AG11" s="118" t="s">
        <v>3154</v>
      </c>
      <c r="AH11" s="121"/>
      <c r="AI11" s="118">
        <v>8</v>
      </c>
      <c r="AJ11" s="118">
        <v>2026</v>
      </c>
      <c r="AK11" s="135" t="str">
        <f t="shared" si="0"/>
        <v>--E16718500-0,5-0,85-1,35-----0,5-------0,5-0,35----------</v>
      </c>
      <c r="AL11" s="186">
        <f>VLOOKUP(AK11,Planilha1!B:C,2,0)</f>
        <v>7</v>
      </c>
      <c r="AM11" s="181" t="s">
        <v>3234</v>
      </c>
    </row>
    <row r="12" spans="1:40" x14ac:dyDescent="0.3">
      <c r="A12" s="48"/>
      <c r="B12" s="48"/>
      <c r="C12" s="239" t="s">
        <v>3156</v>
      </c>
      <c r="D12" s="236"/>
      <c r="E12" s="204">
        <v>0.5</v>
      </c>
      <c r="F12" s="200">
        <v>0.85</v>
      </c>
      <c r="G12" s="200">
        <v>1.35</v>
      </c>
      <c r="H12" s="121"/>
      <c r="I12" s="121"/>
      <c r="J12" s="121"/>
      <c r="K12" s="121"/>
      <c r="L12" s="144">
        <v>0.5</v>
      </c>
      <c r="M12" s="144" t="s">
        <v>3176</v>
      </c>
      <c r="N12" s="144" t="s">
        <v>3176</v>
      </c>
      <c r="O12" s="144" t="s">
        <v>3176</v>
      </c>
      <c r="P12" s="144" t="s">
        <v>3176</v>
      </c>
      <c r="Q12" s="144" t="s">
        <v>3176</v>
      </c>
      <c r="R12" s="121"/>
      <c r="S12" s="144">
        <v>0.5</v>
      </c>
      <c r="T12" s="144">
        <v>0.35</v>
      </c>
      <c r="U12" s="144" t="s">
        <v>3176</v>
      </c>
      <c r="V12" s="144" t="s">
        <v>3176</v>
      </c>
      <c r="W12" s="144" t="s">
        <v>3176</v>
      </c>
      <c r="X12" s="144" t="s">
        <v>3176</v>
      </c>
      <c r="Y12" s="121"/>
      <c r="Z12" s="121"/>
      <c r="AA12" s="121"/>
      <c r="AB12" s="121"/>
      <c r="AC12" s="121"/>
      <c r="AD12" s="121"/>
      <c r="AE12" s="121"/>
      <c r="AF12" s="144"/>
      <c r="AG12" s="243" t="s">
        <v>3154</v>
      </c>
      <c r="AH12" s="121"/>
      <c r="AI12" s="118">
        <v>8</v>
      </c>
      <c r="AJ12" s="118">
        <v>2026</v>
      </c>
      <c r="AK12" s="135" t="str">
        <f t="shared" si="0"/>
        <v>--E16718500-0,5-0,85-1,35-----0,5-------0,5-0,35----------</v>
      </c>
      <c r="AL12" s="186">
        <f>VLOOKUP(AK12,Planilha1!B:C,2,0)</f>
        <v>7</v>
      </c>
      <c r="AM12" s="183" t="s">
        <v>3265</v>
      </c>
    </row>
    <row r="13" spans="1:40" x14ac:dyDescent="0.3">
      <c r="C13" s="239" t="s">
        <v>3156</v>
      </c>
      <c r="D13" s="236"/>
      <c r="E13" s="200">
        <v>0.5</v>
      </c>
      <c r="F13" s="200">
        <v>0.85</v>
      </c>
      <c r="G13" s="200">
        <v>1.35</v>
      </c>
      <c r="H13" s="121"/>
      <c r="I13" s="121"/>
      <c r="J13" s="121"/>
      <c r="K13" s="121"/>
      <c r="L13" s="144">
        <v>0.5</v>
      </c>
      <c r="M13" s="144"/>
      <c r="N13" s="144"/>
      <c r="O13" s="144"/>
      <c r="P13" s="144"/>
      <c r="Q13" s="121"/>
      <c r="R13" s="121"/>
      <c r="S13" s="144">
        <v>0.5</v>
      </c>
      <c r="T13" s="144">
        <v>0.35</v>
      </c>
      <c r="U13" s="144"/>
      <c r="V13" s="144"/>
      <c r="W13" s="121"/>
      <c r="X13" s="121"/>
      <c r="Y13" s="121"/>
      <c r="Z13" s="144"/>
      <c r="AA13" s="121"/>
      <c r="AB13" s="121"/>
      <c r="AC13" s="121"/>
      <c r="AD13" s="121"/>
      <c r="AE13" s="121"/>
      <c r="AF13" s="243"/>
      <c r="AG13" s="243" t="s">
        <v>3154</v>
      </c>
      <c r="AH13" s="121"/>
      <c r="AI13" s="121">
        <v>8</v>
      </c>
      <c r="AJ13" s="118">
        <v>2026</v>
      </c>
      <c r="AK13" s="135" t="str">
        <f t="shared" si="0"/>
        <v>--E16718500-0,5-0,85-1,35-----0,5-------0,5-0,35----------</v>
      </c>
      <c r="AL13" s="186">
        <f>VLOOKUP(AK13,Planilha1!B:C,2,0)</f>
        <v>7</v>
      </c>
      <c r="AM13" s="135" t="s">
        <v>3354</v>
      </c>
      <c r="AN13" s="83" t="s">
        <v>3355</v>
      </c>
    </row>
    <row r="14" spans="1:40" x14ac:dyDescent="0.3">
      <c r="A14" s="48"/>
      <c r="B14" s="48"/>
      <c r="C14" s="239" t="s">
        <v>3156</v>
      </c>
      <c r="D14" s="113"/>
      <c r="E14" s="200">
        <v>0.35</v>
      </c>
      <c r="F14" s="200">
        <v>0.75</v>
      </c>
      <c r="G14" s="200">
        <v>1.1000000000000001</v>
      </c>
      <c r="H14" s="142"/>
      <c r="I14" s="142"/>
      <c r="J14" s="142"/>
      <c r="K14" s="142"/>
      <c r="L14" s="115">
        <v>0.35</v>
      </c>
      <c r="M14" s="115"/>
      <c r="N14" s="115"/>
      <c r="O14" s="115"/>
      <c r="P14" s="116"/>
      <c r="Q14" s="116"/>
      <c r="R14" s="116"/>
      <c r="S14" s="115">
        <v>0.75</v>
      </c>
      <c r="T14" s="115"/>
      <c r="U14" s="115"/>
      <c r="V14" s="115"/>
      <c r="W14" s="116"/>
      <c r="X14" s="115"/>
      <c r="Y14" s="115"/>
      <c r="Z14" s="115"/>
      <c r="AA14" s="115"/>
      <c r="AB14" s="115"/>
      <c r="AC14" s="115"/>
      <c r="AD14" s="115"/>
      <c r="AE14" s="116"/>
      <c r="AF14" s="117" t="s">
        <v>3154</v>
      </c>
      <c r="AG14" s="117" t="s">
        <v>3154</v>
      </c>
      <c r="AH14" s="117"/>
      <c r="AI14" s="117">
        <v>8</v>
      </c>
      <c r="AJ14" s="117"/>
      <c r="AK14" s="135" t="str">
        <f t="shared" si="0"/>
        <v>--E16718500-0,35-0,75-1,1-----0,35-------0,75-----------</v>
      </c>
      <c r="AL14" s="186">
        <f>VLOOKUP(AK14,Planilha1!B:C,2,0)</f>
        <v>8</v>
      </c>
      <c r="AM14" s="182" t="s">
        <v>3155</v>
      </c>
    </row>
    <row r="15" spans="1:40" x14ac:dyDescent="0.3">
      <c r="C15" s="239" t="s">
        <v>3156</v>
      </c>
      <c r="D15" s="113"/>
      <c r="E15" s="200">
        <v>1.25</v>
      </c>
      <c r="F15" s="200">
        <v>0.5</v>
      </c>
      <c r="G15" s="200">
        <v>1.75</v>
      </c>
      <c r="H15" s="143"/>
      <c r="I15" s="143"/>
      <c r="J15" s="143"/>
      <c r="K15" s="143"/>
      <c r="L15" s="144">
        <v>0.5</v>
      </c>
      <c r="M15" s="144">
        <v>0.75</v>
      </c>
      <c r="N15" s="144"/>
      <c r="O15" s="144"/>
      <c r="P15" s="252"/>
      <c r="Q15" s="121"/>
      <c r="R15" s="121"/>
      <c r="S15" s="144">
        <v>0.5</v>
      </c>
      <c r="T15" s="144"/>
      <c r="U15" s="144"/>
      <c r="V15" s="144"/>
      <c r="W15" s="119"/>
      <c r="X15" s="119"/>
      <c r="Y15" s="119"/>
      <c r="Z15" s="144"/>
      <c r="AA15" s="119"/>
      <c r="AB15" s="119"/>
      <c r="AC15" s="119"/>
      <c r="AD15" s="119"/>
      <c r="AE15" s="119"/>
      <c r="AF15" s="144"/>
      <c r="AG15" s="243" t="s">
        <v>3154</v>
      </c>
      <c r="AH15" s="118"/>
      <c r="AI15" s="118">
        <v>8</v>
      </c>
      <c r="AJ15" s="118"/>
      <c r="AK15" s="135" t="str">
        <f t="shared" si="0"/>
        <v>--E16718500-1,25-0,5-1,75-----0,5-0,75------0,5-----------</v>
      </c>
      <c r="AL15" s="186">
        <f>VLOOKUP(AK15,Planilha1!B:C,2,0)</f>
        <v>9</v>
      </c>
      <c r="AM15" s="179" t="s">
        <v>3155</v>
      </c>
    </row>
    <row r="16" spans="1:40" x14ac:dyDescent="0.3">
      <c r="C16" s="249" t="s">
        <v>3156</v>
      </c>
      <c r="D16" s="236"/>
      <c r="E16" s="200">
        <v>1.25</v>
      </c>
      <c r="F16" s="200">
        <v>0.5</v>
      </c>
      <c r="G16" s="200">
        <v>1.75</v>
      </c>
      <c r="H16" s="121"/>
      <c r="I16" s="121"/>
      <c r="J16" s="121"/>
      <c r="K16" s="121"/>
      <c r="L16" s="144">
        <v>0.5</v>
      </c>
      <c r="M16" s="144">
        <v>0.75</v>
      </c>
      <c r="N16" s="144"/>
      <c r="O16" s="144"/>
      <c r="P16" s="144"/>
      <c r="Q16" s="121"/>
      <c r="R16" s="121"/>
      <c r="S16" s="144">
        <v>0.5</v>
      </c>
      <c r="T16" s="144"/>
      <c r="U16" s="144"/>
      <c r="V16" s="144"/>
      <c r="W16" s="121"/>
      <c r="X16" s="121"/>
      <c r="Y16" s="121"/>
      <c r="Z16" s="144"/>
      <c r="AA16" s="121"/>
      <c r="AB16" s="121"/>
      <c r="AC16" s="121"/>
      <c r="AD16" s="121"/>
      <c r="AE16" s="121"/>
      <c r="AF16" s="243"/>
      <c r="AG16" s="243" t="s">
        <v>3154</v>
      </c>
      <c r="AH16" s="121"/>
      <c r="AI16" s="121">
        <v>8</v>
      </c>
      <c r="AJ16" s="118">
        <v>2026</v>
      </c>
      <c r="AK16" s="135" t="str">
        <f t="shared" si="0"/>
        <v>--E16718500-1,25-0,5-1,75-----0,5-0,75------0,5-----------</v>
      </c>
      <c r="AL16" s="186">
        <f>VLOOKUP(AK16,Planilha1!B:C,2,0)</f>
        <v>9</v>
      </c>
      <c r="AM16" s="135" t="s">
        <v>3354</v>
      </c>
      <c r="AN16" s="83" t="s">
        <v>3355</v>
      </c>
    </row>
    <row r="17" spans="1:39" x14ac:dyDescent="0.3">
      <c r="C17" s="239" t="s">
        <v>3156</v>
      </c>
      <c r="D17" s="113"/>
      <c r="E17" s="200">
        <v>0.85</v>
      </c>
      <c r="F17" s="200">
        <v>0.35</v>
      </c>
      <c r="G17" s="200">
        <v>1.2</v>
      </c>
      <c r="H17" s="142"/>
      <c r="I17" s="142"/>
      <c r="J17" s="142"/>
      <c r="K17" s="142"/>
      <c r="L17" s="140">
        <v>0.5</v>
      </c>
      <c r="M17" s="140"/>
      <c r="N17" s="140"/>
      <c r="O17" s="140"/>
      <c r="P17" s="251"/>
      <c r="Q17" s="251"/>
      <c r="R17" s="116"/>
      <c r="S17" s="140">
        <v>0.35</v>
      </c>
      <c r="T17" s="140"/>
      <c r="U17" s="140"/>
      <c r="V17" s="140"/>
      <c r="W17" s="251"/>
      <c r="X17" s="140">
        <v>0.35</v>
      </c>
      <c r="Y17" s="115"/>
      <c r="Z17" s="115"/>
      <c r="AA17" s="115"/>
      <c r="AB17" s="115"/>
      <c r="AC17" s="115"/>
      <c r="AD17" s="115"/>
      <c r="AE17" s="116"/>
      <c r="AF17" s="248" t="s">
        <v>3154</v>
      </c>
      <c r="AG17" s="248" t="s">
        <v>3154</v>
      </c>
      <c r="AH17" s="117"/>
      <c r="AI17" s="117">
        <v>16</v>
      </c>
      <c r="AJ17" s="117"/>
      <c r="AK17" s="135" t="str">
        <f t="shared" si="0"/>
        <v>--E16718500-0,85-0,35-1,2-----0,5-------0,35-----0,35------</v>
      </c>
      <c r="AL17" s="186">
        <f>VLOOKUP(AK17,Planilha1!B:C,2,0)</f>
        <v>10</v>
      </c>
      <c r="AM17" s="182" t="s">
        <v>3155</v>
      </c>
    </row>
    <row r="18" spans="1:39" x14ac:dyDescent="0.3">
      <c r="A18" s="48"/>
      <c r="B18" s="48"/>
      <c r="C18" s="239" t="s">
        <v>3156</v>
      </c>
      <c r="D18" s="113"/>
      <c r="E18" s="200">
        <v>0.5</v>
      </c>
      <c r="F18" s="200">
        <v>1.85</v>
      </c>
      <c r="G18" s="200">
        <v>2.35</v>
      </c>
      <c r="H18" s="142"/>
      <c r="I18" s="142"/>
      <c r="J18" s="142"/>
      <c r="K18" s="142"/>
      <c r="L18" s="115">
        <v>0.5</v>
      </c>
      <c r="M18" s="115"/>
      <c r="N18" s="115"/>
      <c r="O18" s="115"/>
      <c r="P18" s="116"/>
      <c r="Q18" s="116"/>
      <c r="R18" s="116"/>
      <c r="S18" s="115">
        <v>0.5</v>
      </c>
      <c r="T18" s="115">
        <v>0.5</v>
      </c>
      <c r="U18" s="115">
        <v>0.5</v>
      </c>
      <c r="V18" s="115">
        <v>0.35</v>
      </c>
      <c r="W18" s="116"/>
      <c r="X18" s="115"/>
      <c r="Y18" s="115"/>
      <c r="Z18" s="115"/>
      <c r="AA18" s="115"/>
      <c r="AB18" s="115"/>
      <c r="AC18" s="115"/>
      <c r="AD18" s="115"/>
      <c r="AE18" s="116"/>
      <c r="AF18" s="117" t="s">
        <v>3154</v>
      </c>
      <c r="AG18" s="117" t="s">
        <v>3154</v>
      </c>
      <c r="AH18" s="117"/>
      <c r="AI18" s="117">
        <v>16</v>
      </c>
      <c r="AJ18" s="117"/>
      <c r="AK18" s="135" t="str">
        <f t="shared" si="0"/>
        <v>--E16718500-0,5-1,85-2,35-----0,5-------0,5-0,5-0,5-0,35--------</v>
      </c>
      <c r="AL18" s="186">
        <f>VLOOKUP(AK18,Planilha1!B:C,2,0)</f>
        <v>11</v>
      </c>
      <c r="AM18" s="182" t="s">
        <v>3155</v>
      </c>
    </row>
    <row r="19" spans="1:39" x14ac:dyDescent="0.3">
      <c r="C19" s="239" t="s">
        <v>3157</v>
      </c>
      <c r="D19" s="113"/>
      <c r="E19" s="200">
        <v>6.25</v>
      </c>
      <c r="F19" s="200">
        <v>0.5</v>
      </c>
      <c r="G19" s="200">
        <v>6.75</v>
      </c>
      <c r="H19" s="142"/>
      <c r="I19" s="142"/>
      <c r="J19" s="142"/>
      <c r="K19" s="142"/>
      <c r="L19" s="140">
        <v>1.5</v>
      </c>
      <c r="M19" s="140">
        <v>0.5</v>
      </c>
      <c r="N19" s="140">
        <v>0.75</v>
      </c>
      <c r="O19" s="140">
        <v>2</v>
      </c>
      <c r="P19" s="251"/>
      <c r="Q19" s="251"/>
      <c r="R19" s="251"/>
      <c r="S19" s="140">
        <v>0.5</v>
      </c>
      <c r="T19" s="140"/>
      <c r="U19" s="140"/>
      <c r="V19" s="140"/>
      <c r="W19" s="251"/>
      <c r="X19" s="140">
        <v>1.5</v>
      </c>
      <c r="Y19" s="140"/>
      <c r="Z19" s="115"/>
      <c r="AA19" s="115"/>
      <c r="AB19" s="115"/>
      <c r="AC19" s="115"/>
      <c r="AD19" s="115"/>
      <c r="AE19" s="116"/>
      <c r="AF19" s="117" t="s">
        <v>3154</v>
      </c>
      <c r="AG19" s="117" t="s">
        <v>3154</v>
      </c>
      <c r="AH19" s="117"/>
      <c r="AI19" s="117">
        <v>16</v>
      </c>
      <c r="AJ19" s="117"/>
      <c r="AK19" s="135" t="str">
        <f t="shared" si="0"/>
        <v>--3299362M9-6,25-0,5-6,75-----1,5-0,5-0,75-2----0,5-----1,5------</v>
      </c>
      <c r="AL19" s="186">
        <f>VLOOKUP(AK19,Planilha1!B:C,2,0)</f>
        <v>12</v>
      </c>
      <c r="AM19" s="182" t="s">
        <v>3155</v>
      </c>
    </row>
    <row r="20" spans="1:39" x14ac:dyDescent="0.3">
      <c r="C20" s="239" t="s">
        <v>3164</v>
      </c>
      <c r="D20" s="113"/>
      <c r="E20" s="200">
        <v>1.35</v>
      </c>
      <c r="F20" s="200">
        <v>1.9</v>
      </c>
      <c r="G20" s="200">
        <v>3.25</v>
      </c>
      <c r="H20" s="142"/>
      <c r="I20" s="142"/>
      <c r="J20" s="142"/>
      <c r="K20" s="142"/>
      <c r="L20" s="248">
        <v>0.35</v>
      </c>
      <c r="M20" s="248">
        <v>1</v>
      </c>
      <c r="N20" s="117"/>
      <c r="O20" s="117"/>
      <c r="P20" s="117"/>
      <c r="Q20" s="117"/>
      <c r="R20" s="117"/>
      <c r="S20" s="248">
        <v>0.35</v>
      </c>
      <c r="T20" s="248">
        <v>0.35</v>
      </c>
      <c r="U20" s="248">
        <v>0.35</v>
      </c>
      <c r="V20" s="248">
        <v>0.5</v>
      </c>
      <c r="W20" s="248">
        <v>0.35</v>
      </c>
      <c r="X20" s="248"/>
      <c r="Y20" s="117"/>
      <c r="Z20" s="117"/>
      <c r="AA20" s="117"/>
      <c r="AB20" s="117"/>
      <c r="AC20" s="117"/>
      <c r="AD20" s="117"/>
      <c r="AE20" s="117"/>
      <c r="AF20" s="248" t="s">
        <v>3154</v>
      </c>
      <c r="AG20" s="248" t="s">
        <v>3154</v>
      </c>
      <c r="AH20" s="117"/>
      <c r="AI20" s="117">
        <v>16</v>
      </c>
      <c r="AJ20" s="117"/>
      <c r="AK20" s="135" t="str">
        <f t="shared" si="0"/>
        <v>--E16725300-1,35-1,9-3,25-----0,35-1------0,35-0,35-0,35-0,5-0,35-------</v>
      </c>
      <c r="AL20" s="186">
        <f>VLOOKUP(AK20,Planilha1!B:C,2,0)</f>
        <v>13</v>
      </c>
      <c r="AM20" s="182" t="s">
        <v>3165</v>
      </c>
    </row>
    <row r="21" spans="1:39" x14ac:dyDescent="0.3">
      <c r="C21" s="239" t="s">
        <v>3164</v>
      </c>
      <c r="D21" s="236"/>
      <c r="E21" s="239">
        <v>1.35</v>
      </c>
      <c r="F21" s="239">
        <v>1.9</v>
      </c>
      <c r="G21" s="200">
        <v>3.25</v>
      </c>
      <c r="L21" s="51">
        <v>0.35</v>
      </c>
      <c r="M21" s="51">
        <v>1</v>
      </c>
      <c r="S21" s="51">
        <v>0.35</v>
      </c>
      <c r="T21" s="51">
        <v>0.35</v>
      </c>
      <c r="U21" s="51">
        <v>0.35</v>
      </c>
      <c r="V21" s="51">
        <v>0.5</v>
      </c>
      <c r="W21" s="51">
        <v>0.35</v>
      </c>
      <c r="X21" s="51"/>
      <c r="AF21" s="51" t="s">
        <v>3154</v>
      </c>
      <c r="AG21" s="51" t="s">
        <v>3154</v>
      </c>
      <c r="AI21" s="117">
        <v>16</v>
      </c>
      <c r="AJ21" s="117">
        <v>2026</v>
      </c>
      <c r="AK21" s="135" t="str">
        <f t="shared" si="0"/>
        <v>--E16725300-1,35-1,9-3,25-----0,35-1------0,35-0,35-0,35-0,5-0,35-------</v>
      </c>
      <c r="AL21" s="186">
        <f>VLOOKUP(AK21,Planilha1!B:C,2,0)</f>
        <v>13</v>
      </c>
      <c r="AM21" s="135" t="s">
        <v>3638</v>
      </c>
    </row>
    <row r="22" spans="1:39" x14ac:dyDescent="0.3">
      <c r="C22" s="239" t="s">
        <v>3164</v>
      </c>
      <c r="D22" s="113"/>
      <c r="E22" s="200">
        <v>1.75</v>
      </c>
      <c r="F22" s="200">
        <v>4</v>
      </c>
      <c r="G22" s="200">
        <v>5.75</v>
      </c>
      <c r="H22" s="142"/>
      <c r="I22" s="142"/>
      <c r="J22" s="142"/>
      <c r="K22" s="142"/>
      <c r="L22" s="248">
        <v>1</v>
      </c>
      <c r="M22" s="248">
        <v>0.75</v>
      </c>
      <c r="N22" s="117"/>
      <c r="O22" s="117"/>
      <c r="P22" s="117"/>
      <c r="Q22" s="117"/>
      <c r="R22" s="117"/>
      <c r="S22" s="248">
        <v>0.5</v>
      </c>
      <c r="T22" s="248">
        <v>0.5</v>
      </c>
      <c r="U22" s="248">
        <v>3</v>
      </c>
      <c r="V22" s="248"/>
      <c r="W22" s="248"/>
      <c r="X22" s="248"/>
      <c r="Y22" s="117"/>
      <c r="Z22" s="117"/>
      <c r="AA22" s="117"/>
      <c r="AB22" s="117"/>
      <c r="AC22" s="117"/>
      <c r="AD22" s="117"/>
      <c r="AE22" s="117"/>
      <c r="AF22" s="248" t="s">
        <v>3154</v>
      </c>
      <c r="AG22" s="248" t="s">
        <v>3154</v>
      </c>
      <c r="AH22" s="117"/>
      <c r="AI22" s="117">
        <v>16</v>
      </c>
      <c r="AJ22" s="117"/>
      <c r="AK22" s="135" t="str">
        <f t="shared" si="0"/>
        <v>--E16725300-1,75-4-5,75-----1-0,75------0,5-0,5-3---------</v>
      </c>
      <c r="AL22" s="186">
        <f>VLOOKUP(AK22,Planilha1!B:C,2,0)</f>
        <v>14</v>
      </c>
      <c r="AM22" s="182" t="s">
        <v>3165</v>
      </c>
    </row>
    <row r="23" spans="1:39" x14ac:dyDescent="0.3">
      <c r="A23" s="48"/>
      <c r="C23" s="239" t="s">
        <v>3164</v>
      </c>
      <c r="D23" s="113"/>
      <c r="E23" s="200">
        <v>1.75</v>
      </c>
      <c r="F23" s="200">
        <v>9</v>
      </c>
      <c r="G23" s="200">
        <v>10.75</v>
      </c>
      <c r="H23" s="142"/>
      <c r="I23" s="142"/>
      <c r="J23" s="142"/>
      <c r="K23" s="142"/>
      <c r="L23" s="117">
        <v>1</v>
      </c>
      <c r="M23" s="117">
        <v>0.75</v>
      </c>
      <c r="N23" s="117"/>
      <c r="O23" s="117"/>
      <c r="P23" s="117"/>
      <c r="Q23" s="117"/>
      <c r="R23" s="117"/>
      <c r="S23" s="117">
        <v>2.5</v>
      </c>
      <c r="T23" s="117">
        <v>0.5</v>
      </c>
      <c r="U23" s="117">
        <v>0.5</v>
      </c>
      <c r="V23" s="117">
        <v>2.5</v>
      </c>
      <c r="W23" s="117">
        <v>3</v>
      </c>
      <c r="X23" s="117"/>
      <c r="Y23" s="117"/>
      <c r="Z23" s="117"/>
      <c r="AA23" s="117"/>
      <c r="AB23" s="117"/>
      <c r="AC23" s="117"/>
      <c r="AD23" s="117"/>
      <c r="AE23" s="248"/>
      <c r="AF23" s="248" t="s">
        <v>3154</v>
      </c>
      <c r="AG23" s="248" t="s">
        <v>3154</v>
      </c>
      <c r="AH23" s="117"/>
      <c r="AI23" s="117">
        <v>16</v>
      </c>
      <c r="AJ23" s="117"/>
      <c r="AK23" s="135" t="str">
        <f t="shared" si="0"/>
        <v>--E16725300-1,75-9-10,75-----1-0,75------2,5-0,5-0,5-2,5-3-------</v>
      </c>
      <c r="AL23" s="186">
        <f>VLOOKUP(AK23,Planilha1!B:C,2,0)</f>
        <v>15</v>
      </c>
      <c r="AM23" s="182" t="s">
        <v>3165</v>
      </c>
    </row>
    <row r="24" spans="1:39" x14ac:dyDescent="0.3">
      <c r="C24" s="239" t="s">
        <v>3166</v>
      </c>
      <c r="D24" s="113"/>
      <c r="E24" s="200">
        <v>2.5</v>
      </c>
      <c r="F24" s="200">
        <v>15</v>
      </c>
      <c r="G24" s="200">
        <v>17.5</v>
      </c>
      <c r="H24" s="142"/>
      <c r="I24" s="142"/>
      <c r="J24" s="142"/>
      <c r="K24" s="142"/>
      <c r="L24" s="248">
        <v>2.5</v>
      </c>
      <c r="M24" s="248"/>
      <c r="N24" s="248"/>
      <c r="O24" s="248"/>
      <c r="P24" s="248"/>
      <c r="Q24" s="248"/>
      <c r="R24" s="248"/>
      <c r="S24" s="248">
        <v>2.5</v>
      </c>
      <c r="T24" s="248">
        <v>2.5</v>
      </c>
      <c r="U24" s="248">
        <v>2.5</v>
      </c>
      <c r="V24" s="248">
        <v>2.5</v>
      </c>
      <c r="W24" s="248">
        <v>2.5</v>
      </c>
      <c r="X24" s="248">
        <v>2.5</v>
      </c>
      <c r="Y24" s="248"/>
      <c r="Z24" s="117"/>
      <c r="AA24" s="117"/>
      <c r="AB24" s="117"/>
      <c r="AC24" s="117"/>
      <c r="AD24" s="117"/>
      <c r="AE24" s="117"/>
      <c r="AF24" s="117" t="s">
        <v>3154</v>
      </c>
      <c r="AG24" s="117" t="s">
        <v>3154</v>
      </c>
      <c r="AH24" s="117"/>
      <c r="AI24" s="117">
        <v>16</v>
      </c>
      <c r="AJ24" s="117"/>
      <c r="AK24" s="135" t="str">
        <f t="shared" si="0"/>
        <v>--E01120300-2,5-15-17,5-----2,5-------2,5-2,5-2,5-2,5-2,5-2,5------</v>
      </c>
      <c r="AL24" s="186">
        <f>VLOOKUP(AK24,Planilha1!B:C,2,0)</f>
        <v>16</v>
      </c>
      <c r="AM24" s="182" t="s">
        <v>3165</v>
      </c>
    </row>
    <row r="25" spans="1:39" x14ac:dyDescent="0.3">
      <c r="A25" s="48"/>
      <c r="B25" s="48"/>
      <c r="C25" s="239" t="s">
        <v>3166</v>
      </c>
      <c r="D25" s="236"/>
      <c r="E25" s="239">
        <v>2.5</v>
      </c>
      <c r="F25" s="239">
        <v>15</v>
      </c>
      <c r="G25" s="200">
        <v>17.5</v>
      </c>
      <c r="L25" s="51">
        <v>2.5</v>
      </c>
      <c r="M25" s="51"/>
      <c r="S25" s="51">
        <v>2.5</v>
      </c>
      <c r="T25" s="51">
        <v>2.5</v>
      </c>
      <c r="U25" s="51">
        <v>2.5</v>
      </c>
      <c r="V25" s="51">
        <v>2.5</v>
      </c>
      <c r="W25" s="51">
        <v>2.5</v>
      </c>
      <c r="X25" s="51">
        <v>2.5</v>
      </c>
      <c r="AF25" s="51" t="s">
        <v>3154</v>
      </c>
      <c r="AG25" s="51" t="s">
        <v>3154</v>
      </c>
      <c r="AI25" s="117">
        <v>16</v>
      </c>
      <c r="AJ25" s="117">
        <v>2026</v>
      </c>
      <c r="AK25" s="135" t="str">
        <f t="shared" si="0"/>
        <v>--E01120300-2,5-15-17,5-----2,5-------2,5-2,5-2,5-2,5-2,5-2,5------</v>
      </c>
      <c r="AL25" s="186">
        <f>VLOOKUP(AK25,Planilha1!B:C,2,0)</f>
        <v>16</v>
      </c>
      <c r="AM25" s="135" t="s">
        <v>3638</v>
      </c>
    </row>
    <row r="26" spans="1:39" x14ac:dyDescent="0.3">
      <c r="C26" s="239" t="s">
        <v>3164</v>
      </c>
      <c r="D26" s="113"/>
      <c r="E26" s="200">
        <v>1.25</v>
      </c>
      <c r="F26" s="200">
        <v>1.05</v>
      </c>
      <c r="G26" s="200">
        <v>2.2999999999999998</v>
      </c>
      <c r="H26" s="142"/>
      <c r="I26" s="142"/>
      <c r="J26" s="142"/>
      <c r="K26" s="142"/>
      <c r="L26" s="248">
        <v>0.75</v>
      </c>
      <c r="M26" s="248">
        <v>0.5</v>
      </c>
      <c r="N26" s="117"/>
      <c r="O26" s="117"/>
      <c r="P26" s="117"/>
      <c r="Q26" s="117"/>
      <c r="R26" s="117"/>
      <c r="S26" s="248">
        <v>0.35</v>
      </c>
      <c r="T26" s="248">
        <v>0.35</v>
      </c>
      <c r="U26" s="248">
        <v>0.35</v>
      </c>
      <c r="V26" s="248"/>
      <c r="W26" s="248"/>
      <c r="X26" s="248"/>
      <c r="Y26" s="117"/>
      <c r="Z26" s="117"/>
      <c r="AA26" s="117"/>
      <c r="AB26" s="117"/>
      <c r="AC26" s="117"/>
      <c r="AD26" s="117"/>
      <c r="AE26" s="117"/>
      <c r="AF26" s="248" t="s">
        <v>3154</v>
      </c>
      <c r="AG26" s="248" t="s">
        <v>3154</v>
      </c>
      <c r="AH26" s="117"/>
      <c r="AI26" s="117">
        <v>16</v>
      </c>
      <c r="AJ26" s="117"/>
      <c r="AK26" s="135" t="str">
        <f t="shared" si="0"/>
        <v>--E16725300-1,25-1,05-2,3-----0,75-0,5------0,35-0,35-0,35---------</v>
      </c>
      <c r="AL26" s="186">
        <f>VLOOKUP(AK26,Planilha1!B:C,2,0)</f>
        <v>17</v>
      </c>
      <c r="AM26" s="184" t="s">
        <v>3165</v>
      </c>
    </row>
    <row r="27" spans="1:39" x14ac:dyDescent="0.3">
      <c r="C27" s="239" t="s">
        <v>3164</v>
      </c>
      <c r="D27" s="113"/>
      <c r="E27" s="200">
        <v>1.25</v>
      </c>
      <c r="F27" s="200">
        <v>1.05</v>
      </c>
      <c r="G27" s="200">
        <v>2.2999999999999998</v>
      </c>
      <c r="H27" s="142"/>
      <c r="I27" s="142"/>
      <c r="J27" s="142"/>
      <c r="K27" s="142"/>
      <c r="L27" s="251">
        <v>0.75</v>
      </c>
      <c r="M27" s="140">
        <v>0.5</v>
      </c>
      <c r="N27" s="116" t="s">
        <v>3176</v>
      </c>
      <c r="O27" s="116"/>
      <c r="P27" s="116"/>
      <c r="Q27" s="116"/>
      <c r="R27" s="116"/>
      <c r="S27" s="140">
        <v>0.35</v>
      </c>
      <c r="T27" s="140">
        <v>0.35</v>
      </c>
      <c r="U27" s="140">
        <v>0.35</v>
      </c>
      <c r="V27" s="140" t="s">
        <v>3176</v>
      </c>
      <c r="W27" s="140" t="s">
        <v>3176</v>
      </c>
      <c r="X27" s="251"/>
      <c r="Y27" s="116"/>
      <c r="Z27" s="116"/>
      <c r="AA27" s="116"/>
      <c r="AB27" s="116"/>
      <c r="AC27" s="116"/>
      <c r="AD27" s="116"/>
      <c r="AE27" s="116"/>
      <c r="AF27" s="248" t="s">
        <v>3154</v>
      </c>
      <c r="AG27" s="248" t="s">
        <v>3154</v>
      </c>
      <c r="AH27" s="117"/>
      <c r="AI27" s="117">
        <v>16</v>
      </c>
      <c r="AJ27" s="117">
        <v>2026</v>
      </c>
      <c r="AK27" s="135" t="str">
        <f t="shared" si="0"/>
        <v>--E16725300-1,25-1,05-2,3-----0,75-0,5------0,35-0,35-0,35---------</v>
      </c>
      <c r="AL27" s="186">
        <f>VLOOKUP(AK27,Planilha1!B:C,2,0)</f>
        <v>17</v>
      </c>
      <c r="AM27" s="181" t="s">
        <v>3177</v>
      </c>
    </row>
    <row r="28" spans="1:39" x14ac:dyDescent="0.3">
      <c r="C28" s="239" t="s">
        <v>3164</v>
      </c>
      <c r="D28" s="236"/>
      <c r="E28" s="239">
        <v>1.25</v>
      </c>
      <c r="F28" s="239">
        <v>1.05</v>
      </c>
      <c r="G28" s="200">
        <v>2.2999999999999998</v>
      </c>
      <c r="L28" s="51">
        <v>0.75</v>
      </c>
      <c r="M28" s="245">
        <v>0.5</v>
      </c>
      <c r="S28" s="51">
        <v>0.35</v>
      </c>
      <c r="T28" s="51">
        <v>0.35</v>
      </c>
      <c r="U28" s="51">
        <v>0.35</v>
      </c>
      <c r="V28" s="51"/>
      <c r="W28" s="51"/>
      <c r="X28" s="51"/>
      <c r="AF28" s="51" t="s">
        <v>3154</v>
      </c>
      <c r="AG28" s="51" t="s">
        <v>3154</v>
      </c>
      <c r="AI28" s="117">
        <v>16</v>
      </c>
      <c r="AJ28" s="117">
        <v>2026</v>
      </c>
      <c r="AK28" s="135" t="str">
        <f t="shared" si="0"/>
        <v>--E16725300-1,25-1,05-2,3-----0,75-0,5------0,35-0,35-0,35---------</v>
      </c>
      <c r="AL28" s="186">
        <f>VLOOKUP(AK28,Planilha1!B:C,2,0)</f>
        <v>17</v>
      </c>
      <c r="AM28" s="135" t="s">
        <v>3638</v>
      </c>
    </row>
    <row r="29" spans="1:39" x14ac:dyDescent="0.3">
      <c r="C29" s="239" t="s">
        <v>3164</v>
      </c>
      <c r="D29" s="113"/>
      <c r="E29" s="200">
        <v>1.25</v>
      </c>
      <c r="F29" s="200">
        <v>1.75</v>
      </c>
      <c r="G29" s="200">
        <v>3</v>
      </c>
      <c r="H29" s="142"/>
      <c r="I29" s="142"/>
      <c r="J29" s="142"/>
      <c r="K29" s="142"/>
      <c r="L29" s="248">
        <v>0.75</v>
      </c>
      <c r="M29" s="248">
        <v>0.5</v>
      </c>
      <c r="N29" s="117"/>
      <c r="O29" s="117"/>
      <c r="P29" s="117"/>
      <c r="Q29" s="117"/>
      <c r="R29" s="117"/>
      <c r="S29" s="248">
        <v>0.35</v>
      </c>
      <c r="T29" s="248">
        <v>0.35</v>
      </c>
      <c r="U29" s="248">
        <v>0.35</v>
      </c>
      <c r="V29" s="248">
        <v>0.35</v>
      </c>
      <c r="W29" s="248">
        <v>0.35</v>
      </c>
      <c r="X29" s="248"/>
      <c r="Y29" s="117"/>
      <c r="Z29" s="117"/>
      <c r="AA29" s="117"/>
      <c r="AB29" s="117"/>
      <c r="AC29" s="117"/>
      <c r="AD29" s="117"/>
      <c r="AE29" s="117"/>
      <c r="AF29" s="248" t="s">
        <v>3154</v>
      </c>
      <c r="AG29" s="248" t="s">
        <v>3154</v>
      </c>
      <c r="AH29" s="117"/>
      <c r="AI29" s="117">
        <v>16</v>
      </c>
      <c r="AJ29" s="117"/>
      <c r="AK29" s="135" t="str">
        <f t="shared" si="0"/>
        <v>--E16725300-1,25-1,75-3-----0,75-0,5------0,35-0,35-0,35-0,35-0,35-------</v>
      </c>
      <c r="AL29" s="186">
        <f>VLOOKUP(AK29,Planilha1!B:C,2,0)</f>
        <v>18</v>
      </c>
      <c r="AM29" s="184" t="s">
        <v>3165</v>
      </c>
    </row>
    <row r="30" spans="1:39" x14ac:dyDescent="0.3">
      <c r="C30" s="239" t="s">
        <v>3164</v>
      </c>
      <c r="D30" s="113"/>
      <c r="E30" s="200">
        <v>1.25</v>
      </c>
      <c r="F30" s="200">
        <v>1.75</v>
      </c>
      <c r="G30" s="200">
        <v>3</v>
      </c>
      <c r="H30" s="142"/>
      <c r="I30" s="142"/>
      <c r="J30" s="142"/>
      <c r="K30" s="142"/>
      <c r="L30" s="251">
        <v>0.75</v>
      </c>
      <c r="M30" s="140">
        <v>0.5</v>
      </c>
      <c r="N30" s="116" t="s">
        <v>3176</v>
      </c>
      <c r="O30" s="116"/>
      <c r="P30" s="116"/>
      <c r="Q30" s="116"/>
      <c r="R30" s="116"/>
      <c r="S30" s="140">
        <v>0.35</v>
      </c>
      <c r="T30" s="140">
        <v>0.35</v>
      </c>
      <c r="U30" s="140">
        <v>0.35</v>
      </c>
      <c r="V30" s="140">
        <v>0.35</v>
      </c>
      <c r="W30" s="140">
        <v>0.35</v>
      </c>
      <c r="X30" s="251"/>
      <c r="Y30" s="116"/>
      <c r="Z30" s="116"/>
      <c r="AA30" s="116"/>
      <c r="AB30" s="116"/>
      <c r="AC30" s="116"/>
      <c r="AD30" s="116"/>
      <c r="AE30" s="116"/>
      <c r="AF30" s="248" t="s">
        <v>3154</v>
      </c>
      <c r="AG30" s="248" t="s">
        <v>3154</v>
      </c>
      <c r="AH30" s="117"/>
      <c r="AI30" s="117">
        <v>16</v>
      </c>
      <c r="AJ30" s="117">
        <v>2026</v>
      </c>
      <c r="AK30" s="135" t="str">
        <f t="shared" si="0"/>
        <v>--E16725300-1,25-1,75-3-----0,75-0,5------0,35-0,35-0,35-0,35-0,35-------</v>
      </c>
      <c r="AL30" s="186">
        <f>VLOOKUP(AK30,Planilha1!B:C,2,0)</f>
        <v>18</v>
      </c>
      <c r="AM30" s="181" t="s">
        <v>3177</v>
      </c>
    </row>
    <row r="31" spans="1:39" x14ac:dyDescent="0.3">
      <c r="C31" s="239" t="s">
        <v>3164</v>
      </c>
      <c r="D31" s="236"/>
      <c r="E31" s="239">
        <v>1.25</v>
      </c>
      <c r="F31" s="239">
        <v>1.75</v>
      </c>
      <c r="G31" s="200">
        <v>3</v>
      </c>
      <c r="L31" s="51">
        <v>0.75</v>
      </c>
      <c r="M31" s="245">
        <v>0.5</v>
      </c>
      <c r="S31" s="51">
        <v>0.35</v>
      </c>
      <c r="T31" s="51">
        <v>0.35</v>
      </c>
      <c r="U31" s="51">
        <v>0.35</v>
      </c>
      <c r="V31" s="51">
        <v>0.35</v>
      </c>
      <c r="W31" s="51">
        <v>0.35</v>
      </c>
      <c r="X31" s="51"/>
      <c r="AF31" s="51" t="s">
        <v>3154</v>
      </c>
      <c r="AG31" s="51" t="s">
        <v>3154</v>
      </c>
      <c r="AI31" s="117">
        <v>16</v>
      </c>
      <c r="AJ31" s="117">
        <v>2026</v>
      </c>
      <c r="AK31" s="135" t="str">
        <f t="shared" si="0"/>
        <v>--E16725300-1,25-1,75-3-----0,75-0,5------0,35-0,35-0,35-0,35-0,35-------</v>
      </c>
      <c r="AL31" s="186">
        <f>VLOOKUP(AK31,Planilha1!B:C,2,0)</f>
        <v>18</v>
      </c>
      <c r="AM31" s="135" t="s">
        <v>3638</v>
      </c>
    </row>
    <row r="32" spans="1:39" x14ac:dyDescent="0.3">
      <c r="C32" s="239" t="s">
        <v>3164</v>
      </c>
      <c r="D32" s="113"/>
      <c r="E32" s="201">
        <v>1.25</v>
      </c>
      <c r="F32" s="201">
        <v>2.1</v>
      </c>
      <c r="G32" s="200">
        <v>3.35</v>
      </c>
      <c r="H32" s="142"/>
      <c r="I32" s="142"/>
      <c r="J32" s="142"/>
      <c r="K32" s="142"/>
      <c r="L32" s="248">
        <v>0.75</v>
      </c>
      <c r="M32" s="248">
        <v>0.5</v>
      </c>
      <c r="N32" s="117"/>
      <c r="O32" s="117"/>
      <c r="P32" s="117"/>
      <c r="Q32" s="117"/>
      <c r="R32" s="117"/>
      <c r="S32" s="248">
        <v>0.35</v>
      </c>
      <c r="T32" s="248">
        <v>0.35</v>
      </c>
      <c r="U32" s="248">
        <v>0.35</v>
      </c>
      <c r="V32" s="248">
        <v>0.35</v>
      </c>
      <c r="W32" s="248">
        <v>0.35</v>
      </c>
      <c r="X32" s="248">
        <v>0.35</v>
      </c>
      <c r="Y32" s="117"/>
      <c r="Z32" s="117"/>
      <c r="AA32" s="117"/>
      <c r="AB32" s="117"/>
      <c r="AC32" s="117"/>
      <c r="AD32" s="117"/>
      <c r="AE32" s="117"/>
      <c r="AF32" s="248" t="s">
        <v>3154</v>
      </c>
      <c r="AG32" s="248" t="s">
        <v>3154</v>
      </c>
      <c r="AH32" s="117"/>
      <c r="AI32" s="117">
        <v>16</v>
      </c>
      <c r="AJ32" s="117"/>
      <c r="AK32" s="135" t="str">
        <f t="shared" si="0"/>
        <v>--E16725300-1,25-2,1-3,35-----0,75-0,5------0,35-0,35-0,35-0,35-0,35-0,35------</v>
      </c>
      <c r="AL32" s="186">
        <f>VLOOKUP(AK32,Planilha1!B:C,2,0)</f>
        <v>19</v>
      </c>
      <c r="AM32" s="182" t="s">
        <v>3165</v>
      </c>
    </row>
    <row r="33" spans="3:39" x14ac:dyDescent="0.3">
      <c r="C33" s="239" t="s">
        <v>3164</v>
      </c>
      <c r="D33" s="236"/>
      <c r="E33" s="239">
        <v>1.25</v>
      </c>
      <c r="F33" s="239">
        <v>2.1</v>
      </c>
      <c r="G33" s="200">
        <v>3.35</v>
      </c>
      <c r="H33" s="236"/>
      <c r="I33" s="236"/>
      <c r="J33" s="236"/>
      <c r="K33" s="236"/>
      <c r="L33" s="239">
        <v>0.75</v>
      </c>
      <c r="M33" s="249">
        <v>0.5</v>
      </c>
      <c r="N33" s="236"/>
      <c r="O33" s="236"/>
      <c r="S33" s="51">
        <v>0.35</v>
      </c>
      <c r="T33" s="51">
        <v>0.35</v>
      </c>
      <c r="U33" s="51">
        <v>0.35</v>
      </c>
      <c r="V33" s="51">
        <v>0.35</v>
      </c>
      <c r="W33" s="51">
        <v>0.35</v>
      </c>
      <c r="X33" s="51">
        <v>0.35</v>
      </c>
      <c r="AF33" s="51" t="s">
        <v>3154</v>
      </c>
      <c r="AG33" s="51" t="s">
        <v>3154</v>
      </c>
      <c r="AI33" s="117">
        <v>16</v>
      </c>
      <c r="AJ33" s="117">
        <v>2026</v>
      </c>
      <c r="AK33" s="135" t="str">
        <f t="shared" si="0"/>
        <v>--E16725300-1,25-2,1-3,35-----0,75-0,5------0,35-0,35-0,35-0,35-0,35-0,35------</v>
      </c>
      <c r="AL33" s="186">
        <f>VLOOKUP(AK33,Planilha1!B:C,2,0)</f>
        <v>19</v>
      </c>
      <c r="AM33" s="135" t="s">
        <v>3638</v>
      </c>
    </row>
    <row r="34" spans="3:39" x14ac:dyDescent="0.3">
      <c r="C34" s="239" t="s">
        <v>3164</v>
      </c>
      <c r="D34" s="113"/>
      <c r="E34" s="200">
        <v>0.5</v>
      </c>
      <c r="F34" s="200">
        <v>3</v>
      </c>
      <c r="G34" s="200">
        <v>3.5</v>
      </c>
      <c r="H34" s="142"/>
      <c r="I34" s="142"/>
      <c r="J34" s="142"/>
      <c r="K34" s="142"/>
      <c r="L34" s="248">
        <v>0.5</v>
      </c>
      <c r="M34" s="248"/>
      <c r="N34" s="248"/>
      <c r="O34" s="248"/>
      <c r="P34" s="248"/>
      <c r="Q34" s="117"/>
      <c r="R34" s="117"/>
      <c r="S34" s="248">
        <v>2.5</v>
      </c>
      <c r="T34" s="248">
        <v>0.5</v>
      </c>
      <c r="U34" s="248"/>
      <c r="V34" s="248"/>
      <c r="W34" s="117"/>
      <c r="X34" s="117"/>
      <c r="Y34" s="117"/>
      <c r="Z34" s="248"/>
      <c r="AA34" s="117"/>
      <c r="AB34" s="117"/>
      <c r="AC34" s="117"/>
      <c r="AD34" s="117"/>
      <c r="AE34" s="117"/>
      <c r="AF34" s="248" t="s">
        <v>3154</v>
      </c>
      <c r="AG34" s="248" t="s">
        <v>3154</v>
      </c>
      <c r="AH34" s="117"/>
      <c r="AI34" s="117">
        <v>16</v>
      </c>
      <c r="AJ34" s="117"/>
      <c r="AK34" s="135" t="str">
        <f t="shared" si="0"/>
        <v>--E16725300-0,5-3-3,5-----0,5-------2,5-0,5----------</v>
      </c>
      <c r="AL34" s="186">
        <f>VLOOKUP(AK34,Planilha1!B:C,2,0)</f>
        <v>20</v>
      </c>
      <c r="AM34" s="182" t="s">
        <v>3165</v>
      </c>
    </row>
    <row r="35" spans="3:39" x14ac:dyDescent="0.3">
      <c r="C35" s="239" t="s">
        <v>3153</v>
      </c>
      <c r="D35" s="113"/>
      <c r="E35" s="200">
        <v>0.35</v>
      </c>
      <c r="F35" s="200">
        <v>0.7</v>
      </c>
      <c r="G35" s="200">
        <v>1.05</v>
      </c>
      <c r="H35" s="143"/>
      <c r="I35" s="143"/>
      <c r="J35" s="143"/>
      <c r="K35" s="143"/>
      <c r="L35" s="118">
        <v>0.35</v>
      </c>
      <c r="M35" s="122"/>
      <c r="N35" s="118"/>
      <c r="O35" s="118"/>
      <c r="P35" s="118"/>
      <c r="Q35" s="118"/>
      <c r="R35" s="118"/>
      <c r="S35" s="122">
        <v>0.35</v>
      </c>
      <c r="T35" s="122">
        <v>0.35</v>
      </c>
      <c r="U35" s="122"/>
      <c r="V35" s="122"/>
      <c r="W35" s="122"/>
      <c r="X35" s="118"/>
      <c r="Y35" s="118"/>
      <c r="Z35" s="118"/>
      <c r="AA35" s="118"/>
      <c r="AB35" s="118"/>
      <c r="AC35" s="118"/>
      <c r="AD35" s="118"/>
      <c r="AE35" s="118"/>
      <c r="AF35" s="118"/>
      <c r="AG35" s="118" t="s">
        <v>3154</v>
      </c>
      <c r="AH35" s="118"/>
      <c r="AI35" s="118">
        <v>8</v>
      </c>
      <c r="AJ35" s="118"/>
      <c r="AK35" s="135" t="str">
        <f t="shared" si="0"/>
        <v>--3299362G2-0,35-0,7-1,05-----0,35-------0,35-0,35----------</v>
      </c>
      <c r="AL35" s="186">
        <f>VLOOKUP(AK35,Planilha1!B:C,2,0)</f>
        <v>21</v>
      </c>
      <c r="AM35" s="179" t="s">
        <v>3167</v>
      </c>
    </row>
    <row r="36" spans="3:39" x14ac:dyDescent="0.3">
      <c r="C36" s="239" t="s">
        <v>3153</v>
      </c>
      <c r="D36" s="113"/>
      <c r="E36" s="200">
        <v>2.85</v>
      </c>
      <c r="F36" s="200">
        <v>4</v>
      </c>
      <c r="G36" s="200">
        <v>6.85</v>
      </c>
      <c r="H36" s="142"/>
      <c r="I36" s="142"/>
      <c r="J36" s="142"/>
      <c r="K36" s="142"/>
      <c r="L36" s="117">
        <v>0.35</v>
      </c>
      <c r="M36" s="148">
        <v>2.5</v>
      </c>
      <c r="N36" s="117"/>
      <c r="O36" s="117"/>
      <c r="P36" s="117"/>
      <c r="Q36" s="117"/>
      <c r="R36" s="117"/>
      <c r="S36" s="148">
        <v>2.5</v>
      </c>
      <c r="T36" s="148">
        <v>0.5</v>
      </c>
      <c r="U36" s="148">
        <v>1</v>
      </c>
      <c r="V36" s="148"/>
      <c r="W36" s="148"/>
      <c r="X36" s="117"/>
      <c r="Y36" s="117"/>
      <c r="Z36" s="117"/>
      <c r="AA36" s="117"/>
      <c r="AB36" s="117"/>
      <c r="AC36" s="117"/>
      <c r="AD36" s="117"/>
      <c r="AE36" s="117"/>
      <c r="AF36" s="117" t="s">
        <v>3154</v>
      </c>
      <c r="AG36" s="117" t="s">
        <v>3154</v>
      </c>
      <c r="AH36" s="117"/>
      <c r="AI36" s="117">
        <v>16</v>
      </c>
      <c r="AJ36" s="117"/>
      <c r="AK36" s="135" t="str">
        <f t="shared" si="0"/>
        <v>--3299362G2-2,85-4-6,85-----0,35-2,5------2,5-0,5-1---------</v>
      </c>
      <c r="AL36" s="186">
        <f>VLOOKUP(AK36,Planilha1!B:C,2,0)</f>
        <v>22</v>
      </c>
      <c r="AM36" s="182" t="s">
        <v>3167</v>
      </c>
    </row>
    <row r="37" spans="3:39" x14ac:dyDescent="0.3">
      <c r="C37" s="122" t="s">
        <v>3168</v>
      </c>
      <c r="D37" s="120"/>
      <c r="E37" s="200">
        <v>0.35</v>
      </c>
      <c r="F37" s="200">
        <v>1.05</v>
      </c>
      <c r="G37" s="200">
        <v>1.4</v>
      </c>
      <c r="H37" s="143"/>
      <c r="I37" s="143"/>
      <c r="J37" s="143"/>
      <c r="K37" s="143"/>
      <c r="L37" s="118">
        <v>0.35</v>
      </c>
      <c r="M37" s="122"/>
      <c r="N37" s="118"/>
      <c r="O37" s="118"/>
      <c r="P37" s="118"/>
      <c r="Q37" s="118"/>
      <c r="R37" s="118"/>
      <c r="S37" s="122">
        <v>0.35</v>
      </c>
      <c r="T37" s="122">
        <v>0.35</v>
      </c>
      <c r="U37" s="122">
        <v>0.35</v>
      </c>
      <c r="V37" s="122"/>
      <c r="W37" s="122"/>
      <c r="X37" s="118"/>
      <c r="Y37" s="118"/>
      <c r="Z37" s="118"/>
      <c r="AA37" s="118"/>
      <c r="AB37" s="118"/>
      <c r="AC37" s="118"/>
      <c r="AD37" s="118"/>
      <c r="AE37" s="118"/>
      <c r="AF37" s="118"/>
      <c r="AG37" s="118" t="s">
        <v>3154</v>
      </c>
      <c r="AH37" s="118"/>
      <c r="AI37" s="118">
        <v>8</v>
      </c>
      <c r="AJ37" s="118"/>
      <c r="AK37" s="135" t="str">
        <f t="shared" si="0"/>
        <v>--E02000700-0,35-1,05-1,4-----0,35-------0,35-0,35-0,35---------</v>
      </c>
      <c r="AL37" s="186">
        <f>VLOOKUP(AK37,Planilha1!B:C,2,0)</f>
        <v>23</v>
      </c>
      <c r="AM37" s="179" t="s">
        <v>3169</v>
      </c>
    </row>
    <row r="38" spans="3:39" x14ac:dyDescent="0.3">
      <c r="C38" s="122" t="s">
        <v>3168</v>
      </c>
      <c r="D38" s="120"/>
      <c r="E38" s="200">
        <v>0.35</v>
      </c>
      <c r="F38" s="200">
        <v>0.7</v>
      </c>
      <c r="G38" s="200">
        <v>1.05</v>
      </c>
      <c r="H38" s="143"/>
      <c r="I38" s="143"/>
      <c r="J38" s="143"/>
      <c r="K38" s="143"/>
      <c r="L38" s="118">
        <v>0.35</v>
      </c>
      <c r="M38" s="122"/>
      <c r="N38" s="118"/>
      <c r="O38" s="118"/>
      <c r="P38" s="118"/>
      <c r="Q38" s="118"/>
      <c r="R38" s="118"/>
      <c r="S38" s="122">
        <v>0.35</v>
      </c>
      <c r="T38" s="122">
        <v>0.35</v>
      </c>
      <c r="U38" s="122"/>
      <c r="V38" s="122"/>
      <c r="W38" s="122"/>
      <c r="X38" s="118"/>
      <c r="Y38" s="118"/>
      <c r="Z38" s="118"/>
      <c r="AA38" s="118"/>
      <c r="AB38" s="118"/>
      <c r="AC38" s="118"/>
      <c r="AD38" s="118"/>
      <c r="AE38" s="118"/>
      <c r="AF38" s="118"/>
      <c r="AG38" s="118" t="s">
        <v>3154</v>
      </c>
      <c r="AH38" s="118"/>
      <c r="AI38" s="118">
        <v>8</v>
      </c>
      <c r="AJ38" s="118"/>
      <c r="AK38" s="135" t="str">
        <f t="shared" si="0"/>
        <v>--E02000700-0,35-0,7-1,05-----0,35-------0,35-0,35----------</v>
      </c>
      <c r="AL38" s="186">
        <f>VLOOKUP(AK38,Planilha1!B:C,2,0)</f>
        <v>24</v>
      </c>
      <c r="AM38" s="179" t="s">
        <v>3169</v>
      </c>
    </row>
    <row r="39" spans="3:39" x14ac:dyDescent="0.3">
      <c r="C39" s="239" t="s">
        <v>3168</v>
      </c>
      <c r="D39" s="113"/>
      <c r="E39" s="200">
        <v>1.05</v>
      </c>
      <c r="F39" s="200">
        <v>1.05</v>
      </c>
      <c r="G39" s="200">
        <v>2.1</v>
      </c>
      <c r="H39" s="144"/>
      <c r="I39" s="144"/>
      <c r="J39" s="144"/>
      <c r="K39" s="144"/>
      <c r="L39" s="243">
        <v>0.35</v>
      </c>
      <c r="M39" s="122">
        <v>0.35</v>
      </c>
      <c r="N39" s="243">
        <v>0.35</v>
      </c>
      <c r="O39" s="243"/>
      <c r="P39" s="243"/>
      <c r="Q39" s="118"/>
      <c r="R39" s="118"/>
      <c r="S39" s="122">
        <v>0.35</v>
      </c>
      <c r="T39" s="122">
        <v>0.35</v>
      </c>
      <c r="U39" s="122">
        <v>0.35</v>
      </c>
      <c r="V39" s="122"/>
      <c r="W39" s="122"/>
      <c r="X39" s="118"/>
      <c r="Y39" s="118"/>
      <c r="Z39" s="118"/>
      <c r="AA39" s="118"/>
      <c r="AB39" s="118"/>
      <c r="AC39" s="118"/>
      <c r="AD39" s="118"/>
      <c r="AE39" s="118"/>
      <c r="AF39" s="118"/>
      <c r="AG39" s="118" t="s">
        <v>3154</v>
      </c>
      <c r="AH39" s="118"/>
      <c r="AI39" s="118">
        <v>8</v>
      </c>
      <c r="AJ39" s="118"/>
      <c r="AK39" s="135" t="str">
        <f t="shared" si="0"/>
        <v>--E02000700-1,05-1,05-2,1-----0,35-0,35-0,35-----0,35-0,35-0,35---------</v>
      </c>
      <c r="AL39" s="186">
        <f>VLOOKUP(AK39,Planilha1!B:C,2,0)</f>
        <v>25</v>
      </c>
      <c r="AM39" s="184" t="s">
        <v>3170</v>
      </c>
    </row>
    <row r="40" spans="3:39" x14ac:dyDescent="0.3">
      <c r="C40" s="239" t="s">
        <v>3168</v>
      </c>
      <c r="D40" s="113"/>
      <c r="E40" s="200">
        <v>1.05</v>
      </c>
      <c r="F40" s="200">
        <v>0.35</v>
      </c>
      <c r="G40" s="200">
        <v>1.4</v>
      </c>
      <c r="H40" s="144"/>
      <c r="I40" s="144"/>
      <c r="J40" s="144"/>
      <c r="K40" s="144"/>
      <c r="L40" s="243">
        <v>0.35</v>
      </c>
      <c r="M40" s="122">
        <v>0.35</v>
      </c>
      <c r="N40" s="243">
        <v>0.35</v>
      </c>
      <c r="O40" s="243"/>
      <c r="P40" s="243"/>
      <c r="Q40" s="118"/>
      <c r="R40" s="118"/>
      <c r="S40" s="122">
        <v>0.35</v>
      </c>
      <c r="T40" s="122"/>
      <c r="U40" s="122"/>
      <c r="V40" s="122"/>
      <c r="W40" s="122"/>
      <c r="X40" s="118"/>
      <c r="Y40" s="118"/>
      <c r="Z40" s="118"/>
      <c r="AA40" s="118"/>
      <c r="AB40" s="118"/>
      <c r="AC40" s="118"/>
      <c r="AD40" s="118"/>
      <c r="AE40" s="118"/>
      <c r="AF40" s="118"/>
      <c r="AG40" s="118" t="s">
        <v>3154</v>
      </c>
      <c r="AH40" s="118"/>
      <c r="AI40" s="118">
        <v>8</v>
      </c>
      <c r="AJ40" s="118"/>
      <c r="AK40" s="135" t="str">
        <f t="shared" si="0"/>
        <v>--E02000700-1,05-0,35-1,4-----0,35-0,35-0,35-----0,35-----------</v>
      </c>
      <c r="AL40" s="186">
        <f>VLOOKUP(AK40,Planilha1!B:C,2,0)</f>
        <v>26</v>
      </c>
      <c r="AM40" s="184" t="s">
        <v>3170</v>
      </c>
    </row>
    <row r="41" spans="3:39" x14ac:dyDescent="0.3">
      <c r="C41" s="239" t="s">
        <v>3168</v>
      </c>
      <c r="D41" s="113"/>
      <c r="E41" s="200">
        <v>1.4</v>
      </c>
      <c r="F41" s="200">
        <v>0.7</v>
      </c>
      <c r="G41" s="200">
        <v>2.1</v>
      </c>
      <c r="H41" s="144"/>
      <c r="I41" s="144"/>
      <c r="J41" s="144"/>
      <c r="K41" s="144"/>
      <c r="L41" s="243">
        <v>0.35</v>
      </c>
      <c r="M41" s="122">
        <v>0.35</v>
      </c>
      <c r="N41" s="243">
        <v>0.35</v>
      </c>
      <c r="O41" s="243">
        <v>0.35</v>
      </c>
      <c r="P41" s="118"/>
      <c r="Q41" s="118"/>
      <c r="R41" s="118"/>
      <c r="S41" s="122">
        <v>0.35</v>
      </c>
      <c r="T41" s="122">
        <v>0.35</v>
      </c>
      <c r="U41" s="122"/>
      <c r="V41" s="122"/>
      <c r="W41" s="122"/>
      <c r="X41" s="118"/>
      <c r="Y41" s="118"/>
      <c r="Z41" s="118"/>
      <c r="AA41" s="118"/>
      <c r="AB41" s="118"/>
      <c r="AC41" s="118"/>
      <c r="AD41" s="118"/>
      <c r="AE41" s="118"/>
      <c r="AF41" s="118"/>
      <c r="AG41" s="118" t="s">
        <v>3154</v>
      </c>
      <c r="AH41" s="118"/>
      <c r="AI41" s="118">
        <v>8</v>
      </c>
      <c r="AJ41" s="118"/>
      <c r="AK41" s="135" t="str">
        <f t="shared" si="0"/>
        <v>--E02000700-1,4-0,7-2,1-----0,35-0,35-0,35-0,35----0,35-0,35----------</v>
      </c>
      <c r="AL41" s="186">
        <f>VLOOKUP(AK41,Planilha1!B:C,2,0)</f>
        <v>27</v>
      </c>
      <c r="AM41" s="185" t="s">
        <v>3170</v>
      </c>
    </row>
    <row r="42" spans="3:39" x14ac:dyDescent="0.3">
      <c r="C42" s="239" t="s">
        <v>3168</v>
      </c>
      <c r="D42" s="113"/>
      <c r="E42" s="200">
        <v>0.5</v>
      </c>
      <c r="F42" s="200">
        <v>1.25</v>
      </c>
      <c r="G42" s="200">
        <v>1.75</v>
      </c>
      <c r="H42" s="144"/>
      <c r="I42" s="144"/>
      <c r="J42" s="144"/>
      <c r="K42" s="144"/>
      <c r="L42" s="144">
        <v>0.5</v>
      </c>
      <c r="M42" s="120"/>
      <c r="N42" s="144"/>
      <c r="O42" s="252"/>
      <c r="P42" s="252"/>
      <c r="Q42" s="121"/>
      <c r="R42" s="121"/>
      <c r="S42" s="120">
        <v>0.5</v>
      </c>
      <c r="T42" s="120">
        <v>0.75</v>
      </c>
      <c r="U42" s="120"/>
      <c r="V42" s="120"/>
      <c r="W42" s="244"/>
      <c r="X42" s="121"/>
      <c r="Y42" s="121"/>
      <c r="Z42" s="121"/>
      <c r="AA42" s="121"/>
      <c r="AB42" s="121"/>
      <c r="AC42" s="121"/>
      <c r="AD42" s="121"/>
      <c r="AE42" s="121"/>
      <c r="AF42" s="121"/>
      <c r="AG42" s="118" t="s">
        <v>3154</v>
      </c>
      <c r="AH42" s="118"/>
      <c r="AI42" s="118">
        <v>8</v>
      </c>
      <c r="AJ42" s="118"/>
      <c r="AK42" s="135" t="str">
        <f t="shared" si="0"/>
        <v>--E02000700-0,5-1,25-1,75-----0,5-------0,5-0,75----------</v>
      </c>
      <c r="AL42" s="186">
        <f>VLOOKUP(AK42,Planilha1!B:C,2,0)</f>
        <v>28</v>
      </c>
      <c r="AM42" s="179" t="s">
        <v>3171</v>
      </c>
    </row>
    <row r="43" spans="3:39" x14ac:dyDescent="0.3">
      <c r="C43" s="239" t="s">
        <v>3168</v>
      </c>
      <c r="D43" s="113"/>
      <c r="E43" s="200">
        <v>1</v>
      </c>
      <c r="F43" s="200">
        <v>0.5</v>
      </c>
      <c r="G43" s="200">
        <v>1.5</v>
      </c>
      <c r="H43" s="144"/>
      <c r="I43" s="144"/>
      <c r="J43" s="144"/>
      <c r="K43" s="144"/>
      <c r="L43" s="144">
        <v>0.5</v>
      </c>
      <c r="M43" s="120">
        <v>0.5</v>
      </c>
      <c r="N43" s="144"/>
      <c r="O43" s="252"/>
      <c r="P43" s="252"/>
      <c r="Q43" s="121"/>
      <c r="R43" s="121"/>
      <c r="S43" s="120">
        <v>0.5</v>
      </c>
      <c r="T43" s="120"/>
      <c r="U43" s="120"/>
      <c r="V43" s="120"/>
      <c r="W43" s="244"/>
      <c r="X43" s="121"/>
      <c r="Y43" s="121"/>
      <c r="Z43" s="121"/>
      <c r="AA43" s="121"/>
      <c r="AB43" s="121"/>
      <c r="AC43" s="121"/>
      <c r="AD43" s="121"/>
      <c r="AE43" s="121"/>
      <c r="AF43" s="121"/>
      <c r="AG43" s="118" t="s">
        <v>3154</v>
      </c>
      <c r="AH43" s="118"/>
      <c r="AI43" s="118">
        <v>8</v>
      </c>
      <c r="AJ43" s="118"/>
      <c r="AK43" s="135" t="str">
        <f t="shared" si="0"/>
        <v>--E02000700-1-0,5-1,5-----0,5-0,5------0,5-----------</v>
      </c>
      <c r="AL43" s="186">
        <f>VLOOKUP(AK43,Planilha1!B:C,2,0)</f>
        <v>29</v>
      </c>
      <c r="AM43" s="179" t="s">
        <v>3171</v>
      </c>
    </row>
    <row r="44" spans="3:39" x14ac:dyDescent="0.3">
      <c r="C44" s="239" t="s">
        <v>3168</v>
      </c>
      <c r="D44" s="113"/>
      <c r="E44" s="200">
        <v>1.05</v>
      </c>
      <c r="F44" s="200">
        <v>1.4</v>
      </c>
      <c r="G44" s="200">
        <v>2.4500000000000002</v>
      </c>
      <c r="H44" s="144"/>
      <c r="I44" s="144"/>
      <c r="J44" s="144"/>
      <c r="K44" s="144"/>
      <c r="L44" s="144">
        <v>0.35</v>
      </c>
      <c r="M44" s="120">
        <v>0.35</v>
      </c>
      <c r="N44" s="144">
        <v>0.35</v>
      </c>
      <c r="O44" s="252"/>
      <c r="P44" s="252"/>
      <c r="Q44" s="121"/>
      <c r="R44" s="121"/>
      <c r="S44" s="120">
        <v>0.35</v>
      </c>
      <c r="T44" s="120">
        <v>0.35</v>
      </c>
      <c r="U44" s="120">
        <v>0.35</v>
      </c>
      <c r="V44" s="120">
        <v>0.35</v>
      </c>
      <c r="W44" s="244"/>
      <c r="X44" s="121"/>
      <c r="Y44" s="121"/>
      <c r="Z44" s="121"/>
      <c r="AA44" s="121"/>
      <c r="AB44" s="121"/>
      <c r="AC44" s="121"/>
      <c r="AD44" s="121"/>
      <c r="AE44" s="121"/>
      <c r="AF44" s="121"/>
      <c r="AG44" s="118" t="s">
        <v>3154</v>
      </c>
      <c r="AH44" s="118"/>
      <c r="AI44" s="118">
        <v>8</v>
      </c>
      <c r="AJ44" s="118"/>
      <c r="AK44" s="135" t="str">
        <f t="shared" si="0"/>
        <v>--E02000700-1,05-1,4-2,45-----0,35-0,35-0,35-----0,35-0,35-0,35-0,35--------</v>
      </c>
      <c r="AL44" s="186">
        <f>VLOOKUP(AK44,Planilha1!B:C,2,0)</f>
        <v>30</v>
      </c>
      <c r="AM44" s="184" t="s">
        <v>3171</v>
      </c>
    </row>
    <row r="45" spans="3:39" x14ac:dyDescent="0.3">
      <c r="C45" s="239" t="s">
        <v>3168</v>
      </c>
      <c r="D45" s="113"/>
      <c r="E45" s="200">
        <v>1</v>
      </c>
      <c r="F45" s="200">
        <v>0.5</v>
      </c>
      <c r="G45" s="200">
        <v>1.5</v>
      </c>
      <c r="H45" s="243"/>
      <c r="I45" s="243"/>
      <c r="J45" s="243"/>
      <c r="K45" s="243"/>
      <c r="L45" s="243">
        <v>0.5</v>
      </c>
      <c r="M45" s="122">
        <v>0.5</v>
      </c>
      <c r="N45" s="243"/>
      <c r="O45" s="243" t="s">
        <v>3172</v>
      </c>
      <c r="P45" s="243"/>
      <c r="Q45" s="118"/>
      <c r="R45" s="118"/>
      <c r="S45" s="122">
        <v>0.5</v>
      </c>
      <c r="T45" s="122"/>
      <c r="U45" s="122"/>
      <c r="V45" s="122"/>
      <c r="W45" s="122"/>
      <c r="X45" s="123"/>
      <c r="Y45" s="123"/>
      <c r="Z45" s="123"/>
      <c r="AA45" s="123"/>
      <c r="AB45" s="123"/>
      <c r="AC45" s="123"/>
      <c r="AD45" s="123"/>
      <c r="AE45" s="123"/>
      <c r="AF45" s="118"/>
      <c r="AG45" s="118" t="s">
        <v>3154</v>
      </c>
      <c r="AH45" s="118"/>
      <c r="AI45" s="118">
        <v>8</v>
      </c>
      <c r="AJ45" s="118">
        <v>2026</v>
      </c>
      <c r="AK45" s="135" t="str">
        <f t="shared" si="0"/>
        <v>--E02000700-1-0,5-1,5-----0,5-0,5-- ----0,5-----------</v>
      </c>
      <c r="AL45" s="186">
        <f>VLOOKUP(AK45,Planilha1!B:C,2,0)</f>
        <v>31</v>
      </c>
      <c r="AM45" s="181" t="s">
        <v>3174</v>
      </c>
    </row>
    <row r="46" spans="3:39" x14ac:dyDescent="0.3">
      <c r="C46" s="239" t="s">
        <v>3168</v>
      </c>
      <c r="D46" s="113"/>
      <c r="E46" s="200">
        <v>1250</v>
      </c>
      <c r="F46" s="200">
        <v>0.5</v>
      </c>
      <c r="G46" s="200">
        <v>1.75</v>
      </c>
      <c r="H46" s="142"/>
      <c r="I46" s="142"/>
      <c r="J46" s="142"/>
      <c r="K46" s="142"/>
      <c r="L46" s="251">
        <v>0.5</v>
      </c>
      <c r="M46" s="215">
        <v>0.75</v>
      </c>
      <c r="N46" s="251"/>
      <c r="O46" s="251"/>
      <c r="P46" s="251"/>
      <c r="Q46" s="116"/>
      <c r="R46" s="116"/>
      <c r="S46" s="215">
        <v>0.5</v>
      </c>
      <c r="T46" s="215"/>
      <c r="U46" s="215"/>
      <c r="V46" s="215"/>
      <c r="W46" s="215"/>
      <c r="X46" s="116"/>
      <c r="Y46" s="116"/>
      <c r="Z46" s="116"/>
      <c r="AA46" s="116"/>
      <c r="AB46" s="116"/>
      <c r="AC46" s="116"/>
      <c r="AD46" s="116"/>
      <c r="AE46" s="116"/>
      <c r="AF46" s="117" t="s">
        <v>3154</v>
      </c>
      <c r="AG46" s="117" t="s">
        <v>3154</v>
      </c>
      <c r="AH46" s="117"/>
      <c r="AI46" s="117">
        <v>16</v>
      </c>
      <c r="AJ46" s="117">
        <v>2026</v>
      </c>
      <c r="AK46" s="135" t="str">
        <f t="shared" si="0"/>
        <v>--E02000700-1250-0,5-1,75-----0,5-0,75------0,5-----------</v>
      </c>
      <c r="AL46" s="186">
        <f>VLOOKUP(AK46,Planilha1!B:C,2,0)</f>
        <v>32</v>
      </c>
      <c r="AM46" s="181" t="s">
        <v>3175</v>
      </c>
    </row>
    <row r="47" spans="3:39" x14ac:dyDescent="0.3">
      <c r="C47" s="239" t="s">
        <v>3176</v>
      </c>
      <c r="D47" s="113"/>
      <c r="E47" s="200">
        <v>0</v>
      </c>
      <c r="F47" s="200">
        <v>0.35</v>
      </c>
      <c r="G47" s="200">
        <v>0.35</v>
      </c>
      <c r="H47" s="140"/>
      <c r="I47" s="140"/>
      <c r="J47" s="140"/>
      <c r="K47" s="140"/>
      <c r="L47" s="116" t="s">
        <v>3176</v>
      </c>
      <c r="M47" s="136" t="s">
        <v>3176</v>
      </c>
      <c r="N47" s="116" t="s">
        <v>3176</v>
      </c>
      <c r="O47" s="116"/>
      <c r="P47" s="116"/>
      <c r="Q47" s="116"/>
      <c r="R47" s="116"/>
      <c r="S47" s="136">
        <v>0.35</v>
      </c>
      <c r="T47" s="136" t="s">
        <v>3176</v>
      </c>
      <c r="U47" s="136" t="s">
        <v>3176</v>
      </c>
      <c r="V47" s="136" t="s">
        <v>3176</v>
      </c>
      <c r="W47" s="136" t="s">
        <v>3176</v>
      </c>
      <c r="X47" s="116"/>
      <c r="Y47" s="116"/>
      <c r="Z47" s="116"/>
      <c r="AA47" s="116"/>
      <c r="AB47" s="116"/>
      <c r="AC47" s="116"/>
      <c r="AD47" s="116"/>
      <c r="AE47" s="116"/>
      <c r="AF47" s="117" t="s">
        <v>3154</v>
      </c>
      <c r="AG47" s="117" t="s">
        <v>3154</v>
      </c>
      <c r="AH47" s="117"/>
      <c r="AI47" s="117">
        <v>16</v>
      </c>
      <c r="AJ47" s="117">
        <v>2026</v>
      </c>
      <c r="AK47" s="135" t="str">
        <f t="shared" si="0"/>
        <v>---0-0,35-0,35------------0,35-----------</v>
      </c>
      <c r="AL47" s="186">
        <f>VLOOKUP(AK47,Planilha1!B:C,2,0)</f>
        <v>33</v>
      </c>
      <c r="AM47" s="180" t="s">
        <v>3177</v>
      </c>
    </row>
    <row r="48" spans="3:39" x14ac:dyDescent="0.3">
      <c r="C48" s="239" t="s">
        <v>3156</v>
      </c>
      <c r="D48" s="113"/>
      <c r="E48" s="200">
        <v>1.25</v>
      </c>
      <c r="F48" s="200">
        <v>0.5</v>
      </c>
      <c r="G48" s="200">
        <v>1.75</v>
      </c>
      <c r="H48" s="142"/>
      <c r="I48" s="142"/>
      <c r="J48" s="142"/>
      <c r="K48" s="142"/>
      <c r="L48" s="251">
        <v>0.75</v>
      </c>
      <c r="M48" s="136">
        <v>0.5</v>
      </c>
      <c r="N48" s="251" t="s">
        <v>3176</v>
      </c>
      <c r="O48" s="251"/>
      <c r="P48" s="251"/>
      <c r="Q48" s="116"/>
      <c r="R48" s="116"/>
      <c r="S48" s="136">
        <v>0.5</v>
      </c>
      <c r="T48" s="136" t="s">
        <v>3176</v>
      </c>
      <c r="U48" s="136" t="s">
        <v>3176</v>
      </c>
      <c r="V48" s="136" t="s">
        <v>3176</v>
      </c>
      <c r="W48" s="136" t="s">
        <v>3176</v>
      </c>
      <c r="X48" s="116"/>
      <c r="Y48" s="116"/>
      <c r="Z48" s="251"/>
      <c r="AA48" s="116"/>
      <c r="AB48" s="116"/>
      <c r="AC48" s="116"/>
      <c r="AD48" s="116"/>
      <c r="AE48" s="116"/>
      <c r="AF48" s="248" t="s">
        <v>3154</v>
      </c>
      <c r="AG48" s="248" t="s">
        <v>3154</v>
      </c>
      <c r="AH48" s="117"/>
      <c r="AI48" s="117">
        <v>16</v>
      </c>
      <c r="AJ48" s="117">
        <v>2026</v>
      </c>
      <c r="AK48" s="135" t="str">
        <f t="shared" si="0"/>
        <v>--E16718500-1,25-0,5-1,75-----0,75-0,5------0,5-----------</v>
      </c>
      <c r="AL48" s="186">
        <f>VLOOKUP(AK48,Planilha1!B:C,2,0)</f>
        <v>34</v>
      </c>
      <c r="AM48" s="181" t="s">
        <v>3177</v>
      </c>
    </row>
    <row r="49" spans="1:39" x14ac:dyDescent="0.3">
      <c r="C49" s="239" t="s">
        <v>3156</v>
      </c>
      <c r="D49" s="113"/>
      <c r="E49" s="200">
        <v>0.75</v>
      </c>
      <c r="F49" s="200">
        <v>1</v>
      </c>
      <c r="G49" s="200">
        <v>1.75</v>
      </c>
      <c r="H49" s="142"/>
      <c r="I49" s="142"/>
      <c r="J49" s="142"/>
      <c r="K49" s="142"/>
      <c r="L49" s="251">
        <v>0.75</v>
      </c>
      <c r="M49" s="136" t="s">
        <v>3176</v>
      </c>
      <c r="N49" s="251" t="s">
        <v>3176</v>
      </c>
      <c r="O49" s="251"/>
      <c r="P49" s="251"/>
      <c r="Q49" s="251"/>
      <c r="R49" s="116"/>
      <c r="S49" s="136">
        <v>0.5</v>
      </c>
      <c r="T49" s="136">
        <v>0.5</v>
      </c>
      <c r="U49" s="136" t="s">
        <v>3176</v>
      </c>
      <c r="V49" s="136" t="s">
        <v>3176</v>
      </c>
      <c r="W49" s="136" t="s">
        <v>3176</v>
      </c>
      <c r="X49" s="251"/>
      <c r="Y49" s="116"/>
      <c r="Z49" s="116"/>
      <c r="AA49" s="116"/>
      <c r="AB49" s="116"/>
      <c r="AC49" s="116"/>
      <c r="AD49" s="116"/>
      <c r="AE49" s="116"/>
      <c r="AF49" s="248" t="s">
        <v>3154</v>
      </c>
      <c r="AG49" s="248" t="s">
        <v>3154</v>
      </c>
      <c r="AH49" s="117"/>
      <c r="AI49" s="117">
        <v>16</v>
      </c>
      <c r="AJ49" s="117">
        <v>2026</v>
      </c>
      <c r="AK49" s="135" t="str">
        <f t="shared" si="0"/>
        <v>--E16718500-0,75-1-1,75-----0,75-------0,5-0,5----------</v>
      </c>
      <c r="AL49" s="186">
        <f>VLOOKUP(AK49,Planilha1!B:C,2,0)</f>
        <v>35</v>
      </c>
      <c r="AM49" s="181" t="s">
        <v>3177</v>
      </c>
    </row>
    <row r="50" spans="1:39" x14ac:dyDescent="0.3">
      <c r="C50" s="239" t="s">
        <v>3156</v>
      </c>
      <c r="D50" s="113"/>
      <c r="E50" s="200">
        <v>0.75</v>
      </c>
      <c r="F50" s="200">
        <v>1</v>
      </c>
      <c r="G50" s="200">
        <v>1.75</v>
      </c>
      <c r="H50" s="142"/>
      <c r="I50" s="142"/>
      <c r="J50" s="142"/>
      <c r="K50" s="142"/>
      <c r="L50" s="251">
        <v>0.75</v>
      </c>
      <c r="M50" s="136" t="s">
        <v>3176</v>
      </c>
      <c r="N50" s="251" t="s">
        <v>3176</v>
      </c>
      <c r="O50" s="251"/>
      <c r="P50" s="251"/>
      <c r="Q50" s="251"/>
      <c r="R50" s="116"/>
      <c r="S50" s="136">
        <v>0.5</v>
      </c>
      <c r="T50" s="136">
        <v>0.5</v>
      </c>
      <c r="U50" s="136" t="s">
        <v>3176</v>
      </c>
      <c r="V50" s="136" t="s">
        <v>3176</v>
      </c>
      <c r="W50" s="136" t="s">
        <v>3176</v>
      </c>
      <c r="X50" s="251"/>
      <c r="Y50" s="116"/>
      <c r="Z50" s="116"/>
      <c r="AA50" s="116"/>
      <c r="AB50" s="116"/>
      <c r="AC50" s="116"/>
      <c r="AD50" s="116"/>
      <c r="AE50" s="116"/>
      <c r="AF50" s="248" t="s">
        <v>3154</v>
      </c>
      <c r="AG50" s="248" t="s">
        <v>3154</v>
      </c>
      <c r="AH50" s="117"/>
      <c r="AI50" s="117">
        <v>16</v>
      </c>
      <c r="AJ50" s="117">
        <v>2026</v>
      </c>
      <c r="AK50" s="135" t="str">
        <f t="shared" si="0"/>
        <v>--E16718500-0,75-1-1,75-----0,75-------0,5-0,5----------</v>
      </c>
      <c r="AL50" s="186">
        <f>VLOOKUP(AK50,Planilha1!B:C,2,0)</f>
        <v>35</v>
      </c>
      <c r="AM50" s="181" t="s">
        <v>3177</v>
      </c>
    </row>
    <row r="51" spans="1:39" x14ac:dyDescent="0.3">
      <c r="C51" s="239" t="s">
        <v>3156</v>
      </c>
      <c r="D51" s="236"/>
      <c r="E51" s="239">
        <v>0.75</v>
      </c>
      <c r="F51" s="239">
        <v>1</v>
      </c>
      <c r="G51" s="200">
        <v>1.75</v>
      </c>
      <c r="L51" s="51">
        <v>0.75</v>
      </c>
      <c r="M51" s="239"/>
      <c r="N51" s="48"/>
      <c r="O51" s="48"/>
      <c r="P51" s="48"/>
      <c r="Q51" s="48"/>
      <c r="S51" s="239">
        <v>0.5</v>
      </c>
      <c r="T51" s="239">
        <v>0.5</v>
      </c>
      <c r="U51" s="239"/>
      <c r="V51" s="239"/>
      <c r="W51" s="239"/>
      <c r="X51" s="51"/>
      <c r="AF51" s="51" t="s">
        <v>3154</v>
      </c>
      <c r="AG51" s="51" t="s">
        <v>3154</v>
      </c>
      <c r="AI51" s="117">
        <v>16</v>
      </c>
      <c r="AJ51" s="117">
        <v>2026</v>
      </c>
      <c r="AK51" s="135" t="str">
        <f t="shared" si="0"/>
        <v>--E16718500-0,75-1-1,75-----0,75-------0,5-0,5----------</v>
      </c>
      <c r="AL51" s="186">
        <f>VLOOKUP(AK51,Planilha1!B:C,2,0)</f>
        <v>35</v>
      </c>
      <c r="AM51" s="135" t="s">
        <v>3638</v>
      </c>
    </row>
    <row r="52" spans="1:39" x14ac:dyDescent="0.3">
      <c r="C52" s="239" t="s">
        <v>3156</v>
      </c>
      <c r="D52" s="113"/>
      <c r="E52" s="200">
        <v>0.5</v>
      </c>
      <c r="F52" s="200">
        <v>2.25</v>
      </c>
      <c r="G52" s="200">
        <v>2.75</v>
      </c>
      <c r="H52" s="142"/>
      <c r="I52" s="142"/>
      <c r="J52" s="142"/>
      <c r="K52" s="142"/>
      <c r="L52" s="215">
        <v>0.5</v>
      </c>
      <c r="M52" s="136" t="s">
        <v>3176</v>
      </c>
      <c r="N52" s="215" t="s">
        <v>3176</v>
      </c>
      <c r="O52" s="215"/>
      <c r="P52" s="215"/>
      <c r="Q52" s="215"/>
      <c r="R52" s="215"/>
      <c r="S52" s="136">
        <v>0.5</v>
      </c>
      <c r="T52" s="136">
        <v>0.5</v>
      </c>
      <c r="U52" s="136">
        <v>0.75</v>
      </c>
      <c r="V52" s="136" t="s">
        <v>3176</v>
      </c>
      <c r="W52" s="136" t="s">
        <v>3176</v>
      </c>
      <c r="X52" s="215"/>
      <c r="Y52" s="116"/>
      <c r="Z52" s="116"/>
      <c r="AA52" s="116"/>
      <c r="AB52" s="116"/>
      <c r="AC52" s="116"/>
      <c r="AD52" s="116"/>
      <c r="AE52" s="116"/>
      <c r="AF52" s="117" t="s">
        <v>3154</v>
      </c>
      <c r="AG52" s="117" t="s">
        <v>3154</v>
      </c>
      <c r="AH52" s="117"/>
      <c r="AI52" s="117">
        <v>16</v>
      </c>
      <c r="AJ52" s="117">
        <v>2026</v>
      </c>
      <c r="AK52" s="135" t="str">
        <f t="shared" si="0"/>
        <v>--E16718500-0,5-2,25-2,75-----0,5-------0,5-0,5-0,75---------</v>
      </c>
      <c r="AL52" s="186">
        <f>VLOOKUP(AK52,Planilha1!B:C,2,0)</f>
        <v>36</v>
      </c>
      <c r="AM52" s="180" t="s">
        <v>3177</v>
      </c>
    </row>
    <row r="53" spans="1:39" x14ac:dyDescent="0.3">
      <c r="C53" s="239" t="s">
        <v>3156</v>
      </c>
      <c r="D53" s="113"/>
      <c r="E53" s="200">
        <v>1.5</v>
      </c>
      <c r="F53" s="200">
        <v>0.75</v>
      </c>
      <c r="G53" s="200">
        <v>2.25</v>
      </c>
      <c r="H53" s="142"/>
      <c r="I53" s="142"/>
      <c r="J53" s="142"/>
      <c r="K53" s="142"/>
      <c r="L53" s="215">
        <v>0.5</v>
      </c>
      <c r="M53" s="136">
        <v>0.5</v>
      </c>
      <c r="N53" s="215">
        <v>0.5</v>
      </c>
      <c r="O53" s="215"/>
      <c r="P53" s="215"/>
      <c r="Q53" s="215"/>
      <c r="R53" s="215"/>
      <c r="S53" s="136">
        <v>0.75</v>
      </c>
      <c r="T53" s="136" t="s">
        <v>3176</v>
      </c>
      <c r="U53" s="136" t="s">
        <v>3176</v>
      </c>
      <c r="V53" s="136" t="s">
        <v>3176</v>
      </c>
      <c r="W53" s="136" t="s">
        <v>3176</v>
      </c>
      <c r="X53" s="215"/>
      <c r="Y53" s="116"/>
      <c r="Z53" s="251"/>
      <c r="AA53" s="116"/>
      <c r="AB53" s="116"/>
      <c r="AC53" s="116"/>
      <c r="AD53" s="116"/>
      <c r="AE53" s="116"/>
      <c r="AF53" s="248" t="s">
        <v>3154</v>
      </c>
      <c r="AG53" s="248" t="s">
        <v>3154</v>
      </c>
      <c r="AH53" s="117"/>
      <c r="AI53" s="117">
        <v>16</v>
      </c>
      <c r="AJ53" s="117">
        <v>2026</v>
      </c>
      <c r="AK53" s="135" t="str">
        <f t="shared" si="0"/>
        <v>--E16718500-1,5-0,75-2,25-----0,5-0,5-0,5-----0,75-----------</v>
      </c>
      <c r="AL53" s="186">
        <f>VLOOKUP(AK53,Planilha1!B:C,2,0)</f>
        <v>37</v>
      </c>
      <c r="AM53" s="180" t="s">
        <v>3177</v>
      </c>
    </row>
    <row r="54" spans="1:39" x14ac:dyDescent="0.3">
      <c r="C54" s="239" t="s">
        <v>3164</v>
      </c>
      <c r="D54" s="113"/>
      <c r="E54" s="200">
        <v>1.25</v>
      </c>
      <c r="F54" s="200">
        <v>0.7</v>
      </c>
      <c r="G54" s="200">
        <v>1.95</v>
      </c>
      <c r="H54" s="142"/>
      <c r="I54" s="142"/>
      <c r="J54" s="142"/>
      <c r="K54" s="142"/>
      <c r="L54" s="215">
        <v>0.75</v>
      </c>
      <c r="M54" s="136">
        <v>0.5</v>
      </c>
      <c r="N54" s="215" t="s">
        <v>3176</v>
      </c>
      <c r="O54" s="215"/>
      <c r="P54" s="215"/>
      <c r="Q54" s="215"/>
      <c r="R54" s="215"/>
      <c r="S54" s="136">
        <v>0.35</v>
      </c>
      <c r="T54" s="136">
        <v>0.35</v>
      </c>
      <c r="U54" s="136" t="s">
        <v>3176</v>
      </c>
      <c r="V54" s="136" t="s">
        <v>3176</v>
      </c>
      <c r="W54" s="136" t="s">
        <v>3176</v>
      </c>
      <c r="X54" s="215"/>
      <c r="Y54" s="215"/>
      <c r="Z54" s="116"/>
      <c r="AA54" s="116"/>
      <c r="AB54" s="116"/>
      <c r="AC54" s="116"/>
      <c r="AD54" s="116"/>
      <c r="AE54" s="116"/>
      <c r="AF54" s="248" t="s">
        <v>3154</v>
      </c>
      <c r="AG54" s="248" t="s">
        <v>3154</v>
      </c>
      <c r="AH54" s="117"/>
      <c r="AI54" s="117">
        <v>16</v>
      </c>
      <c r="AJ54" s="117">
        <v>2026</v>
      </c>
      <c r="AK54" s="135" t="str">
        <f t="shared" si="0"/>
        <v>--E16725300-1,25-0,7-1,95-----0,75-0,5------0,35-0,35----------</v>
      </c>
      <c r="AL54" s="186">
        <f>VLOOKUP(AK54,Planilha1!B:C,2,0)</f>
        <v>38</v>
      </c>
      <c r="AM54" s="180" t="s">
        <v>3177</v>
      </c>
    </row>
    <row r="55" spans="1:39" x14ac:dyDescent="0.3">
      <c r="C55" s="239" t="s">
        <v>3164</v>
      </c>
      <c r="D55" s="236"/>
      <c r="E55" s="239">
        <v>1.25</v>
      </c>
      <c r="F55" s="239">
        <v>0.7</v>
      </c>
      <c r="G55" s="200">
        <v>1.95</v>
      </c>
      <c r="L55" s="239">
        <v>0.75</v>
      </c>
      <c r="M55" s="249">
        <v>0.5</v>
      </c>
      <c r="N55" s="236"/>
      <c r="O55" s="236"/>
      <c r="P55" s="236"/>
      <c r="Q55" s="236"/>
      <c r="R55" s="236"/>
      <c r="S55" s="239">
        <v>0.35</v>
      </c>
      <c r="T55" s="239">
        <v>0.35</v>
      </c>
      <c r="U55" s="239"/>
      <c r="V55" s="239"/>
      <c r="W55" s="239"/>
      <c r="X55" s="239"/>
      <c r="Y55" s="236"/>
      <c r="AF55" s="51" t="s">
        <v>3154</v>
      </c>
      <c r="AG55" s="51" t="s">
        <v>3154</v>
      </c>
      <c r="AI55" s="117">
        <v>16</v>
      </c>
      <c r="AJ55" s="117">
        <v>2026</v>
      </c>
      <c r="AK55" s="135" t="str">
        <f t="shared" si="0"/>
        <v>--E16725300-1,25-0,7-1,95-----0,75-0,5------0,35-0,35----------</v>
      </c>
      <c r="AL55" s="186">
        <f>VLOOKUP(AK55,Planilha1!B:C,2,0)</f>
        <v>38</v>
      </c>
      <c r="AM55" s="135" t="s">
        <v>3638</v>
      </c>
    </row>
    <row r="56" spans="1:39" x14ac:dyDescent="0.3">
      <c r="C56" s="239" t="s">
        <v>3164</v>
      </c>
      <c r="D56" s="113"/>
      <c r="E56" s="200">
        <v>1.25</v>
      </c>
      <c r="F56" s="200">
        <v>1.4</v>
      </c>
      <c r="G56" s="200">
        <v>2.65</v>
      </c>
      <c r="H56" s="142"/>
      <c r="I56" s="142"/>
      <c r="J56" s="142"/>
      <c r="K56" s="142"/>
      <c r="L56" s="215">
        <v>0.75</v>
      </c>
      <c r="M56" s="136">
        <v>0.5</v>
      </c>
      <c r="N56" s="215" t="s">
        <v>3176</v>
      </c>
      <c r="O56" s="215"/>
      <c r="P56" s="215"/>
      <c r="Q56" s="215"/>
      <c r="R56" s="215"/>
      <c r="S56" s="136">
        <v>0.35</v>
      </c>
      <c r="T56" s="136">
        <v>0.35</v>
      </c>
      <c r="U56" s="136">
        <v>0.35</v>
      </c>
      <c r="V56" s="136">
        <v>0.35</v>
      </c>
      <c r="W56" s="136" t="s">
        <v>3176</v>
      </c>
      <c r="X56" s="215"/>
      <c r="Y56" s="215"/>
      <c r="Z56" s="116"/>
      <c r="AA56" s="116"/>
      <c r="AB56" s="116"/>
      <c r="AC56" s="116"/>
      <c r="AD56" s="116"/>
      <c r="AE56" s="116"/>
      <c r="AF56" s="248" t="s">
        <v>3154</v>
      </c>
      <c r="AG56" s="248" t="s">
        <v>3154</v>
      </c>
      <c r="AH56" s="117"/>
      <c r="AI56" s="117">
        <v>16</v>
      </c>
      <c r="AJ56" s="117">
        <v>2026</v>
      </c>
      <c r="AK56" s="135" t="str">
        <f t="shared" si="0"/>
        <v>--E16725300-1,25-1,4-2,65-----0,75-0,5------0,35-0,35-0,35-0,35--------</v>
      </c>
      <c r="AL56" s="186">
        <f>VLOOKUP(AK56,Planilha1!B:C,2,0)</f>
        <v>39</v>
      </c>
      <c r="AM56" s="181" t="s">
        <v>3177</v>
      </c>
    </row>
    <row r="57" spans="1:39" x14ac:dyDescent="0.3">
      <c r="C57" s="239" t="s">
        <v>3164</v>
      </c>
      <c r="D57" s="113"/>
      <c r="E57" s="200">
        <v>1.25</v>
      </c>
      <c r="F57" s="200">
        <v>1.4</v>
      </c>
      <c r="G57" s="200">
        <v>2.65</v>
      </c>
      <c r="H57" s="142"/>
      <c r="I57" s="142"/>
      <c r="J57" s="142"/>
      <c r="K57" s="142"/>
      <c r="L57" s="215">
        <v>0.75</v>
      </c>
      <c r="M57" s="136">
        <v>0.5</v>
      </c>
      <c r="N57" s="215" t="s">
        <v>3176</v>
      </c>
      <c r="O57" s="215"/>
      <c r="P57" s="215"/>
      <c r="Q57" s="215"/>
      <c r="R57" s="215"/>
      <c r="S57" s="136">
        <v>0.35</v>
      </c>
      <c r="T57" s="136">
        <v>0.35</v>
      </c>
      <c r="U57" s="136">
        <v>0.35</v>
      </c>
      <c r="V57" s="136">
        <v>0.35</v>
      </c>
      <c r="W57" s="136" t="s">
        <v>3176</v>
      </c>
      <c r="X57" s="215"/>
      <c r="Y57" s="215"/>
      <c r="Z57" s="116"/>
      <c r="AA57" s="116"/>
      <c r="AB57" s="116"/>
      <c r="AC57" s="116"/>
      <c r="AD57" s="116"/>
      <c r="AE57" s="116"/>
      <c r="AF57" s="248" t="s">
        <v>3154</v>
      </c>
      <c r="AG57" s="248" t="s">
        <v>3154</v>
      </c>
      <c r="AH57" s="117"/>
      <c r="AI57" s="117">
        <v>16</v>
      </c>
      <c r="AJ57" s="117">
        <v>2026</v>
      </c>
      <c r="AK57" s="135" t="str">
        <f t="shared" si="0"/>
        <v>--E16725300-1,25-1,4-2,65-----0,75-0,5------0,35-0,35-0,35-0,35--------</v>
      </c>
      <c r="AL57" s="186">
        <f>VLOOKUP(AK57,Planilha1!B:C,2,0)</f>
        <v>39</v>
      </c>
      <c r="AM57" s="181" t="s">
        <v>3177</v>
      </c>
    </row>
    <row r="58" spans="1:39" x14ac:dyDescent="0.3">
      <c r="C58" s="239" t="s">
        <v>3164</v>
      </c>
      <c r="D58" s="236"/>
      <c r="E58" s="239">
        <v>1.25</v>
      </c>
      <c r="F58" s="239">
        <v>1.4</v>
      </c>
      <c r="G58" s="200">
        <v>2.65</v>
      </c>
      <c r="L58" s="239">
        <v>0.75</v>
      </c>
      <c r="M58" s="249">
        <v>0.5</v>
      </c>
      <c r="N58" s="236"/>
      <c r="O58" s="236"/>
      <c r="P58" s="236"/>
      <c r="Q58" s="236"/>
      <c r="R58" s="236"/>
      <c r="S58" s="239">
        <v>0.35</v>
      </c>
      <c r="T58" s="239">
        <v>0.35</v>
      </c>
      <c r="U58" s="239">
        <v>0.35</v>
      </c>
      <c r="V58" s="239">
        <v>0.35</v>
      </c>
      <c r="W58" s="239"/>
      <c r="X58" s="239"/>
      <c r="Y58" s="236"/>
      <c r="AF58" s="51" t="s">
        <v>3154</v>
      </c>
      <c r="AG58" s="51" t="s">
        <v>3154</v>
      </c>
      <c r="AI58" s="117">
        <v>16</v>
      </c>
      <c r="AJ58" s="117">
        <v>2026</v>
      </c>
      <c r="AK58" s="135" t="str">
        <f t="shared" si="0"/>
        <v>--E16725300-1,25-1,4-2,65-----0,75-0,5------0,35-0,35-0,35-0,35--------</v>
      </c>
      <c r="AL58" s="186">
        <f>VLOOKUP(AK58,Planilha1!B:C,2,0)</f>
        <v>39</v>
      </c>
      <c r="AM58" s="135" t="s">
        <v>3638</v>
      </c>
    </row>
    <row r="59" spans="1:39" x14ac:dyDescent="0.3">
      <c r="C59" s="239" t="s">
        <v>3164</v>
      </c>
      <c r="D59" s="113"/>
      <c r="E59" s="200">
        <v>1.25</v>
      </c>
      <c r="F59" s="200">
        <v>0.35</v>
      </c>
      <c r="G59" s="200">
        <v>1.6</v>
      </c>
      <c r="H59" s="142"/>
      <c r="I59" s="142"/>
      <c r="J59" s="142"/>
      <c r="K59" s="142"/>
      <c r="L59" s="215">
        <v>0.75</v>
      </c>
      <c r="M59" s="136">
        <v>0.5</v>
      </c>
      <c r="N59" s="215" t="s">
        <v>3176</v>
      </c>
      <c r="O59" s="215"/>
      <c r="P59" s="215"/>
      <c r="Q59" s="215"/>
      <c r="R59" s="215"/>
      <c r="S59" s="136">
        <v>0.35</v>
      </c>
      <c r="T59" s="136" t="s">
        <v>3176</v>
      </c>
      <c r="U59" s="136" t="s">
        <v>3176</v>
      </c>
      <c r="V59" s="136" t="s">
        <v>3176</v>
      </c>
      <c r="W59" s="136" t="s">
        <v>3176</v>
      </c>
      <c r="X59" s="215"/>
      <c r="Y59" s="215"/>
      <c r="Z59" s="116"/>
      <c r="AA59" s="116"/>
      <c r="AB59" s="116"/>
      <c r="AC59" s="116"/>
      <c r="AD59" s="116"/>
      <c r="AE59" s="116"/>
      <c r="AF59" s="248" t="s">
        <v>3154</v>
      </c>
      <c r="AG59" s="248" t="s">
        <v>3154</v>
      </c>
      <c r="AH59" s="117"/>
      <c r="AI59" s="117">
        <v>16</v>
      </c>
      <c r="AJ59" s="117">
        <v>2026</v>
      </c>
      <c r="AK59" s="135" t="str">
        <f t="shared" si="0"/>
        <v>--E16725300-1,25-0,35-1,6-----0,75-0,5------0,35-----------</v>
      </c>
      <c r="AL59" s="186">
        <f>VLOOKUP(AK59,Planilha1!B:C,2,0)</f>
        <v>40</v>
      </c>
      <c r="AM59" s="181" t="s">
        <v>3177</v>
      </c>
    </row>
    <row r="60" spans="1:39" x14ac:dyDescent="0.3">
      <c r="C60" s="239" t="s">
        <v>3164</v>
      </c>
      <c r="D60" s="113"/>
      <c r="E60" s="200">
        <v>1.1000000000000001</v>
      </c>
      <c r="F60" s="200">
        <v>1.2</v>
      </c>
      <c r="G60" s="200">
        <v>2.2999999999999998</v>
      </c>
      <c r="H60" s="142"/>
      <c r="I60" s="142"/>
      <c r="J60" s="142"/>
      <c r="K60" s="142"/>
      <c r="L60" s="215">
        <v>0.35</v>
      </c>
      <c r="M60" s="136">
        <v>0.75</v>
      </c>
      <c r="N60" s="215" t="s">
        <v>3176</v>
      </c>
      <c r="O60" s="215"/>
      <c r="P60" s="215"/>
      <c r="Q60" s="215"/>
      <c r="R60" s="215"/>
      <c r="S60" s="136">
        <v>0.35</v>
      </c>
      <c r="T60" s="136">
        <v>0.35</v>
      </c>
      <c r="U60" s="136">
        <v>0.5</v>
      </c>
      <c r="V60" s="136" t="s">
        <v>3176</v>
      </c>
      <c r="W60" s="136" t="s">
        <v>3176</v>
      </c>
      <c r="X60" s="215"/>
      <c r="Y60" s="215"/>
      <c r="Z60" s="251"/>
      <c r="AA60" s="116"/>
      <c r="AB60" s="116"/>
      <c r="AC60" s="116"/>
      <c r="AD60" s="116"/>
      <c r="AE60" s="116"/>
      <c r="AF60" s="248" t="s">
        <v>3154</v>
      </c>
      <c r="AG60" s="248" t="s">
        <v>3154</v>
      </c>
      <c r="AH60" s="117"/>
      <c r="AI60" s="117">
        <v>16</v>
      </c>
      <c r="AJ60" s="117">
        <v>2026</v>
      </c>
      <c r="AK60" s="135" t="str">
        <f t="shared" si="0"/>
        <v>--E16725300-1,1-1,2-2,3-----0,35-0,75------0,35-0,35-0,5---------</v>
      </c>
      <c r="AL60" s="186">
        <f>VLOOKUP(AK60,Planilha1!B:C,2,0)</f>
        <v>41</v>
      </c>
      <c r="AM60" s="180" t="s">
        <v>3177</v>
      </c>
    </row>
    <row r="61" spans="1:39" x14ac:dyDescent="0.3">
      <c r="C61" s="239" t="s">
        <v>3164</v>
      </c>
      <c r="D61" s="236"/>
      <c r="E61" s="239">
        <v>1.1000000000000001</v>
      </c>
      <c r="F61" s="239">
        <v>1.2</v>
      </c>
      <c r="G61" s="200">
        <v>2.2999999999999998</v>
      </c>
      <c r="L61" s="239">
        <v>0.35</v>
      </c>
      <c r="M61" s="249">
        <v>0.75</v>
      </c>
      <c r="N61" s="236"/>
      <c r="O61" s="236"/>
      <c r="P61" s="236"/>
      <c r="Q61" s="236"/>
      <c r="R61" s="236"/>
      <c r="S61" s="239">
        <v>0.35</v>
      </c>
      <c r="T61" s="239">
        <v>0.35</v>
      </c>
      <c r="U61" s="249">
        <v>0.5</v>
      </c>
      <c r="V61" s="239"/>
      <c r="W61" s="239"/>
      <c r="X61" s="239"/>
      <c r="Y61" s="236"/>
      <c r="Z61" s="48"/>
      <c r="AF61" s="51" t="s">
        <v>3154</v>
      </c>
      <c r="AG61" s="51" t="s">
        <v>3154</v>
      </c>
      <c r="AI61" s="117">
        <v>16</v>
      </c>
      <c r="AJ61" s="117">
        <v>2026</v>
      </c>
      <c r="AK61" s="135" t="str">
        <f t="shared" si="0"/>
        <v>--E16725300-1,1-1,2-2,3-----0,35-0,75------0,35-0,35-0,5---------</v>
      </c>
      <c r="AL61" s="186">
        <f>VLOOKUP(AK61,Planilha1!B:C,2,0)</f>
        <v>41</v>
      </c>
      <c r="AM61" s="135" t="s">
        <v>3638</v>
      </c>
    </row>
    <row r="62" spans="1:39" x14ac:dyDescent="0.3">
      <c r="C62" s="239" t="s">
        <v>3164</v>
      </c>
      <c r="D62" s="113"/>
      <c r="E62" s="200">
        <v>1.1000000000000001</v>
      </c>
      <c r="F62" s="200">
        <v>0.85</v>
      </c>
      <c r="G62" s="200">
        <v>1.95</v>
      </c>
      <c r="H62" s="142"/>
      <c r="I62" s="142"/>
      <c r="J62" s="142"/>
      <c r="K62" s="142"/>
      <c r="L62" s="215">
        <v>0.35</v>
      </c>
      <c r="M62" s="136">
        <v>0.75</v>
      </c>
      <c r="N62" s="215" t="s">
        <v>3176</v>
      </c>
      <c r="O62" s="215"/>
      <c r="P62" s="215"/>
      <c r="Q62" s="215"/>
      <c r="R62" s="215"/>
      <c r="S62" s="136">
        <v>0.35</v>
      </c>
      <c r="T62" s="136">
        <v>0.5</v>
      </c>
      <c r="U62" s="136" t="s">
        <v>3176</v>
      </c>
      <c r="V62" s="136" t="s">
        <v>3176</v>
      </c>
      <c r="W62" s="136" t="s">
        <v>3176</v>
      </c>
      <c r="X62" s="215"/>
      <c r="Y62" s="215"/>
      <c r="Z62" s="251"/>
      <c r="AA62" s="116"/>
      <c r="AB62" s="116"/>
      <c r="AC62" s="116"/>
      <c r="AD62" s="116"/>
      <c r="AE62" s="116"/>
      <c r="AF62" s="248" t="s">
        <v>3154</v>
      </c>
      <c r="AG62" s="248" t="s">
        <v>3154</v>
      </c>
      <c r="AH62" s="117"/>
      <c r="AI62" s="117">
        <v>16</v>
      </c>
      <c r="AJ62" s="117">
        <v>2026</v>
      </c>
      <c r="AK62" s="135" t="str">
        <f t="shared" si="0"/>
        <v>--E16725300-1,1-0,85-1,95-----0,35-0,75------0,35-0,5----------</v>
      </c>
      <c r="AL62" s="186">
        <f>VLOOKUP(AK62,Planilha1!B:C,2,0)</f>
        <v>42</v>
      </c>
      <c r="AM62" s="180" t="s">
        <v>3177</v>
      </c>
    </row>
    <row r="63" spans="1:39" x14ac:dyDescent="0.3">
      <c r="A63" s="236"/>
      <c r="B63" s="236"/>
      <c r="C63" s="239" t="s">
        <v>3156</v>
      </c>
      <c r="D63" s="113"/>
      <c r="E63" s="203">
        <v>1.85</v>
      </c>
      <c r="F63" s="203">
        <v>0</v>
      </c>
      <c r="G63" s="200">
        <v>1.85</v>
      </c>
      <c r="H63" s="142"/>
      <c r="I63" s="142"/>
      <c r="J63" s="142"/>
      <c r="K63" s="142"/>
      <c r="L63" s="251">
        <v>0.75</v>
      </c>
      <c r="M63" s="140">
        <v>0.75</v>
      </c>
      <c r="N63" s="251">
        <v>0.35</v>
      </c>
      <c r="O63" s="251"/>
      <c r="P63" s="251"/>
      <c r="Q63" s="116"/>
      <c r="R63" s="116"/>
      <c r="S63" s="140" t="s">
        <v>3176</v>
      </c>
      <c r="T63" s="140" t="s">
        <v>3176</v>
      </c>
      <c r="U63" s="140" t="s">
        <v>3176</v>
      </c>
      <c r="V63" s="140" t="s">
        <v>3176</v>
      </c>
      <c r="W63" s="140" t="s">
        <v>3176</v>
      </c>
      <c r="X63" s="116"/>
      <c r="Y63" s="116"/>
      <c r="Z63" s="251"/>
      <c r="AA63" s="116"/>
      <c r="AB63" s="116"/>
      <c r="AC63" s="116"/>
      <c r="AD63" s="116"/>
      <c r="AE63" s="116"/>
      <c r="AF63" s="248" t="s">
        <v>3154</v>
      </c>
      <c r="AG63" s="248" t="s">
        <v>3154</v>
      </c>
      <c r="AH63" s="117"/>
      <c r="AI63" s="117">
        <v>16</v>
      </c>
      <c r="AJ63" s="117">
        <v>2026</v>
      </c>
      <c r="AK63" s="135" t="str">
        <f t="shared" si="0"/>
        <v>--E16718500-1,85-0-1,85-----0,75-0,75-0,35----------------</v>
      </c>
      <c r="AL63" s="186">
        <f>VLOOKUP(AK63,Planilha1!B:C,2,0)</f>
        <v>43</v>
      </c>
      <c r="AM63" s="180" t="s">
        <v>3177</v>
      </c>
    </row>
    <row r="64" spans="1:39" x14ac:dyDescent="0.3">
      <c r="A64" s="236"/>
      <c r="B64" s="236"/>
      <c r="C64" s="239" t="s">
        <v>3164</v>
      </c>
      <c r="D64" s="113"/>
      <c r="E64" s="203">
        <v>0</v>
      </c>
      <c r="F64" s="203">
        <v>3</v>
      </c>
      <c r="G64" s="200">
        <v>3</v>
      </c>
      <c r="H64" s="142"/>
      <c r="I64" s="142"/>
      <c r="J64" s="142"/>
      <c r="K64" s="142"/>
      <c r="L64" s="251" t="s">
        <v>3176</v>
      </c>
      <c r="M64" s="140" t="s">
        <v>3176</v>
      </c>
      <c r="N64" s="251" t="s">
        <v>3176</v>
      </c>
      <c r="O64" s="251"/>
      <c r="P64" s="251"/>
      <c r="Q64" s="116"/>
      <c r="R64" s="116"/>
      <c r="S64" s="140">
        <v>2.5</v>
      </c>
      <c r="T64" s="140">
        <v>0.5</v>
      </c>
      <c r="U64" s="140" t="s">
        <v>3176</v>
      </c>
      <c r="V64" s="140" t="s">
        <v>3176</v>
      </c>
      <c r="W64" s="140" t="s">
        <v>3176</v>
      </c>
      <c r="X64" s="116"/>
      <c r="Y64" s="116"/>
      <c r="Z64" s="251"/>
      <c r="AA64" s="116"/>
      <c r="AB64" s="116"/>
      <c r="AC64" s="116"/>
      <c r="AD64" s="116"/>
      <c r="AE64" s="116"/>
      <c r="AF64" s="248" t="s">
        <v>3154</v>
      </c>
      <c r="AG64" s="248" t="s">
        <v>3154</v>
      </c>
      <c r="AH64" s="117"/>
      <c r="AI64" s="117">
        <v>16</v>
      </c>
      <c r="AJ64" s="117">
        <v>2026</v>
      </c>
      <c r="AK64" s="135" t="str">
        <f t="shared" si="0"/>
        <v>--E16725300-0-3-3------------2,5-0,5----------</v>
      </c>
      <c r="AL64" s="186">
        <f>VLOOKUP(AK64,Planilha1!B:C,2,0)</f>
        <v>44</v>
      </c>
      <c r="AM64" s="181" t="s">
        <v>3177</v>
      </c>
    </row>
    <row r="65" spans="1:40" x14ac:dyDescent="0.3">
      <c r="A65" s="236"/>
      <c r="B65" s="236"/>
      <c r="C65" s="239" t="s">
        <v>3164</v>
      </c>
      <c r="D65" s="113"/>
      <c r="E65" s="203">
        <v>3</v>
      </c>
      <c r="F65" s="203">
        <v>0</v>
      </c>
      <c r="G65" s="200">
        <v>3</v>
      </c>
      <c r="H65" s="142"/>
      <c r="I65" s="142"/>
      <c r="J65" s="142"/>
      <c r="K65" s="142"/>
      <c r="L65" s="116">
        <v>2.5</v>
      </c>
      <c r="M65" s="140">
        <v>0.5</v>
      </c>
      <c r="N65" s="116" t="s">
        <v>3176</v>
      </c>
      <c r="O65" s="116"/>
      <c r="P65" s="116"/>
      <c r="Q65" s="116"/>
      <c r="R65" s="116"/>
      <c r="S65" s="140" t="s">
        <v>3176</v>
      </c>
      <c r="T65" s="140" t="s">
        <v>3176</v>
      </c>
      <c r="U65" s="140" t="s">
        <v>3176</v>
      </c>
      <c r="V65" s="140" t="s">
        <v>3176</v>
      </c>
      <c r="W65" s="140" t="s">
        <v>3176</v>
      </c>
      <c r="X65" s="116"/>
      <c r="Y65" s="116"/>
      <c r="Z65" s="116"/>
      <c r="AA65" s="116"/>
      <c r="AB65" s="116"/>
      <c r="AC65" s="116"/>
      <c r="AD65" s="116"/>
      <c r="AE65" s="251"/>
      <c r="AF65" s="248" t="s">
        <v>3154</v>
      </c>
      <c r="AG65" s="248" t="s">
        <v>3154</v>
      </c>
      <c r="AH65" s="117"/>
      <c r="AI65" s="117">
        <v>16</v>
      </c>
      <c r="AJ65" s="117">
        <v>2026</v>
      </c>
      <c r="AK65" s="135" t="str">
        <f t="shared" si="0"/>
        <v>--E16725300-3-0-3-----2,5-0,5-----------------</v>
      </c>
      <c r="AL65" s="186">
        <f>VLOOKUP(AK65,Planilha1!B:C,2,0)</f>
        <v>45</v>
      </c>
      <c r="AM65" s="181" t="s">
        <v>3177</v>
      </c>
    </row>
    <row r="66" spans="1:40" x14ac:dyDescent="0.3">
      <c r="A66" s="236"/>
      <c r="B66" s="236"/>
      <c r="C66" s="239" t="s">
        <v>3156</v>
      </c>
      <c r="D66" s="113"/>
      <c r="E66" s="203">
        <v>1</v>
      </c>
      <c r="F66" s="203">
        <v>0.5</v>
      </c>
      <c r="G66" s="200">
        <v>1.5</v>
      </c>
      <c r="H66" s="143"/>
      <c r="I66" s="143"/>
      <c r="J66" s="143"/>
      <c r="K66" s="143"/>
      <c r="L66" s="144">
        <v>0.5</v>
      </c>
      <c r="M66" s="144">
        <v>0.5</v>
      </c>
      <c r="N66" s="144" t="s">
        <v>3176</v>
      </c>
      <c r="O66" s="144" t="s">
        <v>3176</v>
      </c>
      <c r="P66" s="144" t="s">
        <v>3176</v>
      </c>
      <c r="Q66" s="144" t="s">
        <v>3176</v>
      </c>
      <c r="R66" s="144" t="s">
        <v>3176</v>
      </c>
      <c r="S66" s="144">
        <v>0.5</v>
      </c>
      <c r="T66" s="144" t="s">
        <v>3176</v>
      </c>
      <c r="U66" s="144" t="s">
        <v>3176</v>
      </c>
      <c r="V66" s="144" t="s">
        <v>3176</v>
      </c>
      <c r="W66" s="144" t="s">
        <v>3176</v>
      </c>
      <c r="X66" s="144" t="s">
        <v>3176</v>
      </c>
      <c r="Y66" s="121"/>
      <c r="Z66" s="252"/>
      <c r="AA66" s="121"/>
      <c r="AB66" s="121"/>
      <c r="AC66" s="121"/>
      <c r="AD66" s="121"/>
      <c r="AE66" s="121"/>
      <c r="AF66" s="243"/>
      <c r="AG66" s="243" t="s">
        <v>3154</v>
      </c>
      <c r="AH66" s="118"/>
      <c r="AI66" s="118">
        <v>8</v>
      </c>
      <c r="AJ66" s="118">
        <v>2026</v>
      </c>
      <c r="AK66" s="135" t="str">
        <f t="shared" ref="AK66:AK129" si="1">CONCATENATE(A66,"-",B66,"-",C66,"-",E66,"-",F66,"-",G66,"-",H66,"-",I66,"-",J66,"-",K66,"-",L66,"-",M66,"-",N66,"-",O66,"-",P66,"-",Q66,"-",R66,"-",S66,"-",T66,"-",U66,"-",V66,"-",W66,"-",X66,"-",Y66,"-",Z66,"-",AA66,"-",AB66,"-",AC66,"-",AD66)</f>
        <v>--E16718500-1-0,5-1,5-----0,5-0,5------0,5-----------</v>
      </c>
      <c r="AL66" s="186">
        <f>VLOOKUP(AK66,Planilha1!B:C,2,0)</f>
        <v>46</v>
      </c>
      <c r="AM66" s="181" t="s">
        <v>3177</v>
      </c>
    </row>
    <row r="67" spans="1:40" x14ac:dyDescent="0.3">
      <c r="A67" s="236"/>
      <c r="B67" s="236"/>
      <c r="C67" s="239" t="s">
        <v>3156</v>
      </c>
      <c r="D67" s="113"/>
      <c r="E67" s="203">
        <v>1</v>
      </c>
      <c r="F67" s="203">
        <v>0.5</v>
      </c>
      <c r="G67" s="200">
        <v>1.5</v>
      </c>
      <c r="H67" s="143"/>
      <c r="I67" s="143"/>
      <c r="J67" s="143"/>
      <c r="K67" s="143"/>
      <c r="L67" s="144">
        <v>0.5</v>
      </c>
      <c r="M67" s="144">
        <v>0.5</v>
      </c>
      <c r="N67" s="144" t="s">
        <v>3176</v>
      </c>
      <c r="O67" s="144" t="s">
        <v>3176</v>
      </c>
      <c r="P67" s="144" t="s">
        <v>3176</v>
      </c>
      <c r="Q67" s="144" t="s">
        <v>3176</v>
      </c>
      <c r="R67" s="144" t="s">
        <v>3176</v>
      </c>
      <c r="S67" s="144">
        <v>0.5</v>
      </c>
      <c r="T67" s="144" t="s">
        <v>3176</v>
      </c>
      <c r="U67" s="144" t="s">
        <v>3176</v>
      </c>
      <c r="V67" s="144" t="s">
        <v>3176</v>
      </c>
      <c r="W67" s="144" t="s">
        <v>3176</v>
      </c>
      <c r="X67" s="144" t="s">
        <v>3176</v>
      </c>
      <c r="Y67" s="144" t="s">
        <v>3176</v>
      </c>
      <c r="Z67" s="144"/>
      <c r="AA67" s="144"/>
      <c r="AB67" s="144"/>
      <c r="AC67" s="144"/>
      <c r="AD67" s="144"/>
      <c r="AE67" s="121"/>
      <c r="AF67" s="243"/>
      <c r="AG67" s="243" t="s">
        <v>3154</v>
      </c>
      <c r="AH67" s="118"/>
      <c r="AI67" s="118">
        <v>8</v>
      </c>
      <c r="AJ67" s="118">
        <v>2026</v>
      </c>
      <c r="AK67" s="135" t="str">
        <f t="shared" si="1"/>
        <v>--E16718500-1-0,5-1,5-----0,5-0,5------0,5-----------</v>
      </c>
      <c r="AL67" s="186">
        <f>VLOOKUP(AK67,Planilha1!B:C,2,0)</f>
        <v>46</v>
      </c>
      <c r="AM67" s="181" t="s">
        <v>3177</v>
      </c>
    </row>
    <row r="68" spans="1:40" x14ac:dyDescent="0.3">
      <c r="A68" s="236"/>
      <c r="B68" s="236"/>
      <c r="C68" s="239" t="s">
        <v>3156</v>
      </c>
      <c r="D68" s="236"/>
      <c r="E68" s="202">
        <v>1</v>
      </c>
      <c r="F68" s="202">
        <v>0.5</v>
      </c>
      <c r="G68" s="200">
        <v>1.5</v>
      </c>
      <c r="H68" s="116"/>
      <c r="I68" s="116"/>
      <c r="J68" s="116"/>
      <c r="K68" s="116"/>
      <c r="L68" s="140">
        <v>0.5</v>
      </c>
      <c r="M68" s="140">
        <v>0.5</v>
      </c>
      <c r="N68" s="140"/>
      <c r="O68" s="140"/>
      <c r="P68" s="140"/>
      <c r="Q68" s="116"/>
      <c r="R68" s="116"/>
      <c r="S68" s="140">
        <v>0.5</v>
      </c>
      <c r="T68" s="140"/>
      <c r="U68" s="140"/>
      <c r="V68" s="140"/>
      <c r="W68" s="116"/>
      <c r="X68" s="116"/>
      <c r="Y68" s="116"/>
      <c r="Z68" s="140"/>
      <c r="AA68" s="116"/>
      <c r="AB68" s="116"/>
      <c r="AC68" s="116"/>
      <c r="AD68" s="116"/>
      <c r="AE68" s="116"/>
      <c r="AF68" s="248" t="s">
        <v>3154</v>
      </c>
      <c r="AG68" s="248" t="s">
        <v>3154</v>
      </c>
      <c r="AH68" s="116"/>
      <c r="AI68" s="117">
        <v>16</v>
      </c>
      <c r="AJ68" s="117">
        <v>2026</v>
      </c>
      <c r="AK68" s="135" t="str">
        <f t="shared" si="1"/>
        <v>--E16718500-1-0,5-1,5-----0,5-0,5------0,5-----------</v>
      </c>
      <c r="AL68" s="186">
        <f>VLOOKUP(AK68,Planilha1!B:C,2,0)</f>
        <v>46</v>
      </c>
      <c r="AM68" s="135" t="s">
        <v>3354</v>
      </c>
      <c r="AN68" s="83" t="s">
        <v>3355</v>
      </c>
    </row>
    <row r="69" spans="1:40" x14ac:dyDescent="0.3">
      <c r="A69" s="236"/>
      <c r="B69" s="236"/>
      <c r="C69" s="239" t="s">
        <v>3156</v>
      </c>
      <c r="D69" s="113"/>
      <c r="E69" s="203">
        <v>0.35</v>
      </c>
      <c r="F69" s="203">
        <v>0.35</v>
      </c>
      <c r="G69" s="200">
        <v>0.7</v>
      </c>
      <c r="H69" s="143"/>
      <c r="I69" s="143"/>
      <c r="J69" s="143"/>
      <c r="K69" s="143"/>
      <c r="L69" s="144">
        <v>0.35</v>
      </c>
      <c r="M69" s="144" t="s">
        <v>3176</v>
      </c>
      <c r="N69" s="144" t="s">
        <v>3176</v>
      </c>
      <c r="O69" s="144" t="s">
        <v>3176</v>
      </c>
      <c r="P69" s="144" t="s">
        <v>3176</v>
      </c>
      <c r="Q69" s="144" t="s">
        <v>3176</v>
      </c>
      <c r="R69" s="144" t="s">
        <v>3176</v>
      </c>
      <c r="S69" s="144">
        <v>0.35</v>
      </c>
      <c r="T69" s="144" t="s">
        <v>3176</v>
      </c>
      <c r="U69" s="144" t="s">
        <v>3176</v>
      </c>
      <c r="V69" s="144" t="s">
        <v>3176</v>
      </c>
      <c r="W69" s="144" t="s">
        <v>3176</v>
      </c>
      <c r="X69" s="144" t="s">
        <v>3176</v>
      </c>
      <c r="Y69" s="121"/>
      <c r="Z69" s="121"/>
      <c r="AA69" s="121"/>
      <c r="AB69" s="121"/>
      <c r="AC69" s="121"/>
      <c r="AD69" s="121"/>
      <c r="AE69" s="121"/>
      <c r="AF69" s="118"/>
      <c r="AG69" s="118" t="s">
        <v>3154</v>
      </c>
      <c r="AH69" s="118"/>
      <c r="AI69" s="118">
        <v>8</v>
      </c>
      <c r="AJ69" s="118">
        <v>2026</v>
      </c>
      <c r="AK69" s="135" t="str">
        <f t="shared" si="1"/>
        <v>--E16718500-0,35-0,35-0,7-----0,35-------0,35-----------</v>
      </c>
      <c r="AL69" s="186">
        <f>VLOOKUP(AK69,Planilha1!B:C,2,0)</f>
        <v>47</v>
      </c>
      <c r="AM69" s="181" t="s">
        <v>3177</v>
      </c>
    </row>
    <row r="70" spans="1:40" x14ac:dyDescent="0.3">
      <c r="A70" s="236"/>
      <c r="B70" s="236"/>
      <c r="C70" s="239" t="s">
        <v>3156</v>
      </c>
      <c r="D70" s="236"/>
      <c r="E70" s="203">
        <v>0.35</v>
      </c>
      <c r="F70" s="203">
        <v>0.35</v>
      </c>
      <c r="G70" s="200">
        <v>0.7</v>
      </c>
      <c r="H70" s="121"/>
      <c r="I70" s="121"/>
      <c r="J70" s="121"/>
      <c r="K70" s="121"/>
      <c r="L70" s="243">
        <v>0.35</v>
      </c>
      <c r="M70" s="243"/>
      <c r="N70" s="121"/>
      <c r="O70" s="121"/>
      <c r="P70" s="121"/>
      <c r="Q70" s="121"/>
      <c r="R70" s="121"/>
      <c r="S70" s="243">
        <v>0.35</v>
      </c>
      <c r="T70" s="243"/>
      <c r="U70" s="243"/>
      <c r="V70" s="121"/>
      <c r="W70" s="121"/>
      <c r="X70" s="121"/>
      <c r="Y70" s="121"/>
      <c r="Z70" s="121"/>
      <c r="AA70" s="121"/>
      <c r="AB70" s="121"/>
      <c r="AC70" s="121"/>
      <c r="AD70" s="121"/>
      <c r="AE70" s="121"/>
      <c r="AF70" s="121"/>
      <c r="AG70" s="118" t="s">
        <v>3154</v>
      </c>
      <c r="AH70" s="121"/>
      <c r="AI70" s="118">
        <v>8</v>
      </c>
      <c r="AJ70" s="118">
        <v>2026</v>
      </c>
      <c r="AK70" s="135" t="str">
        <f t="shared" si="1"/>
        <v>--E16718500-0,35-0,35-0,7-----0,35-------0,35-----------</v>
      </c>
      <c r="AL70" s="186">
        <f>VLOOKUP(AK70,Planilha1!B:C,2,0)</f>
        <v>47</v>
      </c>
      <c r="AM70" s="181" t="s">
        <v>3234</v>
      </c>
    </row>
    <row r="71" spans="1:40" x14ac:dyDescent="0.3">
      <c r="A71" s="236"/>
      <c r="B71" s="236"/>
      <c r="C71" s="239" t="s">
        <v>3156</v>
      </c>
      <c r="D71" s="235"/>
      <c r="E71" s="203">
        <v>0.5</v>
      </c>
      <c r="F71" s="203">
        <v>1</v>
      </c>
      <c r="G71" s="203">
        <v>1.5</v>
      </c>
      <c r="H71" s="143"/>
      <c r="I71" s="143"/>
      <c r="J71" s="143"/>
      <c r="K71" s="143"/>
      <c r="L71" s="144">
        <v>0.5</v>
      </c>
      <c r="M71" s="144" t="s">
        <v>3176</v>
      </c>
      <c r="N71" s="144" t="s">
        <v>3176</v>
      </c>
      <c r="O71" s="144" t="s">
        <v>3176</v>
      </c>
      <c r="P71" s="144" t="s">
        <v>3176</v>
      </c>
      <c r="Q71" s="144" t="s">
        <v>3176</v>
      </c>
      <c r="R71" s="144" t="s">
        <v>3176</v>
      </c>
      <c r="S71" s="144">
        <v>0.5</v>
      </c>
      <c r="T71" s="144">
        <v>0.5</v>
      </c>
      <c r="U71" s="144" t="s">
        <v>3176</v>
      </c>
      <c r="V71" s="144" t="s">
        <v>3176</v>
      </c>
      <c r="W71" s="144" t="s">
        <v>3176</v>
      </c>
      <c r="X71" s="144" t="s">
        <v>3176</v>
      </c>
      <c r="Y71" s="144" t="s">
        <v>3176</v>
      </c>
      <c r="Z71" s="144"/>
      <c r="AA71" s="144"/>
      <c r="AB71" s="144"/>
      <c r="AC71" s="144"/>
      <c r="AD71" s="144"/>
      <c r="AE71" s="121"/>
      <c r="AF71" s="118"/>
      <c r="AG71" s="118" t="s">
        <v>3154</v>
      </c>
      <c r="AH71" s="118"/>
      <c r="AI71" s="118">
        <v>8</v>
      </c>
      <c r="AJ71" s="118">
        <v>2026</v>
      </c>
      <c r="AK71" s="135" t="str">
        <f t="shared" si="1"/>
        <v>--E16718500-0,5-1-1,5-----0,5-------0,5-0,5----------</v>
      </c>
      <c r="AL71" s="186">
        <f>VLOOKUP(AK71,Planilha1!B:C,2,0)</f>
        <v>48</v>
      </c>
      <c r="AM71" s="181" t="s">
        <v>3177</v>
      </c>
    </row>
    <row r="72" spans="1:40" x14ac:dyDescent="0.3">
      <c r="A72" s="236"/>
      <c r="B72" s="236"/>
      <c r="C72" s="239" t="s">
        <v>3156</v>
      </c>
      <c r="D72" s="235"/>
      <c r="E72" s="203">
        <v>0.5</v>
      </c>
      <c r="F72" s="203">
        <v>1</v>
      </c>
      <c r="G72" s="203">
        <v>1.5</v>
      </c>
      <c r="H72" s="143"/>
      <c r="I72" s="143"/>
      <c r="J72" s="143"/>
      <c r="K72" s="143"/>
      <c r="L72" s="144">
        <v>0.5</v>
      </c>
      <c r="M72" s="144" t="s">
        <v>3176</v>
      </c>
      <c r="N72" s="144" t="s">
        <v>3176</v>
      </c>
      <c r="O72" s="144" t="s">
        <v>3176</v>
      </c>
      <c r="P72" s="144" t="s">
        <v>3176</v>
      </c>
      <c r="Q72" s="144" t="s">
        <v>3176</v>
      </c>
      <c r="R72" s="144" t="s">
        <v>3176</v>
      </c>
      <c r="S72" s="144">
        <v>0.5</v>
      </c>
      <c r="T72" s="144">
        <v>0.5</v>
      </c>
      <c r="U72" s="144" t="s">
        <v>3176</v>
      </c>
      <c r="V72" s="144" t="s">
        <v>3176</v>
      </c>
      <c r="W72" s="144" t="s">
        <v>3176</v>
      </c>
      <c r="X72" s="144" t="s">
        <v>3176</v>
      </c>
      <c r="Y72" s="144" t="s">
        <v>3176</v>
      </c>
      <c r="Z72" s="144"/>
      <c r="AA72" s="144"/>
      <c r="AB72" s="144"/>
      <c r="AC72" s="144"/>
      <c r="AD72" s="144"/>
      <c r="AE72" s="121"/>
      <c r="AF72" s="118"/>
      <c r="AG72" s="118" t="s">
        <v>3154</v>
      </c>
      <c r="AH72" s="118"/>
      <c r="AI72" s="118">
        <v>8</v>
      </c>
      <c r="AJ72" s="118">
        <v>2026</v>
      </c>
      <c r="AK72" s="135" t="str">
        <f t="shared" si="1"/>
        <v>--E16718500-0,5-1-1,5-----0,5-------0,5-0,5----------</v>
      </c>
      <c r="AL72" s="186">
        <f>VLOOKUP(AK72,Planilha1!B:C,2,0)</f>
        <v>48</v>
      </c>
      <c r="AM72" s="181" t="s">
        <v>3177</v>
      </c>
    </row>
    <row r="73" spans="1:40" x14ac:dyDescent="0.3">
      <c r="C73" s="51" t="s">
        <v>3156</v>
      </c>
      <c r="D73" s="235"/>
      <c r="E73" s="200">
        <v>0</v>
      </c>
      <c r="F73" s="200">
        <v>1.75</v>
      </c>
      <c r="G73" s="200">
        <v>1.75</v>
      </c>
      <c r="H73" s="143"/>
      <c r="I73" s="143"/>
      <c r="J73" s="143"/>
      <c r="K73" s="143"/>
      <c r="L73" s="120" t="s">
        <v>3176</v>
      </c>
      <c r="M73" s="120" t="s">
        <v>3176</v>
      </c>
      <c r="N73" s="120" t="s">
        <v>3176</v>
      </c>
      <c r="O73" s="120" t="s">
        <v>3176</v>
      </c>
      <c r="P73" s="120" t="s">
        <v>3176</v>
      </c>
      <c r="Q73" s="144" t="s">
        <v>3176</v>
      </c>
      <c r="R73" s="144" t="s">
        <v>3176</v>
      </c>
      <c r="S73" s="120">
        <v>0.5</v>
      </c>
      <c r="T73" s="120">
        <v>0.75</v>
      </c>
      <c r="U73" s="144">
        <v>0.5</v>
      </c>
      <c r="V73" s="144" t="s">
        <v>3176</v>
      </c>
      <c r="W73" s="144" t="s">
        <v>3176</v>
      </c>
      <c r="X73" s="144" t="s">
        <v>3176</v>
      </c>
      <c r="Y73" s="144" t="s">
        <v>3176</v>
      </c>
      <c r="Z73" s="144"/>
      <c r="AA73" s="144"/>
      <c r="AB73" s="144"/>
      <c r="AC73" s="144"/>
      <c r="AD73" s="144"/>
      <c r="AE73" s="121"/>
      <c r="AF73" s="243"/>
      <c r="AG73" s="243" t="s">
        <v>3154</v>
      </c>
      <c r="AH73" s="118"/>
      <c r="AI73" s="118">
        <v>8</v>
      </c>
      <c r="AJ73" s="118">
        <v>2026</v>
      </c>
      <c r="AK73" s="135" t="str">
        <f t="shared" si="1"/>
        <v>--E16718500-0-1,75-1,75------------0,5-0,75-0,5---------</v>
      </c>
      <c r="AL73" s="186">
        <f>VLOOKUP(AK73,Planilha1!B:C,2,0)</f>
        <v>49</v>
      </c>
      <c r="AM73" s="180" t="s">
        <v>3177</v>
      </c>
    </row>
    <row r="74" spans="1:40" x14ac:dyDescent="0.3">
      <c r="C74" s="239" t="s">
        <v>3164</v>
      </c>
      <c r="D74" s="235"/>
      <c r="E74" s="200">
        <v>1.35</v>
      </c>
      <c r="F74" s="200">
        <v>1.55</v>
      </c>
      <c r="G74" s="200">
        <v>2.9</v>
      </c>
      <c r="H74" s="143"/>
      <c r="I74" s="143"/>
      <c r="J74" s="143"/>
      <c r="K74" s="143"/>
      <c r="L74" s="120">
        <v>0.35</v>
      </c>
      <c r="M74" s="120">
        <v>1</v>
      </c>
      <c r="N74" s="120" t="s">
        <v>3176</v>
      </c>
      <c r="O74" s="120" t="s">
        <v>3176</v>
      </c>
      <c r="P74" s="120" t="s">
        <v>3176</v>
      </c>
      <c r="Q74" s="144" t="s">
        <v>3176</v>
      </c>
      <c r="R74" s="144" t="s">
        <v>3176</v>
      </c>
      <c r="S74" s="120">
        <v>0.35</v>
      </c>
      <c r="T74" s="120">
        <v>0.35</v>
      </c>
      <c r="U74" s="144">
        <v>0.35</v>
      </c>
      <c r="V74" s="144">
        <v>0.5</v>
      </c>
      <c r="W74" s="144" t="s">
        <v>3176</v>
      </c>
      <c r="X74" s="144" t="s">
        <v>3176</v>
      </c>
      <c r="Y74" s="144" t="s">
        <v>3176</v>
      </c>
      <c r="Z74" s="144"/>
      <c r="AA74" s="144"/>
      <c r="AB74" s="144"/>
      <c r="AC74" s="144"/>
      <c r="AD74" s="144"/>
      <c r="AE74" s="121"/>
      <c r="AF74" s="243"/>
      <c r="AG74" s="243" t="s">
        <v>3154</v>
      </c>
      <c r="AH74" s="118"/>
      <c r="AI74" s="118">
        <v>8</v>
      </c>
      <c r="AJ74" s="118">
        <v>2026</v>
      </c>
      <c r="AK74" s="135" t="str">
        <f t="shared" si="1"/>
        <v>--E16725300-1,35-1,55-2,9-----0,35-1------0,35-0,35-0,35-0,5--------</v>
      </c>
      <c r="AL74" s="186">
        <f>VLOOKUP(AK74,Planilha1!B:C,2,0)</f>
        <v>50</v>
      </c>
      <c r="AM74" s="180" t="s">
        <v>3177</v>
      </c>
    </row>
    <row r="75" spans="1:40" x14ac:dyDescent="0.3">
      <c r="C75" s="239" t="s">
        <v>3164</v>
      </c>
      <c r="E75" s="239">
        <v>1.35</v>
      </c>
      <c r="F75" s="239">
        <v>1.55</v>
      </c>
      <c r="G75" s="200">
        <v>2.9</v>
      </c>
      <c r="L75" s="239">
        <v>0.35</v>
      </c>
      <c r="M75" s="239">
        <v>1</v>
      </c>
      <c r="N75" s="236"/>
      <c r="O75" s="236"/>
      <c r="P75" s="236"/>
      <c r="S75" s="239">
        <v>0.35</v>
      </c>
      <c r="T75" s="239">
        <v>0.35</v>
      </c>
      <c r="U75" s="51">
        <v>0.35</v>
      </c>
      <c r="V75" s="51">
        <v>0.5</v>
      </c>
      <c r="W75" s="51"/>
      <c r="X75" s="51"/>
      <c r="AF75" s="51" t="s">
        <v>3154</v>
      </c>
      <c r="AG75" s="51" t="s">
        <v>3154</v>
      </c>
      <c r="AI75" s="117">
        <v>16</v>
      </c>
      <c r="AJ75" s="117">
        <v>2026</v>
      </c>
      <c r="AK75" s="135" t="str">
        <f t="shared" si="1"/>
        <v>--E16725300-1,35-1,55-2,9-----0,35-1------0,35-0,35-0,35-0,5--------</v>
      </c>
      <c r="AL75" s="186">
        <f>VLOOKUP(AK75,Planilha1!B:C,2,0)</f>
        <v>50</v>
      </c>
      <c r="AM75" s="135" t="s">
        <v>3638</v>
      </c>
    </row>
    <row r="76" spans="1:40" x14ac:dyDescent="0.3">
      <c r="C76" s="239" t="s">
        <v>3156</v>
      </c>
      <c r="D76" s="235"/>
      <c r="E76" s="200">
        <v>1.4</v>
      </c>
      <c r="F76" s="200">
        <v>1.05</v>
      </c>
      <c r="G76" s="200">
        <v>2.4500000000000002</v>
      </c>
      <c r="H76" s="143"/>
      <c r="I76" s="143"/>
      <c r="J76" s="143"/>
      <c r="K76" s="143"/>
      <c r="L76" s="120">
        <v>0.35</v>
      </c>
      <c r="M76" s="120">
        <v>0.35</v>
      </c>
      <c r="N76" s="120">
        <v>0.35</v>
      </c>
      <c r="O76" s="120">
        <v>0.35</v>
      </c>
      <c r="P76" s="120" t="s">
        <v>3176</v>
      </c>
      <c r="Q76" s="144" t="s">
        <v>3176</v>
      </c>
      <c r="R76" s="144" t="s">
        <v>3176</v>
      </c>
      <c r="S76" s="120">
        <v>0.35</v>
      </c>
      <c r="T76" s="120">
        <v>0.35</v>
      </c>
      <c r="U76" s="144">
        <v>0.35</v>
      </c>
      <c r="V76" s="144" t="s">
        <v>3176</v>
      </c>
      <c r="W76" s="144" t="s">
        <v>3176</v>
      </c>
      <c r="X76" s="144" t="s">
        <v>3176</v>
      </c>
      <c r="Y76" s="144" t="s">
        <v>3176</v>
      </c>
      <c r="Z76" s="144"/>
      <c r="AA76" s="144"/>
      <c r="AB76" s="144"/>
      <c r="AC76" s="144"/>
      <c r="AD76" s="144"/>
      <c r="AE76" s="121"/>
      <c r="AF76" s="243"/>
      <c r="AG76" s="243" t="s">
        <v>3154</v>
      </c>
      <c r="AH76" s="118"/>
      <c r="AI76" s="118">
        <v>8</v>
      </c>
      <c r="AJ76" s="118">
        <v>2026</v>
      </c>
      <c r="AK76" s="135" t="str">
        <f t="shared" si="1"/>
        <v>--E16718500-1,4-1,05-2,45-----0,35-0,35-0,35-0,35----0,35-0,35-0,35---------</v>
      </c>
      <c r="AL76" s="186">
        <f>VLOOKUP(AK76,Planilha1!B:C,2,0)</f>
        <v>51</v>
      </c>
      <c r="AM76" s="181" t="s">
        <v>3177</v>
      </c>
    </row>
    <row r="77" spans="1:40" x14ac:dyDescent="0.3">
      <c r="C77" s="239" t="s">
        <v>3156</v>
      </c>
      <c r="D77" s="235"/>
      <c r="E77" s="200">
        <v>1.4</v>
      </c>
      <c r="F77" s="200">
        <v>1.05</v>
      </c>
      <c r="G77" s="200">
        <v>2.4500000000000002</v>
      </c>
      <c r="H77" s="143"/>
      <c r="I77" s="143"/>
      <c r="J77" s="143"/>
      <c r="K77" s="143"/>
      <c r="L77" s="120">
        <v>0.35</v>
      </c>
      <c r="M77" s="120">
        <v>0.35</v>
      </c>
      <c r="N77" s="120">
        <v>0.35</v>
      </c>
      <c r="O77" s="120">
        <v>0.35</v>
      </c>
      <c r="P77" s="144" t="s">
        <v>3176</v>
      </c>
      <c r="Q77" s="144" t="s">
        <v>3176</v>
      </c>
      <c r="R77" s="144" t="s">
        <v>3176</v>
      </c>
      <c r="S77" s="120">
        <v>0.35</v>
      </c>
      <c r="T77" s="120">
        <v>0.35</v>
      </c>
      <c r="U77" s="144">
        <v>0.35</v>
      </c>
      <c r="V77" s="144" t="s">
        <v>3176</v>
      </c>
      <c r="W77" s="144" t="s">
        <v>3176</v>
      </c>
      <c r="X77" s="144" t="s">
        <v>3176</v>
      </c>
      <c r="Y77" s="144" t="s">
        <v>3176</v>
      </c>
      <c r="Z77" s="144"/>
      <c r="AA77" s="144"/>
      <c r="AB77" s="144"/>
      <c r="AC77" s="144"/>
      <c r="AD77" s="144"/>
      <c r="AE77" s="121"/>
      <c r="AF77" s="243"/>
      <c r="AG77" s="243" t="s">
        <v>3154</v>
      </c>
      <c r="AH77" s="118"/>
      <c r="AI77" s="118">
        <v>8</v>
      </c>
      <c r="AJ77" s="118">
        <v>2026</v>
      </c>
      <c r="AK77" s="135" t="str">
        <f t="shared" si="1"/>
        <v>--E16718500-1,4-1,05-2,45-----0,35-0,35-0,35-0,35----0,35-0,35-0,35---------</v>
      </c>
      <c r="AL77" s="186">
        <f>VLOOKUP(AK77,Planilha1!B:C,2,0)</f>
        <v>51</v>
      </c>
      <c r="AM77" s="181" t="s">
        <v>3177</v>
      </c>
    </row>
    <row r="78" spans="1:40" x14ac:dyDescent="0.3">
      <c r="A78" s="48"/>
      <c r="C78" s="239" t="s">
        <v>3156</v>
      </c>
      <c r="D78" s="235"/>
      <c r="E78" s="200">
        <v>1.05</v>
      </c>
      <c r="F78" s="200">
        <v>1.05</v>
      </c>
      <c r="G78" s="200">
        <v>2.1</v>
      </c>
      <c r="H78" s="143"/>
      <c r="I78" s="143"/>
      <c r="J78" s="143"/>
      <c r="K78" s="143"/>
      <c r="L78" s="120">
        <v>0.35</v>
      </c>
      <c r="M78" s="120">
        <v>0.35</v>
      </c>
      <c r="N78" s="120">
        <v>0.35</v>
      </c>
      <c r="O78" s="120" t="s">
        <v>3176</v>
      </c>
      <c r="P78" s="120" t="s">
        <v>3176</v>
      </c>
      <c r="Q78" s="144" t="s">
        <v>3176</v>
      </c>
      <c r="R78" s="144" t="s">
        <v>3176</v>
      </c>
      <c r="S78" s="120">
        <v>0.35</v>
      </c>
      <c r="T78" s="120">
        <v>0.35</v>
      </c>
      <c r="U78" s="144">
        <v>0.35</v>
      </c>
      <c r="V78" s="144" t="s">
        <v>3176</v>
      </c>
      <c r="W78" s="144" t="s">
        <v>3176</v>
      </c>
      <c r="X78" s="144" t="s">
        <v>3176</v>
      </c>
      <c r="Y78" s="144" t="s">
        <v>3176</v>
      </c>
      <c r="Z78" s="144"/>
      <c r="AA78" s="144"/>
      <c r="AB78" s="144"/>
      <c r="AC78" s="144"/>
      <c r="AD78" s="144"/>
      <c r="AE78" s="121"/>
      <c r="AF78" s="118"/>
      <c r="AG78" s="243" t="s">
        <v>3154</v>
      </c>
      <c r="AH78" s="118"/>
      <c r="AI78" s="118">
        <v>8</v>
      </c>
      <c r="AJ78" s="118">
        <v>2026</v>
      </c>
      <c r="AK78" s="135" t="str">
        <f t="shared" si="1"/>
        <v>--E16718500-1,05-1,05-2,1-----0,35-0,35-0,35-----0,35-0,35-0,35---------</v>
      </c>
      <c r="AL78" s="186">
        <f>VLOOKUP(AK78,Planilha1!B:C,2,0)</f>
        <v>52</v>
      </c>
      <c r="AM78" s="181" t="s">
        <v>3177</v>
      </c>
    </row>
    <row r="79" spans="1:40" x14ac:dyDescent="0.3">
      <c r="A79" s="48"/>
      <c r="C79" s="239" t="s">
        <v>3156</v>
      </c>
      <c r="D79" s="235"/>
      <c r="E79" s="200">
        <v>1.05</v>
      </c>
      <c r="F79" s="200">
        <v>1.05</v>
      </c>
      <c r="G79" s="200">
        <v>2.1</v>
      </c>
      <c r="H79" s="143"/>
      <c r="I79" s="143"/>
      <c r="J79" s="143"/>
      <c r="K79" s="143"/>
      <c r="L79" s="120">
        <v>0.35</v>
      </c>
      <c r="M79" s="120">
        <v>0.35</v>
      </c>
      <c r="N79" s="120">
        <v>0.35</v>
      </c>
      <c r="O79" s="120" t="s">
        <v>3176</v>
      </c>
      <c r="P79" s="120" t="s">
        <v>3176</v>
      </c>
      <c r="Q79" s="144" t="s">
        <v>3176</v>
      </c>
      <c r="R79" s="144" t="s">
        <v>3176</v>
      </c>
      <c r="S79" s="120">
        <v>0.35</v>
      </c>
      <c r="T79" s="120">
        <v>0.35</v>
      </c>
      <c r="U79" s="144">
        <v>0.35</v>
      </c>
      <c r="V79" s="144" t="s">
        <v>3176</v>
      </c>
      <c r="W79" s="144" t="s">
        <v>3176</v>
      </c>
      <c r="X79" s="144" t="s">
        <v>3176</v>
      </c>
      <c r="Y79" s="144" t="s">
        <v>3176</v>
      </c>
      <c r="Z79" s="144"/>
      <c r="AA79" s="144"/>
      <c r="AB79" s="144"/>
      <c r="AC79" s="144"/>
      <c r="AD79" s="144"/>
      <c r="AE79" s="121"/>
      <c r="AF79" s="118"/>
      <c r="AG79" s="243" t="s">
        <v>3154</v>
      </c>
      <c r="AH79" s="118"/>
      <c r="AI79" s="118">
        <v>8</v>
      </c>
      <c r="AJ79" s="118">
        <v>2026</v>
      </c>
      <c r="AK79" s="135" t="str">
        <f t="shared" si="1"/>
        <v>--E16718500-1,05-1,05-2,1-----0,35-0,35-0,35-----0,35-0,35-0,35---------</v>
      </c>
      <c r="AL79" s="186">
        <f>VLOOKUP(AK79,Planilha1!B:C,2,0)</f>
        <v>52</v>
      </c>
      <c r="AM79" s="181" t="s">
        <v>3177</v>
      </c>
    </row>
    <row r="80" spans="1:40" x14ac:dyDescent="0.3">
      <c r="A80" s="235" t="s">
        <v>3179</v>
      </c>
      <c r="B80" s="235"/>
      <c r="C80" s="239"/>
      <c r="D80" s="235" t="s">
        <v>3186</v>
      </c>
      <c r="E80" s="200"/>
      <c r="F80" s="200"/>
      <c r="G80" s="200">
        <v>0.35</v>
      </c>
      <c r="H80" s="142"/>
      <c r="I80" s="142"/>
      <c r="J80" s="142"/>
      <c r="K80" s="142"/>
      <c r="L80" s="215"/>
      <c r="M80" s="215"/>
      <c r="N80" s="215"/>
      <c r="O80" s="215"/>
      <c r="P80" s="215"/>
      <c r="Q80" s="116"/>
      <c r="R80" s="116"/>
      <c r="S80" s="215"/>
      <c r="T80" s="215"/>
      <c r="U80" s="116"/>
      <c r="V80" s="116"/>
      <c r="W80" s="116"/>
      <c r="X80" s="116"/>
      <c r="Y80" s="116"/>
      <c r="Z80" s="116"/>
      <c r="AA80" s="116"/>
      <c r="AB80" s="116"/>
      <c r="AC80" s="116"/>
      <c r="AD80" s="116"/>
      <c r="AE80" s="116"/>
      <c r="AF80" s="116"/>
      <c r="AG80" s="116"/>
      <c r="AH80" s="117" t="s">
        <v>3154</v>
      </c>
      <c r="AI80" s="117">
        <v>8</v>
      </c>
      <c r="AJ80" s="117">
        <v>2026</v>
      </c>
      <c r="AK80" s="135" t="str">
        <f t="shared" si="1"/>
        <v>3202585H5-----0,35-----------------------</v>
      </c>
      <c r="AL80" s="186">
        <f>VLOOKUP(AK80,Planilha1!B:C,2,0)</f>
        <v>53</v>
      </c>
      <c r="AM80" s="135" t="s">
        <v>3177</v>
      </c>
    </row>
    <row r="81" spans="1:40" x14ac:dyDescent="0.3">
      <c r="A81" s="237" t="s">
        <v>3180</v>
      </c>
      <c r="B81" s="237"/>
      <c r="C81" s="256"/>
      <c r="D81" s="235" t="s">
        <v>3187</v>
      </c>
      <c r="E81" s="200"/>
      <c r="F81" s="200"/>
      <c r="G81" s="200">
        <v>0.75</v>
      </c>
      <c r="H81" s="142"/>
      <c r="I81" s="142"/>
      <c r="J81" s="142"/>
      <c r="K81" s="142"/>
      <c r="L81" s="215"/>
      <c r="M81" s="215"/>
      <c r="N81" s="215"/>
      <c r="O81" s="215"/>
      <c r="P81" s="215"/>
      <c r="Q81" s="116"/>
      <c r="R81" s="116"/>
      <c r="S81" s="215"/>
      <c r="T81" s="215"/>
      <c r="U81" s="116"/>
      <c r="V81" s="116"/>
      <c r="W81" s="116"/>
      <c r="X81" s="116"/>
      <c r="Y81" s="116"/>
      <c r="Z81" s="116"/>
      <c r="AA81" s="116"/>
      <c r="AB81" s="116"/>
      <c r="AC81" s="116"/>
      <c r="AD81" s="116"/>
      <c r="AE81" s="116"/>
      <c r="AF81" s="116"/>
      <c r="AG81" s="116"/>
      <c r="AH81" s="117" t="s">
        <v>3154</v>
      </c>
      <c r="AI81" s="117">
        <v>8</v>
      </c>
      <c r="AJ81" s="117">
        <v>2026</v>
      </c>
      <c r="AK81" s="135" t="str">
        <f t="shared" si="1"/>
        <v>E02656000-----0,75-----------------------</v>
      </c>
      <c r="AL81" s="186">
        <f>VLOOKUP(AK81,Planilha1!B:C,2,0)</f>
        <v>54</v>
      </c>
      <c r="AM81" s="135" t="s">
        <v>3177</v>
      </c>
    </row>
    <row r="82" spans="1:40" x14ac:dyDescent="0.3">
      <c r="A82" s="237" t="s">
        <v>3180</v>
      </c>
      <c r="B82" s="237"/>
      <c r="C82" s="256"/>
      <c r="D82" s="235" t="s">
        <v>3189</v>
      </c>
      <c r="E82" s="200"/>
      <c r="F82" s="200"/>
      <c r="G82" s="200">
        <v>0.75</v>
      </c>
      <c r="H82" s="142"/>
      <c r="I82" s="142"/>
      <c r="J82" s="142"/>
      <c r="K82" s="142"/>
      <c r="L82" s="215"/>
      <c r="M82" s="215"/>
      <c r="N82" s="215"/>
      <c r="O82" s="215"/>
      <c r="P82" s="215"/>
      <c r="Q82" s="116"/>
      <c r="R82" s="116"/>
      <c r="S82" s="215"/>
      <c r="T82" s="215"/>
      <c r="U82" s="116"/>
      <c r="V82" s="116"/>
      <c r="W82" s="116"/>
      <c r="X82" s="116"/>
      <c r="Y82" s="116"/>
      <c r="Z82" s="116"/>
      <c r="AA82" s="116"/>
      <c r="AB82" s="116"/>
      <c r="AC82" s="116"/>
      <c r="AD82" s="116"/>
      <c r="AE82" s="116"/>
      <c r="AF82" s="116"/>
      <c r="AG82" s="116"/>
      <c r="AH82" s="117" t="s">
        <v>3154</v>
      </c>
      <c r="AI82" s="117">
        <v>8</v>
      </c>
      <c r="AJ82" s="117">
        <v>2026</v>
      </c>
      <c r="AK82" s="135" t="str">
        <f t="shared" si="1"/>
        <v>E02656000-----0,75-----------------------</v>
      </c>
      <c r="AL82" s="186">
        <f>VLOOKUP(AK82,Planilha1!B:C,2,0)</f>
        <v>54</v>
      </c>
      <c r="AM82" s="135" t="s">
        <v>3177</v>
      </c>
    </row>
    <row r="83" spans="1:40" x14ac:dyDescent="0.3">
      <c r="A83" s="235" t="s">
        <v>3181</v>
      </c>
      <c r="B83" s="235"/>
      <c r="C83" s="239"/>
      <c r="D83" s="235" t="s">
        <v>3188</v>
      </c>
      <c r="E83" s="200"/>
      <c r="F83" s="200"/>
      <c r="G83" s="200">
        <v>0.75</v>
      </c>
      <c r="H83" s="142"/>
      <c r="I83" s="142"/>
      <c r="J83" s="142"/>
      <c r="K83" s="142"/>
      <c r="L83" s="215"/>
      <c r="M83" s="215"/>
      <c r="N83" s="215"/>
      <c r="O83" s="215"/>
      <c r="P83" s="215"/>
      <c r="Q83" s="116"/>
      <c r="R83" s="116"/>
      <c r="S83" s="215"/>
      <c r="T83" s="215"/>
      <c r="U83" s="116"/>
      <c r="V83" s="116"/>
      <c r="W83" s="116"/>
      <c r="X83" s="116"/>
      <c r="Y83" s="116"/>
      <c r="Z83" s="116"/>
      <c r="AA83" s="116"/>
      <c r="AB83" s="116"/>
      <c r="AC83" s="116"/>
      <c r="AD83" s="116"/>
      <c r="AE83" s="116"/>
      <c r="AF83" s="116"/>
      <c r="AG83" s="116"/>
      <c r="AH83" s="117" t="s">
        <v>3154</v>
      </c>
      <c r="AI83" s="117">
        <v>8</v>
      </c>
      <c r="AJ83" s="117">
        <v>2026</v>
      </c>
      <c r="AK83" s="135" t="str">
        <f t="shared" si="1"/>
        <v>E05363600-----0,75-----------------------</v>
      </c>
      <c r="AL83" s="186">
        <f>VLOOKUP(AK83,Planilha1!B:C,2,0)</f>
        <v>55</v>
      </c>
      <c r="AM83" s="135" t="s">
        <v>3177</v>
      </c>
    </row>
    <row r="84" spans="1:40" x14ac:dyDescent="0.3">
      <c r="A84" s="235" t="s">
        <v>3182</v>
      </c>
      <c r="B84" s="235"/>
      <c r="C84" s="239"/>
      <c r="D84" s="235" t="s">
        <v>3190</v>
      </c>
      <c r="E84" s="200"/>
      <c r="F84" s="200"/>
      <c r="G84" s="200">
        <v>0.5</v>
      </c>
      <c r="H84" s="142"/>
      <c r="I84" s="142"/>
      <c r="J84" s="142"/>
      <c r="K84" s="142"/>
      <c r="L84" s="215"/>
      <c r="M84" s="215"/>
      <c r="N84" s="215"/>
      <c r="O84" s="215"/>
      <c r="P84" s="215"/>
      <c r="Q84" s="116"/>
      <c r="R84" s="116"/>
      <c r="S84" s="215"/>
      <c r="T84" s="215"/>
      <c r="U84" s="116"/>
      <c r="V84" s="116"/>
      <c r="W84" s="116"/>
      <c r="X84" s="116"/>
      <c r="Y84" s="116"/>
      <c r="Z84" s="116"/>
      <c r="AA84" s="116"/>
      <c r="AB84" s="116"/>
      <c r="AC84" s="116"/>
      <c r="AD84" s="116"/>
      <c r="AE84" s="116"/>
      <c r="AF84" s="116"/>
      <c r="AG84" s="116"/>
      <c r="AH84" s="117" t="s">
        <v>3154</v>
      </c>
      <c r="AI84" s="117">
        <v>8</v>
      </c>
      <c r="AJ84" s="117">
        <v>2026</v>
      </c>
      <c r="AK84" s="135" t="str">
        <f t="shared" si="1"/>
        <v>E02719100-----0,5-----------------------</v>
      </c>
      <c r="AL84" s="186">
        <f>VLOOKUP(AK84,Planilha1!B:C,2,0)</f>
        <v>56</v>
      </c>
      <c r="AM84" s="135" t="s">
        <v>3177</v>
      </c>
    </row>
    <row r="85" spans="1:40" x14ac:dyDescent="0.3">
      <c r="A85" s="235" t="s">
        <v>3182</v>
      </c>
      <c r="B85" s="51" t="s">
        <v>3176</v>
      </c>
      <c r="C85" s="239"/>
      <c r="D85" t="s">
        <v>3190</v>
      </c>
      <c r="E85" s="200"/>
      <c r="F85" s="200"/>
      <c r="G85" s="200">
        <v>0.5</v>
      </c>
      <c r="H85" s="116"/>
      <c r="I85" s="116"/>
      <c r="J85" s="116"/>
      <c r="K85" s="116"/>
      <c r="L85" s="215"/>
      <c r="M85" s="215"/>
      <c r="N85" s="215"/>
      <c r="O85" s="215"/>
      <c r="P85" s="215"/>
      <c r="Q85" s="116"/>
      <c r="R85" s="116"/>
      <c r="S85" s="215"/>
      <c r="T85" s="215"/>
      <c r="U85" s="116"/>
      <c r="V85" s="116"/>
      <c r="W85" s="116"/>
      <c r="X85" s="116"/>
      <c r="Y85" s="116"/>
      <c r="Z85" s="116"/>
      <c r="AA85" s="116"/>
      <c r="AB85" s="116"/>
      <c r="AC85" s="116"/>
      <c r="AD85" s="116"/>
      <c r="AE85" s="116"/>
      <c r="AF85" s="116"/>
      <c r="AG85" s="116"/>
      <c r="AH85" s="117" t="s">
        <v>3154</v>
      </c>
      <c r="AI85" s="117">
        <v>8</v>
      </c>
      <c r="AJ85" s="117">
        <v>2026</v>
      </c>
      <c r="AK85" s="135" t="str">
        <f t="shared" si="1"/>
        <v>E02719100-----0,5-----------------------</v>
      </c>
      <c r="AL85" s="186">
        <f>VLOOKUP(AK85,Planilha1!B:C,2,0)</f>
        <v>56</v>
      </c>
      <c r="AM85" s="135" t="s">
        <v>3265</v>
      </c>
      <c r="AN85" t="s">
        <v>3327</v>
      </c>
    </row>
    <row r="86" spans="1:40" x14ac:dyDescent="0.3">
      <c r="A86" s="235" t="s">
        <v>3183</v>
      </c>
      <c r="B86" s="235"/>
      <c r="C86" s="51"/>
      <c r="D86" s="235" t="s">
        <v>3191</v>
      </c>
      <c r="E86" s="200"/>
      <c r="F86" s="200"/>
      <c r="G86" s="200">
        <v>0.35</v>
      </c>
      <c r="H86" s="142"/>
      <c r="I86" s="142"/>
      <c r="J86" s="142"/>
      <c r="K86" s="142"/>
      <c r="L86" s="215"/>
      <c r="M86" s="215"/>
      <c r="N86" s="116"/>
      <c r="O86" s="116"/>
      <c r="P86" s="116"/>
      <c r="Q86" s="116"/>
      <c r="R86" s="116"/>
      <c r="S86" s="215"/>
      <c r="T86" s="215"/>
      <c r="U86" s="215"/>
      <c r="V86" s="116"/>
      <c r="W86" s="116"/>
      <c r="X86" s="116"/>
      <c r="Y86" s="116"/>
      <c r="Z86" s="116"/>
      <c r="AA86" s="116"/>
      <c r="AB86" s="116"/>
      <c r="AC86" s="116"/>
      <c r="AD86" s="116"/>
      <c r="AE86" s="116"/>
      <c r="AF86" s="116"/>
      <c r="AG86" s="116"/>
      <c r="AH86" s="117" t="s">
        <v>3154</v>
      </c>
      <c r="AI86" s="117">
        <v>8</v>
      </c>
      <c r="AJ86" s="117">
        <v>2026</v>
      </c>
      <c r="AK86" s="135" t="str">
        <f t="shared" si="1"/>
        <v>E04410900-----0,35-----------------------</v>
      </c>
      <c r="AL86" s="186">
        <f>VLOOKUP(AK86,Planilha1!B:C,2,0)</f>
        <v>57</v>
      </c>
      <c r="AM86" s="135" t="s">
        <v>3177</v>
      </c>
    </row>
    <row r="87" spans="1:40" x14ac:dyDescent="0.3">
      <c r="A87" s="235" t="s">
        <v>1510</v>
      </c>
      <c r="B87" s="235"/>
      <c r="C87" s="239"/>
      <c r="D87" s="235" t="s">
        <v>3192</v>
      </c>
      <c r="E87" s="200"/>
      <c r="F87" s="200"/>
      <c r="G87" s="200">
        <v>0.75</v>
      </c>
      <c r="H87" s="142"/>
      <c r="I87" s="142"/>
      <c r="J87" s="142"/>
      <c r="K87" s="142"/>
      <c r="L87" s="215"/>
      <c r="M87" s="215"/>
      <c r="N87" s="116"/>
      <c r="O87" s="116"/>
      <c r="P87" s="116"/>
      <c r="Q87" s="116"/>
      <c r="R87" s="116"/>
      <c r="S87" s="215"/>
      <c r="T87" s="215"/>
      <c r="U87" s="215"/>
      <c r="V87" s="116"/>
      <c r="W87" s="116"/>
      <c r="X87" s="116"/>
      <c r="Y87" s="116"/>
      <c r="Z87" s="116"/>
      <c r="AA87" s="116"/>
      <c r="AB87" s="116"/>
      <c r="AC87" s="116"/>
      <c r="AD87" s="116"/>
      <c r="AE87" s="116"/>
      <c r="AF87" s="116"/>
      <c r="AG87" s="116"/>
      <c r="AH87" s="117" t="s">
        <v>3154</v>
      </c>
      <c r="AI87" s="117">
        <v>8</v>
      </c>
      <c r="AJ87" s="117">
        <v>2026</v>
      </c>
      <c r="AK87" s="135" t="str">
        <f t="shared" si="1"/>
        <v>32025Y3B8-----0,75-----------------------</v>
      </c>
      <c r="AL87" s="186">
        <f>VLOOKUP(AK87,Planilha1!B:C,2,0)</f>
        <v>58</v>
      </c>
      <c r="AM87" s="135" t="s">
        <v>3177</v>
      </c>
    </row>
    <row r="88" spans="1:40" x14ac:dyDescent="0.3">
      <c r="A88" s="235" t="s">
        <v>3184</v>
      </c>
      <c r="B88" s="235"/>
      <c r="C88" s="239"/>
      <c r="D88" s="235" t="s">
        <v>3193</v>
      </c>
      <c r="E88" s="200"/>
      <c r="F88" s="200"/>
      <c r="G88" s="200">
        <v>0.35</v>
      </c>
      <c r="H88" s="142"/>
      <c r="I88" s="142"/>
      <c r="J88" s="142"/>
      <c r="K88" s="142"/>
      <c r="L88" s="215"/>
      <c r="M88" s="215"/>
      <c r="N88" s="116"/>
      <c r="O88" s="116"/>
      <c r="P88" s="116"/>
      <c r="Q88" s="116"/>
      <c r="R88" s="116"/>
      <c r="S88" s="215"/>
      <c r="T88" s="215"/>
      <c r="U88" s="215"/>
      <c r="V88" s="116"/>
      <c r="W88" s="116"/>
      <c r="X88" s="116"/>
      <c r="Y88" s="116"/>
      <c r="Z88" s="116"/>
      <c r="AA88" s="116"/>
      <c r="AB88" s="116"/>
      <c r="AC88" s="116"/>
      <c r="AD88" s="116"/>
      <c r="AE88" s="116"/>
      <c r="AF88" s="116"/>
      <c r="AG88" s="116"/>
      <c r="AH88" s="117" t="s">
        <v>3154</v>
      </c>
      <c r="AI88" s="117">
        <v>8</v>
      </c>
      <c r="AJ88" s="117">
        <v>2026</v>
      </c>
      <c r="AK88" s="135" t="str">
        <f t="shared" si="1"/>
        <v>E03844600-----0,35-----------------------</v>
      </c>
      <c r="AL88" s="186">
        <f>VLOOKUP(AK88,Planilha1!B:C,2,0)</f>
        <v>59</v>
      </c>
      <c r="AM88" s="135" t="s">
        <v>3177</v>
      </c>
    </row>
    <row r="89" spans="1:40" x14ac:dyDescent="0.3">
      <c r="A89" s="235" t="s">
        <v>3202</v>
      </c>
      <c r="B89" s="235"/>
      <c r="C89" s="239" t="s">
        <v>3203</v>
      </c>
      <c r="E89" s="200"/>
      <c r="F89" s="200"/>
      <c r="G89" s="200">
        <v>3.25</v>
      </c>
      <c r="H89" s="141">
        <v>1</v>
      </c>
      <c r="I89" s="141">
        <v>1</v>
      </c>
      <c r="J89" s="141">
        <v>0.75</v>
      </c>
      <c r="K89" s="141">
        <v>0.5</v>
      </c>
      <c r="L89" s="215"/>
      <c r="M89" s="215"/>
      <c r="N89" s="116"/>
      <c r="O89" s="116"/>
      <c r="P89" s="116"/>
      <c r="Q89" s="116"/>
      <c r="R89" s="116"/>
      <c r="S89" s="215"/>
      <c r="T89" s="215"/>
      <c r="U89" s="215"/>
      <c r="V89" s="116"/>
      <c r="W89" s="116"/>
      <c r="X89" s="116"/>
      <c r="Y89" s="116"/>
      <c r="Z89" s="116"/>
      <c r="AA89" s="116"/>
      <c r="AB89" s="116"/>
      <c r="AC89" s="116"/>
      <c r="AD89" s="116"/>
      <c r="AE89" s="117" t="s">
        <v>3154</v>
      </c>
      <c r="AF89" s="116"/>
      <c r="AG89" s="117" t="s">
        <v>3154</v>
      </c>
      <c r="AH89" s="116"/>
      <c r="AI89" s="117">
        <v>16</v>
      </c>
      <c r="AJ89" s="117">
        <v>2026</v>
      </c>
      <c r="AK89" s="135" t="str">
        <f t="shared" si="1"/>
        <v>E15132900--3299365JY---3,25-1-1-0,75-0,5-------------------</v>
      </c>
      <c r="AL89" s="186">
        <f>VLOOKUP(AK89,Planilha1!B:C,2,0)</f>
        <v>60</v>
      </c>
      <c r="AM89" s="135" t="s">
        <v>3177</v>
      </c>
    </row>
    <row r="90" spans="1:40" x14ac:dyDescent="0.3">
      <c r="A90" s="235" t="s">
        <v>3202</v>
      </c>
      <c r="B90" s="48"/>
      <c r="C90" s="239" t="s">
        <v>3203</v>
      </c>
      <c r="E90" s="236"/>
      <c r="F90" s="236"/>
      <c r="G90" s="200">
        <v>3.25</v>
      </c>
      <c r="H90" s="51">
        <v>1</v>
      </c>
      <c r="I90" s="51">
        <v>1</v>
      </c>
      <c r="J90" s="245">
        <v>0.75</v>
      </c>
      <c r="K90" s="245">
        <v>0.5</v>
      </c>
      <c r="L90" s="236"/>
      <c r="M90" s="236"/>
      <c r="S90" s="236"/>
      <c r="T90" s="236"/>
      <c r="U90" s="236"/>
      <c r="AE90" s="51" t="s">
        <v>3154</v>
      </c>
      <c r="AF90" s="48"/>
      <c r="AG90" s="51" t="s">
        <v>3154</v>
      </c>
      <c r="AI90" s="117">
        <v>16</v>
      </c>
      <c r="AJ90" s="117">
        <v>2026</v>
      </c>
      <c r="AK90" s="135" t="str">
        <f t="shared" si="1"/>
        <v>E15132900--3299365JY---3,25-1-1-0,75-0,5-------------------</v>
      </c>
      <c r="AL90" s="186">
        <f>VLOOKUP(AK90,Planilha1!B:C,2,0)</f>
        <v>60</v>
      </c>
      <c r="AM90" s="135" t="s">
        <v>3638</v>
      </c>
    </row>
    <row r="91" spans="1:40" x14ac:dyDescent="0.3">
      <c r="A91" s="235" t="s">
        <v>3202</v>
      </c>
      <c r="B91" s="235"/>
      <c r="C91" s="239" t="s">
        <v>3203</v>
      </c>
      <c r="E91" s="200"/>
      <c r="F91" s="200"/>
      <c r="G91" s="200">
        <v>2.75</v>
      </c>
      <c r="H91" s="141">
        <v>1</v>
      </c>
      <c r="I91" s="141">
        <v>1</v>
      </c>
      <c r="J91" s="141">
        <v>0.75</v>
      </c>
      <c r="K91" s="141" t="s">
        <v>3176</v>
      </c>
      <c r="L91" s="215"/>
      <c r="M91" s="215"/>
      <c r="N91" s="116"/>
      <c r="O91" s="116"/>
      <c r="P91" s="116"/>
      <c r="Q91" s="116"/>
      <c r="R91" s="116"/>
      <c r="S91" s="215"/>
      <c r="T91" s="215"/>
      <c r="U91" s="215"/>
      <c r="V91" s="116"/>
      <c r="W91" s="116"/>
      <c r="X91" s="116"/>
      <c r="Y91" s="116"/>
      <c r="Z91" s="116"/>
      <c r="AA91" s="116"/>
      <c r="AB91" s="116"/>
      <c r="AC91" s="116"/>
      <c r="AD91" s="116"/>
      <c r="AE91" s="117" t="s">
        <v>3154</v>
      </c>
      <c r="AF91" s="116"/>
      <c r="AG91" s="117" t="s">
        <v>3154</v>
      </c>
      <c r="AH91" s="116"/>
      <c r="AI91" s="117">
        <v>16</v>
      </c>
      <c r="AJ91" s="117">
        <v>2026</v>
      </c>
      <c r="AK91" s="135" t="str">
        <f t="shared" si="1"/>
        <v>E15132900--3299365JY---2,75-1-1-0,75--------------------</v>
      </c>
      <c r="AL91" s="186">
        <f>VLOOKUP(AK91,Planilha1!B:C,2,0)</f>
        <v>61</v>
      </c>
      <c r="AM91" s="135" t="s">
        <v>3177</v>
      </c>
    </row>
    <row r="92" spans="1:40" x14ac:dyDescent="0.3">
      <c r="A92" s="113" t="s">
        <v>3202</v>
      </c>
      <c r="B92" s="236"/>
      <c r="C92" s="239" t="s">
        <v>3203</v>
      </c>
      <c r="E92" s="236"/>
      <c r="G92" s="203">
        <v>2.75</v>
      </c>
      <c r="H92" s="51">
        <v>1</v>
      </c>
      <c r="I92" s="51">
        <v>1</v>
      </c>
      <c r="J92" s="245">
        <v>0.75</v>
      </c>
      <c r="K92" s="51"/>
      <c r="AE92" s="51" t="s">
        <v>3154</v>
      </c>
      <c r="AF92" s="48"/>
      <c r="AG92" s="51" t="s">
        <v>3154</v>
      </c>
      <c r="AI92" s="117">
        <v>16</v>
      </c>
      <c r="AJ92" s="117">
        <v>2026</v>
      </c>
      <c r="AK92" s="135" t="str">
        <f t="shared" si="1"/>
        <v>E15132900--3299365JY---2,75-1-1-0,75--------------------</v>
      </c>
      <c r="AL92" s="186">
        <f>VLOOKUP(AK92,Planilha1!B:C,2,0)</f>
        <v>61</v>
      </c>
      <c r="AM92" s="135" t="s">
        <v>3638</v>
      </c>
    </row>
    <row r="93" spans="1:40" x14ac:dyDescent="0.3">
      <c r="A93" s="236"/>
      <c r="B93" s="236"/>
      <c r="C93" s="239" t="s">
        <v>3157</v>
      </c>
      <c r="D93" s="48"/>
      <c r="E93" s="200">
        <v>1.5</v>
      </c>
      <c r="F93" s="203">
        <v>2.5</v>
      </c>
      <c r="G93" s="203">
        <v>4</v>
      </c>
      <c r="H93" s="251"/>
      <c r="I93" s="251"/>
      <c r="J93" s="251"/>
      <c r="K93" s="251"/>
      <c r="L93" s="248">
        <v>1.5</v>
      </c>
      <c r="M93" s="248"/>
      <c r="N93" s="248"/>
      <c r="O93" s="248"/>
      <c r="P93" s="248"/>
      <c r="Q93" s="116"/>
      <c r="R93" s="116"/>
      <c r="S93" s="248">
        <v>2</v>
      </c>
      <c r="T93" s="248">
        <v>0.5</v>
      </c>
      <c r="U93" s="116"/>
      <c r="V93" s="116"/>
      <c r="W93" s="116"/>
      <c r="X93" s="116"/>
      <c r="Y93" s="116"/>
      <c r="Z93" s="116"/>
      <c r="AA93" s="116"/>
      <c r="AB93" s="116"/>
      <c r="AC93" s="116"/>
      <c r="AD93" s="116"/>
      <c r="AE93" s="116"/>
      <c r="AF93" s="117" t="s">
        <v>3154</v>
      </c>
      <c r="AG93" s="117" t="s">
        <v>3154</v>
      </c>
      <c r="AH93" s="116"/>
      <c r="AI93" s="117">
        <v>16</v>
      </c>
      <c r="AJ93" s="117">
        <v>2026</v>
      </c>
      <c r="AK93" s="135" t="str">
        <f t="shared" si="1"/>
        <v>--3299362M9-1,5-2,5-4-----1,5-------2-0,5----------</v>
      </c>
      <c r="AL93" s="186">
        <f>VLOOKUP(AK93,Planilha1!B:C,2,0)</f>
        <v>62</v>
      </c>
      <c r="AM93" s="180" t="s">
        <v>3234</v>
      </c>
    </row>
    <row r="94" spans="1:40" x14ac:dyDescent="0.3">
      <c r="A94" s="236"/>
      <c r="B94" s="236"/>
      <c r="C94" s="239" t="s">
        <v>3156</v>
      </c>
      <c r="E94" s="203">
        <v>1.5</v>
      </c>
      <c r="F94" s="203">
        <v>1.5</v>
      </c>
      <c r="G94" s="200">
        <v>3</v>
      </c>
      <c r="H94" s="116"/>
      <c r="I94" s="116"/>
      <c r="J94" s="116"/>
      <c r="K94" s="116"/>
      <c r="L94" s="248">
        <v>0.75</v>
      </c>
      <c r="M94" s="248">
        <v>0.75</v>
      </c>
      <c r="N94" s="248"/>
      <c r="O94" s="248"/>
      <c r="P94" s="248"/>
      <c r="Q94" s="116"/>
      <c r="R94" s="116"/>
      <c r="S94" s="248">
        <v>0.75</v>
      </c>
      <c r="T94" s="248">
        <v>0.75</v>
      </c>
      <c r="U94" s="251"/>
      <c r="V94" s="251"/>
      <c r="W94" s="116"/>
      <c r="X94" s="116"/>
      <c r="Y94" s="116"/>
      <c r="Z94" s="251"/>
      <c r="AA94" s="116"/>
      <c r="AB94" s="116"/>
      <c r="AC94" s="116"/>
      <c r="AD94" s="116"/>
      <c r="AE94" s="116"/>
      <c r="AF94" s="248" t="s">
        <v>3154</v>
      </c>
      <c r="AG94" s="248" t="s">
        <v>3154</v>
      </c>
      <c r="AH94" s="116"/>
      <c r="AI94" s="117">
        <v>16</v>
      </c>
      <c r="AJ94" s="117">
        <v>2026</v>
      </c>
      <c r="AK94" s="135" t="str">
        <f t="shared" si="1"/>
        <v>--E16718500-1,5-1,5-3-----0,75-0,75------0,75-0,75----------</v>
      </c>
      <c r="AL94" s="186">
        <f>VLOOKUP(AK94,Planilha1!B:C,2,0)</f>
        <v>63</v>
      </c>
      <c r="AM94" s="180" t="s">
        <v>3234</v>
      </c>
    </row>
    <row r="95" spans="1:40" x14ac:dyDescent="0.3">
      <c r="A95" s="236"/>
      <c r="B95" s="236"/>
      <c r="C95" s="239" t="s">
        <v>3157</v>
      </c>
      <c r="D95" s="48"/>
      <c r="E95" s="203">
        <v>0</v>
      </c>
      <c r="F95" s="203">
        <v>3</v>
      </c>
      <c r="G95" s="200">
        <v>3</v>
      </c>
      <c r="H95" s="116"/>
      <c r="I95" s="116"/>
      <c r="J95" s="116"/>
      <c r="K95" s="116"/>
      <c r="L95" s="248"/>
      <c r="M95" s="248"/>
      <c r="N95" s="248"/>
      <c r="O95" s="248"/>
      <c r="P95" s="248"/>
      <c r="Q95" s="116"/>
      <c r="R95" s="116"/>
      <c r="S95" s="248">
        <v>3</v>
      </c>
      <c r="T95" s="248"/>
      <c r="U95" s="116"/>
      <c r="V95" s="116"/>
      <c r="W95" s="116"/>
      <c r="X95" s="116"/>
      <c r="Y95" s="116"/>
      <c r="Z95" s="116"/>
      <c r="AA95" s="116"/>
      <c r="AB95" s="116"/>
      <c r="AC95" s="116"/>
      <c r="AD95" s="116"/>
      <c r="AE95" s="116"/>
      <c r="AF95" s="117" t="s">
        <v>3154</v>
      </c>
      <c r="AG95" s="117" t="s">
        <v>3154</v>
      </c>
      <c r="AH95" s="116"/>
      <c r="AI95" s="117">
        <v>16</v>
      </c>
      <c r="AJ95" s="117">
        <v>2026</v>
      </c>
      <c r="AK95" s="135" t="str">
        <f t="shared" si="1"/>
        <v>--3299362M9-0-3-3------------3-----------</v>
      </c>
      <c r="AL95" s="186">
        <f>VLOOKUP(AK95,Planilha1!B:C,2,0)</f>
        <v>64</v>
      </c>
      <c r="AM95" s="180" t="s">
        <v>3234</v>
      </c>
    </row>
    <row r="96" spans="1:40" x14ac:dyDescent="0.3">
      <c r="A96" s="236"/>
      <c r="B96" s="236"/>
      <c r="C96" s="239" t="s">
        <v>3157</v>
      </c>
      <c r="D96" s="48"/>
      <c r="E96" s="203">
        <v>3.5</v>
      </c>
      <c r="F96" s="203">
        <v>3</v>
      </c>
      <c r="G96" s="200">
        <v>6.5</v>
      </c>
      <c r="H96" s="116"/>
      <c r="I96" s="116"/>
      <c r="J96" s="116"/>
      <c r="K96" s="116"/>
      <c r="L96" s="248">
        <v>0.5</v>
      </c>
      <c r="M96" s="248">
        <v>0.5</v>
      </c>
      <c r="N96" s="248">
        <v>2.5</v>
      </c>
      <c r="O96" s="248"/>
      <c r="P96" s="248"/>
      <c r="Q96" s="116"/>
      <c r="R96" s="116"/>
      <c r="S96" s="248">
        <v>3</v>
      </c>
      <c r="T96" s="248"/>
      <c r="U96" s="251"/>
      <c r="V96" s="251"/>
      <c r="W96" s="251"/>
      <c r="X96" s="116"/>
      <c r="Y96" s="116"/>
      <c r="Z96" s="116"/>
      <c r="AA96" s="116"/>
      <c r="AB96" s="116"/>
      <c r="AC96" s="116"/>
      <c r="AD96" s="116"/>
      <c r="AE96" s="116"/>
      <c r="AF96" s="117" t="s">
        <v>3154</v>
      </c>
      <c r="AG96" s="117" t="s">
        <v>3154</v>
      </c>
      <c r="AH96" s="116"/>
      <c r="AI96" s="117">
        <v>16</v>
      </c>
      <c r="AJ96" s="117">
        <v>2026</v>
      </c>
      <c r="AK96" s="135" t="str">
        <f t="shared" si="1"/>
        <v>--3299362M9-3,5-3-6,5-----0,5-0,5-2,5-----3-----------</v>
      </c>
      <c r="AL96" s="186">
        <f>VLOOKUP(AK96,Planilha1!B:C,2,0)</f>
        <v>65</v>
      </c>
      <c r="AM96" s="180" t="s">
        <v>3234</v>
      </c>
    </row>
    <row r="97" spans="1:40" x14ac:dyDescent="0.3">
      <c r="C97" s="239" t="s">
        <v>3157</v>
      </c>
      <c r="D97" s="48"/>
      <c r="E97" s="200">
        <v>4.5</v>
      </c>
      <c r="F97" s="200">
        <v>3</v>
      </c>
      <c r="G97" s="200">
        <v>7.5</v>
      </c>
      <c r="H97" s="116"/>
      <c r="I97" s="116"/>
      <c r="J97" s="116"/>
      <c r="K97" s="116"/>
      <c r="L97" s="248">
        <v>1</v>
      </c>
      <c r="M97" s="248">
        <v>0.5</v>
      </c>
      <c r="N97" s="248" t="s">
        <v>3233</v>
      </c>
      <c r="O97" s="248">
        <v>2.5</v>
      </c>
      <c r="P97" s="116"/>
      <c r="Q97" s="116"/>
      <c r="R97" s="116"/>
      <c r="S97" s="248">
        <v>3</v>
      </c>
      <c r="T97" s="248"/>
      <c r="U97" s="251"/>
      <c r="V97" s="251"/>
      <c r="W97" s="251"/>
      <c r="X97" s="116"/>
      <c r="Y97" s="116"/>
      <c r="Z97" s="116"/>
      <c r="AA97" s="116"/>
      <c r="AB97" s="116"/>
      <c r="AC97" s="116"/>
      <c r="AD97" s="116"/>
      <c r="AE97" s="116"/>
      <c r="AF97" s="117" t="s">
        <v>3154</v>
      </c>
      <c r="AG97" s="117" t="s">
        <v>3154</v>
      </c>
      <c r="AH97" s="116"/>
      <c r="AI97" s="117">
        <v>16</v>
      </c>
      <c r="AJ97" s="117">
        <v>2026</v>
      </c>
      <c r="AK97" s="135" t="str">
        <f t="shared" si="1"/>
        <v>--3299362M9-4,5-3-7,5-----1-0,5-0.5-2,5----3-----------</v>
      </c>
      <c r="AL97" s="186">
        <f>VLOOKUP(AK97,Planilha1!B:C,2,0)</f>
        <v>66</v>
      </c>
      <c r="AM97" s="181" t="s">
        <v>3234</v>
      </c>
    </row>
    <row r="98" spans="1:40" x14ac:dyDescent="0.3">
      <c r="C98" s="239" t="s">
        <v>3157</v>
      </c>
      <c r="D98" s="48"/>
      <c r="E98" s="200">
        <v>4.5</v>
      </c>
      <c r="F98" s="200">
        <v>3</v>
      </c>
      <c r="G98" s="200">
        <v>7.5</v>
      </c>
      <c r="H98" s="116"/>
      <c r="I98" s="116"/>
      <c r="J98" s="116"/>
      <c r="K98" s="116"/>
      <c r="L98" s="248">
        <v>1</v>
      </c>
      <c r="M98" s="248">
        <v>0.5</v>
      </c>
      <c r="N98" s="248">
        <v>0.5</v>
      </c>
      <c r="O98" s="248">
        <v>2.5</v>
      </c>
      <c r="P98" s="248"/>
      <c r="Q98" s="116"/>
      <c r="R98" s="116"/>
      <c r="S98" s="248">
        <v>3</v>
      </c>
      <c r="T98" s="248"/>
      <c r="U98" s="251"/>
      <c r="V98" s="251"/>
      <c r="W98" s="251"/>
      <c r="X98" s="116"/>
      <c r="Y98" s="116"/>
      <c r="Z98" s="116"/>
      <c r="AA98" s="116"/>
      <c r="AB98" s="116"/>
      <c r="AC98" s="116"/>
      <c r="AD98" s="116"/>
      <c r="AE98" s="116"/>
      <c r="AF98" s="117" t="s">
        <v>3154</v>
      </c>
      <c r="AG98" s="117" t="s">
        <v>3154</v>
      </c>
      <c r="AH98" s="116"/>
      <c r="AI98" s="117">
        <v>16</v>
      </c>
      <c r="AJ98" s="117">
        <v>2026</v>
      </c>
      <c r="AK98" s="135" t="str">
        <f t="shared" si="1"/>
        <v>--3299362M9-4,5-3-7,5-----1-0,5-0,5-2,5----3-----------</v>
      </c>
      <c r="AL98" s="186">
        <f>VLOOKUP(AK98,Planilha1!B:C,2,0)</f>
        <v>67</v>
      </c>
      <c r="AM98" s="181" t="s">
        <v>3234</v>
      </c>
    </row>
    <row r="99" spans="1:40" x14ac:dyDescent="0.3">
      <c r="A99" s="236"/>
      <c r="B99" s="238"/>
      <c r="C99" s="245" t="s">
        <v>3157</v>
      </c>
      <c r="D99" s="48"/>
      <c r="E99" s="203">
        <v>4.5</v>
      </c>
      <c r="F99" s="203">
        <v>3</v>
      </c>
      <c r="G99" s="200">
        <v>7.5</v>
      </c>
      <c r="H99" s="116"/>
      <c r="I99" s="116"/>
      <c r="J99" s="116"/>
      <c r="K99" s="116"/>
      <c r="L99" s="140">
        <v>1</v>
      </c>
      <c r="M99" s="140">
        <v>0.5</v>
      </c>
      <c r="N99" s="140">
        <v>0.5</v>
      </c>
      <c r="O99" s="140">
        <v>2.5</v>
      </c>
      <c r="P99" s="140"/>
      <c r="Q99" s="116"/>
      <c r="R99" s="116"/>
      <c r="S99" s="140">
        <v>3</v>
      </c>
      <c r="T99" s="140"/>
      <c r="U99" s="140"/>
      <c r="V99" s="140"/>
      <c r="W99" s="251"/>
      <c r="X99" s="116"/>
      <c r="Y99" s="116"/>
      <c r="Z99" s="140"/>
      <c r="AA99" s="116"/>
      <c r="AB99" s="116"/>
      <c r="AC99" s="116"/>
      <c r="AD99" s="116"/>
      <c r="AE99" s="116"/>
      <c r="AF99" s="248" t="s">
        <v>3154</v>
      </c>
      <c r="AG99" s="248" t="s">
        <v>3154</v>
      </c>
      <c r="AH99" s="116"/>
      <c r="AI99" s="117">
        <v>16</v>
      </c>
      <c r="AJ99" s="117">
        <v>2026</v>
      </c>
      <c r="AK99" s="135" t="str">
        <f t="shared" si="1"/>
        <v>--3299362M9-4,5-3-7,5-----1-0,5-0,5-2,5----3-----------</v>
      </c>
      <c r="AL99" s="186">
        <f>VLOOKUP(AK99,Planilha1!B:C,2,0)</f>
        <v>67</v>
      </c>
      <c r="AM99" s="135" t="s">
        <v>3354</v>
      </c>
      <c r="AN99" s="83" t="s">
        <v>3355</v>
      </c>
    </row>
    <row r="100" spans="1:40" x14ac:dyDescent="0.3">
      <c r="A100" s="236"/>
      <c r="B100" s="238"/>
      <c r="C100" s="51" t="s">
        <v>3157</v>
      </c>
      <c r="D100" s="48"/>
      <c r="E100" s="203">
        <v>3.5</v>
      </c>
      <c r="F100" s="203">
        <v>4</v>
      </c>
      <c r="G100" s="200">
        <v>7.5</v>
      </c>
      <c r="H100" s="116"/>
      <c r="I100" s="116"/>
      <c r="J100" s="116"/>
      <c r="K100" s="116"/>
      <c r="L100" s="248">
        <v>0.5</v>
      </c>
      <c r="M100" s="248">
        <v>0.5</v>
      </c>
      <c r="N100" s="248">
        <v>2.5</v>
      </c>
      <c r="O100" s="248"/>
      <c r="P100" s="248"/>
      <c r="Q100" s="116"/>
      <c r="R100" s="116"/>
      <c r="S100" s="248">
        <v>1</v>
      </c>
      <c r="T100" s="248">
        <v>3</v>
      </c>
      <c r="U100" s="251"/>
      <c r="V100" s="251"/>
      <c r="W100" s="251"/>
      <c r="X100" s="116"/>
      <c r="Y100" s="116"/>
      <c r="Z100" s="116"/>
      <c r="AA100" s="116"/>
      <c r="AB100" s="116"/>
      <c r="AC100" s="116"/>
      <c r="AD100" s="116"/>
      <c r="AE100" s="116"/>
      <c r="AF100" s="117" t="s">
        <v>3154</v>
      </c>
      <c r="AG100" s="117" t="s">
        <v>3154</v>
      </c>
      <c r="AH100" s="116"/>
      <c r="AI100" s="117">
        <v>16</v>
      </c>
      <c r="AJ100" s="117">
        <v>2026</v>
      </c>
      <c r="AK100" s="135" t="str">
        <f t="shared" si="1"/>
        <v>--3299362M9-3,5-4-7,5-----0,5-0,5-2,5-----1-3----------</v>
      </c>
      <c r="AL100" s="186">
        <f>VLOOKUP(AK100,Planilha1!B:C,2,0)</f>
        <v>68</v>
      </c>
      <c r="AM100" s="181" t="s">
        <v>3234</v>
      </c>
    </row>
    <row r="101" spans="1:40" x14ac:dyDescent="0.3">
      <c r="A101" s="236"/>
      <c r="B101" s="238"/>
      <c r="C101" s="51" t="s">
        <v>3157</v>
      </c>
      <c r="D101" s="48"/>
      <c r="E101" s="203">
        <v>3.5</v>
      </c>
      <c r="F101" s="203">
        <v>4</v>
      </c>
      <c r="G101" s="200">
        <v>7.5</v>
      </c>
      <c r="H101" s="116"/>
      <c r="I101" s="116"/>
      <c r="J101" s="116"/>
      <c r="K101" s="116"/>
      <c r="L101" s="248">
        <v>0.5</v>
      </c>
      <c r="M101" s="248">
        <v>0.5</v>
      </c>
      <c r="N101" s="248">
        <v>2.5</v>
      </c>
      <c r="O101" s="248"/>
      <c r="P101" s="248"/>
      <c r="Q101" s="116"/>
      <c r="R101" s="116"/>
      <c r="S101" s="248">
        <v>1</v>
      </c>
      <c r="T101" s="248">
        <v>3</v>
      </c>
      <c r="U101" s="251"/>
      <c r="V101" s="251"/>
      <c r="W101" s="251"/>
      <c r="X101" s="116"/>
      <c r="Y101" s="116"/>
      <c r="Z101" s="116"/>
      <c r="AA101" s="116"/>
      <c r="AB101" s="116"/>
      <c r="AC101" s="116"/>
      <c r="AD101" s="116"/>
      <c r="AE101" s="116"/>
      <c r="AF101" s="117" t="s">
        <v>3154</v>
      </c>
      <c r="AG101" s="117" t="s">
        <v>3154</v>
      </c>
      <c r="AH101" s="116"/>
      <c r="AI101" s="117">
        <v>16</v>
      </c>
      <c r="AJ101" s="117">
        <v>2026</v>
      </c>
      <c r="AK101" s="135" t="str">
        <f t="shared" si="1"/>
        <v>--3299362M9-3,5-4-7,5-----0,5-0,5-2,5-----1-3----------</v>
      </c>
      <c r="AL101" s="186">
        <f>VLOOKUP(AK101,Planilha1!B:C,2,0)</f>
        <v>68</v>
      </c>
      <c r="AM101" s="181" t="s">
        <v>3234</v>
      </c>
    </row>
    <row r="102" spans="1:40" x14ac:dyDescent="0.3">
      <c r="A102" s="236"/>
      <c r="B102" s="238"/>
      <c r="C102" s="51" t="s">
        <v>3157</v>
      </c>
      <c r="D102" s="48"/>
      <c r="E102" s="203">
        <v>3.5</v>
      </c>
      <c r="F102" s="203">
        <v>4</v>
      </c>
      <c r="G102" s="200">
        <v>7.5</v>
      </c>
      <c r="H102" s="116"/>
      <c r="I102" s="116"/>
      <c r="J102" s="116"/>
      <c r="K102" s="116"/>
      <c r="L102" s="140">
        <v>0.5</v>
      </c>
      <c r="M102" s="140">
        <v>0.5</v>
      </c>
      <c r="N102" s="140">
        <v>2.5</v>
      </c>
      <c r="O102" s="140"/>
      <c r="P102" s="140"/>
      <c r="Q102" s="116"/>
      <c r="R102" s="116"/>
      <c r="S102" s="140">
        <v>1</v>
      </c>
      <c r="T102" s="140">
        <v>3</v>
      </c>
      <c r="U102" s="140"/>
      <c r="V102" s="140"/>
      <c r="W102" s="251"/>
      <c r="X102" s="116"/>
      <c r="Y102" s="116"/>
      <c r="Z102" s="140"/>
      <c r="AA102" s="116"/>
      <c r="AB102" s="116"/>
      <c r="AC102" s="116"/>
      <c r="AD102" s="116"/>
      <c r="AE102" s="116"/>
      <c r="AF102" s="248" t="s">
        <v>3154</v>
      </c>
      <c r="AG102" s="248" t="s">
        <v>3154</v>
      </c>
      <c r="AH102" s="116"/>
      <c r="AI102" s="117">
        <v>16</v>
      </c>
      <c r="AJ102" s="117">
        <v>2026</v>
      </c>
      <c r="AK102" s="135" t="str">
        <f t="shared" si="1"/>
        <v>--3299362M9-3,5-4-7,5-----0,5-0,5-2,5-----1-3----------</v>
      </c>
      <c r="AL102" s="186">
        <f>VLOOKUP(AK102,Planilha1!B:C,2,0)</f>
        <v>68</v>
      </c>
      <c r="AM102" s="135" t="s">
        <v>3354</v>
      </c>
      <c r="AN102" s="83" t="s">
        <v>3355</v>
      </c>
    </row>
    <row r="103" spans="1:40" x14ac:dyDescent="0.3">
      <c r="A103" s="236"/>
      <c r="B103" s="238"/>
      <c r="C103" s="51" t="s">
        <v>3157</v>
      </c>
      <c r="D103" s="48"/>
      <c r="E103" s="203">
        <v>3.5</v>
      </c>
      <c r="F103" s="203">
        <v>4.5</v>
      </c>
      <c r="G103" s="200">
        <v>8</v>
      </c>
      <c r="H103" s="116"/>
      <c r="I103" s="116"/>
      <c r="J103" s="116"/>
      <c r="K103" s="116"/>
      <c r="L103" s="248">
        <v>0.5</v>
      </c>
      <c r="M103" s="248">
        <v>1</v>
      </c>
      <c r="N103" s="248">
        <v>2.5</v>
      </c>
      <c r="O103" s="248"/>
      <c r="P103" s="248"/>
      <c r="Q103" s="116"/>
      <c r="R103" s="116"/>
      <c r="S103" s="248">
        <v>3</v>
      </c>
      <c r="T103" s="248">
        <v>0.5</v>
      </c>
      <c r="U103" s="251"/>
      <c r="V103" s="251"/>
      <c r="W103" s="251"/>
      <c r="X103" s="116"/>
      <c r="Y103" s="116"/>
      <c r="Z103" s="116"/>
      <c r="AA103" s="116"/>
      <c r="AB103" s="116"/>
      <c r="AC103" s="116"/>
      <c r="AD103" s="116"/>
      <c r="AE103" s="116"/>
      <c r="AF103" s="117" t="s">
        <v>3154</v>
      </c>
      <c r="AG103" s="117" t="s">
        <v>3154</v>
      </c>
      <c r="AH103" s="116"/>
      <c r="AI103" s="117">
        <v>16</v>
      </c>
      <c r="AJ103" s="117">
        <v>2026</v>
      </c>
      <c r="AK103" s="135" t="str">
        <f t="shared" si="1"/>
        <v>--3299362M9-3,5-4,5-8-----0,5-1-2,5-----3-0,5----------</v>
      </c>
      <c r="AL103" s="186">
        <f>VLOOKUP(AK103,Planilha1!B:C,2,0)</f>
        <v>69</v>
      </c>
      <c r="AM103" s="181" t="s">
        <v>3234</v>
      </c>
    </row>
    <row r="104" spans="1:40" x14ac:dyDescent="0.3">
      <c r="A104" s="236"/>
      <c r="B104" s="238"/>
      <c r="C104" s="51" t="s">
        <v>3157</v>
      </c>
      <c r="D104" s="48"/>
      <c r="E104" s="203">
        <v>3.5</v>
      </c>
      <c r="F104" s="203">
        <v>4.5</v>
      </c>
      <c r="G104" s="200">
        <v>8</v>
      </c>
      <c r="H104" s="116"/>
      <c r="I104" s="116"/>
      <c r="J104" s="116"/>
      <c r="K104" s="116"/>
      <c r="L104" s="248">
        <v>0.5</v>
      </c>
      <c r="M104" s="248">
        <v>1</v>
      </c>
      <c r="N104" s="248">
        <v>2.5</v>
      </c>
      <c r="O104" s="248"/>
      <c r="P104" s="248"/>
      <c r="Q104" s="116"/>
      <c r="R104" s="116"/>
      <c r="S104" s="248">
        <v>3</v>
      </c>
      <c r="T104" s="248">
        <v>0.5</v>
      </c>
      <c r="U104" s="251"/>
      <c r="V104" s="251"/>
      <c r="W104" s="251"/>
      <c r="X104" s="116"/>
      <c r="Y104" s="116"/>
      <c r="Z104" s="116"/>
      <c r="AA104" s="116"/>
      <c r="AB104" s="116"/>
      <c r="AC104" s="116"/>
      <c r="AD104" s="116"/>
      <c r="AE104" s="116"/>
      <c r="AF104" s="117" t="s">
        <v>3154</v>
      </c>
      <c r="AG104" s="117" t="s">
        <v>3154</v>
      </c>
      <c r="AH104" s="116"/>
      <c r="AI104" s="117">
        <v>16</v>
      </c>
      <c r="AJ104" s="117">
        <v>2026</v>
      </c>
      <c r="AK104" s="135" t="str">
        <f t="shared" si="1"/>
        <v>--3299362M9-3,5-4,5-8-----0,5-1-2,5-----3-0,5----------</v>
      </c>
      <c r="AL104" s="186">
        <f>VLOOKUP(AK104,Planilha1!B:C,2,0)</f>
        <v>69</v>
      </c>
      <c r="AM104" s="181" t="s">
        <v>3234</v>
      </c>
    </row>
    <row r="105" spans="1:40" x14ac:dyDescent="0.3">
      <c r="A105" s="236"/>
      <c r="B105" s="238"/>
      <c r="C105" s="51" t="s">
        <v>3156</v>
      </c>
      <c r="E105" s="203">
        <v>0.5</v>
      </c>
      <c r="F105" s="203">
        <v>0.85</v>
      </c>
      <c r="G105" s="200">
        <v>1.35</v>
      </c>
      <c r="H105" s="116"/>
      <c r="I105" s="116"/>
      <c r="J105" s="116"/>
      <c r="K105" s="116"/>
      <c r="L105" s="248">
        <v>0.5</v>
      </c>
      <c r="M105" s="248"/>
      <c r="N105" s="248"/>
      <c r="O105" s="248"/>
      <c r="P105" s="248"/>
      <c r="Q105" s="116"/>
      <c r="R105" s="116"/>
      <c r="S105" s="248">
        <v>0.35</v>
      </c>
      <c r="T105" s="248">
        <v>0.75</v>
      </c>
      <c r="U105" s="116"/>
      <c r="V105" s="116"/>
      <c r="W105" s="116"/>
      <c r="X105" s="116"/>
      <c r="Y105" s="116"/>
      <c r="Z105" s="116"/>
      <c r="AA105" s="116"/>
      <c r="AB105" s="116"/>
      <c r="AC105" s="116"/>
      <c r="AD105" s="116"/>
      <c r="AE105" s="116"/>
      <c r="AF105" s="117" t="s">
        <v>3154</v>
      </c>
      <c r="AG105" s="117" t="s">
        <v>3154</v>
      </c>
      <c r="AH105" s="116"/>
      <c r="AI105" s="117">
        <v>16</v>
      </c>
      <c r="AJ105" s="117">
        <v>2026</v>
      </c>
      <c r="AK105" s="135" t="str">
        <f t="shared" si="1"/>
        <v>--E16718500-0,5-0,85-1,35-----0,5-------0,35-0,75----------</v>
      </c>
      <c r="AL105" s="186">
        <f>VLOOKUP(AK105,Planilha1!B:C,2,0)</f>
        <v>70</v>
      </c>
      <c r="AM105" s="180" t="s">
        <v>3234</v>
      </c>
    </row>
    <row r="106" spans="1:40" x14ac:dyDescent="0.3">
      <c r="A106" s="236"/>
      <c r="B106" s="238"/>
      <c r="C106" s="51" t="s">
        <v>3156</v>
      </c>
      <c r="E106" s="203">
        <v>0</v>
      </c>
      <c r="F106" s="203">
        <v>0.75</v>
      </c>
      <c r="G106" s="200">
        <v>0.75</v>
      </c>
      <c r="H106" s="116"/>
      <c r="I106" s="116"/>
      <c r="J106" s="116"/>
      <c r="K106" s="116"/>
      <c r="L106" s="248"/>
      <c r="M106" s="248"/>
      <c r="N106" s="248"/>
      <c r="O106" s="248"/>
      <c r="P106" s="248"/>
      <c r="Q106" s="251"/>
      <c r="R106" s="116"/>
      <c r="S106" s="248">
        <v>0.75</v>
      </c>
      <c r="T106" s="248"/>
      <c r="U106" s="251"/>
      <c r="V106" s="251"/>
      <c r="W106" s="251"/>
      <c r="X106" s="251"/>
      <c r="Y106" s="116"/>
      <c r="Z106" s="116"/>
      <c r="AA106" s="116"/>
      <c r="AB106" s="116"/>
      <c r="AC106" s="116"/>
      <c r="AD106" s="116"/>
      <c r="AE106" s="116"/>
      <c r="AF106" s="248" t="s">
        <v>3154</v>
      </c>
      <c r="AG106" s="248" t="s">
        <v>3154</v>
      </c>
      <c r="AH106" s="116"/>
      <c r="AI106" s="117">
        <v>16</v>
      </c>
      <c r="AJ106" s="117">
        <v>2026</v>
      </c>
      <c r="AK106" s="135" t="str">
        <f t="shared" si="1"/>
        <v>--E16718500-0-0,75-0,75------------0,75-----------</v>
      </c>
      <c r="AL106" s="186">
        <f>VLOOKUP(AK106,Planilha1!B:C,2,0)</f>
        <v>71</v>
      </c>
      <c r="AM106" s="180" t="s">
        <v>3234</v>
      </c>
    </row>
    <row r="107" spans="1:40" x14ac:dyDescent="0.3">
      <c r="A107" s="236"/>
      <c r="B107" s="238"/>
      <c r="C107" s="51" t="s">
        <v>3157</v>
      </c>
      <c r="D107" s="48"/>
      <c r="E107" s="203">
        <v>3</v>
      </c>
      <c r="F107" s="203">
        <v>0</v>
      </c>
      <c r="G107" s="200">
        <v>3</v>
      </c>
      <c r="H107" s="116"/>
      <c r="I107" s="116"/>
      <c r="J107" s="116"/>
      <c r="K107" s="116"/>
      <c r="L107" s="248">
        <v>0.5</v>
      </c>
      <c r="M107" s="248">
        <v>0.5</v>
      </c>
      <c r="N107" s="248">
        <v>2</v>
      </c>
      <c r="O107" s="248"/>
      <c r="P107" s="248"/>
      <c r="Q107" s="116"/>
      <c r="R107" s="116"/>
      <c r="S107" s="248"/>
      <c r="T107" s="248"/>
      <c r="U107" s="251"/>
      <c r="V107" s="251"/>
      <c r="W107" s="251"/>
      <c r="X107" s="116"/>
      <c r="Y107" s="116"/>
      <c r="Z107" s="116"/>
      <c r="AA107" s="116"/>
      <c r="AB107" s="116"/>
      <c r="AC107" s="116"/>
      <c r="AD107" s="116"/>
      <c r="AE107" s="116"/>
      <c r="AF107" s="117" t="s">
        <v>3154</v>
      </c>
      <c r="AG107" s="117" t="s">
        <v>3154</v>
      </c>
      <c r="AH107" s="116"/>
      <c r="AI107" s="117">
        <v>16</v>
      </c>
      <c r="AJ107" s="117">
        <v>2026</v>
      </c>
      <c r="AK107" s="135" t="str">
        <f t="shared" si="1"/>
        <v>--3299362M9-3-0-3-----0,5-0,5-2----------------</v>
      </c>
      <c r="AL107" s="186">
        <f>VLOOKUP(AK107,Planilha1!B:C,2,0)</f>
        <v>72</v>
      </c>
      <c r="AM107" s="180" t="s">
        <v>3234</v>
      </c>
    </row>
    <row r="108" spans="1:40" x14ac:dyDescent="0.3">
      <c r="A108" s="236"/>
      <c r="B108" s="238"/>
      <c r="C108" s="51" t="s">
        <v>3156</v>
      </c>
      <c r="E108" s="203">
        <v>0</v>
      </c>
      <c r="F108" s="203">
        <v>0.7</v>
      </c>
      <c r="G108" s="200">
        <v>0.7</v>
      </c>
      <c r="H108" s="121"/>
      <c r="I108" s="121"/>
      <c r="J108" s="121"/>
      <c r="K108" s="121"/>
      <c r="L108" s="243"/>
      <c r="M108" s="243"/>
      <c r="N108" s="252"/>
      <c r="O108" s="252"/>
      <c r="P108" s="252"/>
      <c r="Q108" s="252"/>
      <c r="R108" s="121"/>
      <c r="S108" s="243">
        <v>0.35</v>
      </c>
      <c r="T108" s="243">
        <v>0.35</v>
      </c>
      <c r="U108" s="243"/>
      <c r="V108" s="252"/>
      <c r="W108" s="252"/>
      <c r="X108" s="252"/>
      <c r="Y108" s="121"/>
      <c r="Z108" s="121"/>
      <c r="AA108" s="121"/>
      <c r="AB108" s="121"/>
      <c r="AC108" s="121"/>
      <c r="AD108" s="121"/>
      <c r="AE108" s="121"/>
      <c r="AF108" s="252"/>
      <c r="AG108" s="243" t="s">
        <v>3154</v>
      </c>
      <c r="AH108" s="121"/>
      <c r="AI108" s="118">
        <v>8</v>
      </c>
      <c r="AJ108" s="118">
        <v>2026</v>
      </c>
      <c r="AK108" s="135" t="str">
        <f t="shared" si="1"/>
        <v>--E16718500-0-0,7-0,7------------0,35-0,35----------</v>
      </c>
      <c r="AL108" s="186">
        <f>VLOOKUP(AK108,Planilha1!B:C,2,0)</f>
        <v>73</v>
      </c>
      <c r="AM108" s="180" t="s">
        <v>3234</v>
      </c>
    </row>
    <row r="109" spans="1:40" x14ac:dyDescent="0.3">
      <c r="A109" s="236"/>
      <c r="B109" s="238"/>
      <c r="C109" s="51" t="s">
        <v>3156</v>
      </c>
      <c r="E109" s="203">
        <v>0</v>
      </c>
      <c r="F109" s="203">
        <v>1.05</v>
      </c>
      <c r="G109" s="200">
        <v>1.05</v>
      </c>
      <c r="H109" s="121"/>
      <c r="I109" s="121"/>
      <c r="J109" s="121"/>
      <c r="K109" s="121"/>
      <c r="L109" s="243"/>
      <c r="M109" s="243"/>
      <c r="N109" s="252"/>
      <c r="O109" s="252"/>
      <c r="P109" s="252"/>
      <c r="Q109" s="252"/>
      <c r="R109" s="121"/>
      <c r="S109" s="243">
        <v>0.35</v>
      </c>
      <c r="T109" s="243">
        <v>0.35</v>
      </c>
      <c r="U109" s="243">
        <v>0.35</v>
      </c>
      <c r="V109" s="252"/>
      <c r="W109" s="252"/>
      <c r="X109" s="252"/>
      <c r="Y109" s="121"/>
      <c r="Z109" s="121"/>
      <c r="AA109" s="121"/>
      <c r="AB109" s="121"/>
      <c r="AC109" s="121"/>
      <c r="AD109" s="121"/>
      <c r="AE109" s="121"/>
      <c r="AF109" s="252"/>
      <c r="AG109" s="243" t="s">
        <v>3154</v>
      </c>
      <c r="AH109" s="121"/>
      <c r="AI109" s="118">
        <v>8</v>
      </c>
      <c r="AJ109" s="118">
        <v>2026</v>
      </c>
      <c r="AK109" s="135" t="str">
        <f t="shared" si="1"/>
        <v>--E16718500-0-1,05-1,05------------0,35-0,35-0,35---------</v>
      </c>
      <c r="AL109" s="186">
        <f>VLOOKUP(AK109,Planilha1!B:C,2,0)</f>
        <v>74</v>
      </c>
      <c r="AM109" s="180" t="s">
        <v>3234</v>
      </c>
    </row>
    <row r="110" spans="1:40" x14ac:dyDescent="0.3">
      <c r="A110" s="236"/>
      <c r="B110" s="238"/>
      <c r="C110" s="51" t="s">
        <v>3156</v>
      </c>
      <c r="E110" s="203">
        <v>0.5</v>
      </c>
      <c r="F110" s="203">
        <v>1.1000000000000001</v>
      </c>
      <c r="G110" s="200">
        <v>1.6</v>
      </c>
      <c r="H110" s="121"/>
      <c r="I110" s="121"/>
      <c r="J110" s="121"/>
      <c r="K110" s="121"/>
      <c r="L110" s="243">
        <v>0.5</v>
      </c>
      <c r="M110" s="243"/>
      <c r="N110" s="121"/>
      <c r="O110" s="121"/>
      <c r="P110" s="121"/>
      <c r="Q110" s="121"/>
      <c r="R110" s="121"/>
      <c r="S110" s="243">
        <v>0.35</v>
      </c>
      <c r="T110" s="243">
        <v>0.75</v>
      </c>
      <c r="U110" s="243"/>
      <c r="V110" s="121"/>
      <c r="W110" s="121"/>
      <c r="X110" s="121"/>
      <c r="Y110" s="121"/>
      <c r="Z110" s="121"/>
      <c r="AA110" s="121"/>
      <c r="AB110" s="121"/>
      <c r="AC110" s="121"/>
      <c r="AD110" s="121"/>
      <c r="AE110" s="121"/>
      <c r="AF110" s="121"/>
      <c r="AG110" s="118" t="s">
        <v>3154</v>
      </c>
      <c r="AH110" s="121"/>
      <c r="AI110" s="118">
        <v>8</v>
      </c>
      <c r="AJ110" s="118">
        <v>2026</v>
      </c>
      <c r="AK110" s="135" t="str">
        <f t="shared" si="1"/>
        <v>--E16718500-0,5-1,1-1,6-----0,5-------0,35-0,75----------</v>
      </c>
      <c r="AL110" s="186">
        <f>VLOOKUP(AK110,Planilha1!B:C,2,0)</f>
        <v>75</v>
      </c>
      <c r="AM110" s="183" t="s">
        <v>3234</v>
      </c>
    </row>
    <row r="111" spans="1:40" x14ac:dyDescent="0.3">
      <c r="A111" s="236"/>
      <c r="B111" s="238"/>
      <c r="C111" s="51" t="s">
        <v>3156</v>
      </c>
      <c r="E111" s="203">
        <v>0.7</v>
      </c>
      <c r="F111" s="203">
        <v>0.35</v>
      </c>
      <c r="G111" s="200">
        <v>1.05</v>
      </c>
      <c r="H111" s="121"/>
      <c r="I111" s="121"/>
      <c r="J111" s="121"/>
      <c r="K111" s="121"/>
      <c r="L111" s="243">
        <v>0.35</v>
      </c>
      <c r="M111" s="243">
        <v>0.35</v>
      </c>
      <c r="N111" s="252"/>
      <c r="O111" s="252"/>
      <c r="P111" s="252"/>
      <c r="Q111" s="252"/>
      <c r="R111" s="121"/>
      <c r="S111" s="243">
        <v>0.35</v>
      </c>
      <c r="T111" s="243"/>
      <c r="U111" s="243"/>
      <c r="V111" s="252"/>
      <c r="W111" s="252"/>
      <c r="X111" s="252"/>
      <c r="Y111" s="121"/>
      <c r="Z111" s="121"/>
      <c r="AA111" s="121"/>
      <c r="AB111" s="121"/>
      <c r="AC111" s="121"/>
      <c r="AD111" s="121"/>
      <c r="AE111" s="121"/>
      <c r="AF111" s="252"/>
      <c r="AG111" s="243" t="s">
        <v>3154</v>
      </c>
      <c r="AH111" s="121"/>
      <c r="AI111" s="118">
        <v>8</v>
      </c>
      <c r="AJ111" s="118">
        <v>2026</v>
      </c>
      <c r="AK111" s="135" t="str">
        <f t="shared" si="1"/>
        <v>--E16718500-0,7-0,35-1,05-----0,35-0,35------0,35-----------</v>
      </c>
      <c r="AL111" s="186">
        <f>VLOOKUP(AK111,Planilha1!B:C,2,0)</f>
        <v>76</v>
      </c>
      <c r="AM111" s="181" t="s">
        <v>3234</v>
      </c>
    </row>
    <row r="112" spans="1:40" x14ac:dyDescent="0.3">
      <c r="A112" s="113" t="s">
        <v>3182</v>
      </c>
      <c r="B112" s="174"/>
      <c r="C112" s="51" t="s">
        <v>3156</v>
      </c>
      <c r="E112" s="203">
        <v>0.85</v>
      </c>
      <c r="F112" s="203"/>
      <c r="G112" s="200"/>
      <c r="H112" s="151">
        <v>0.35</v>
      </c>
      <c r="I112" s="151" t="s">
        <v>3235</v>
      </c>
      <c r="J112" s="152"/>
      <c r="K112" s="121"/>
      <c r="L112" s="252"/>
      <c r="M112" s="252"/>
      <c r="N112" s="121"/>
      <c r="O112" s="121"/>
      <c r="P112" s="121"/>
      <c r="Q112" s="121"/>
      <c r="R112" s="121"/>
      <c r="S112" s="252"/>
      <c r="T112" s="252"/>
      <c r="U112" s="252"/>
      <c r="V112" s="121"/>
      <c r="W112" s="121"/>
      <c r="X112" s="121"/>
      <c r="Y112" s="121"/>
      <c r="Z112" s="121"/>
      <c r="AA112" s="121"/>
      <c r="AB112" s="121"/>
      <c r="AC112" s="121"/>
      <c r="AD112" s="121"/>
      <c r="AE112" s="121"/>
      <c r="AF112" s="121"/>
      <c r="AG112" s="118" t="s">
        <v>3154</v>
      </c>
      <c r="AH112" s="121"/>
      <c r="AI112" s="118">
        <v>8</v>
      </c>
      <c r="AJ112" s="118">
        <v>2026</v>
      </c>
      <c r="AK112" s="135" t="str">
        <f t="shared" si="1"/>
        <v>E02719100--E16718500-0,85---0,35-0.50---------------------</v>
      </c>
      <c r="AL112" s="186">
        <f>VLOOKUP(AK112,Planilha1!B:C,2,0)</f>
        <v>77</v>
      </c>
      <c r="AM112" s="135" t="s">
        <v>3234</v>
      </c>
    </row>
    <row r="113" spans="1:40" x14ac:dyDescent="0.3">
      <c r="A113" s="113" t="s">
        <v>3182</v>
      </c>
      <c r="B113" s="174"/>
      <c r="C113" s="51" t="s">
        <v>3156</v>
      </c>
      <c r="E113" s="203">
        <v>1</v>
      </c>
      <c r="F113" s="203"/>
      <c r="G113" s="200"/>
      <c r="H113" s="151">
        <v>0.5</v>
      </c>
      <c r="I113" s="151">
        <v>0.5</v>
      </c>
      <c r="J113" s="152"/>
      <c r="K113" s="121"/>
      <c r="L113" s="252"/>
      <c r="M113" s="252"/>
      <c r="N113" s="121"/>
      <c r="O113" s="121"/>
      <c r="P113" s="121"/>
      <c r="Q113" s="121"/>
      <c r="R113" s="121"/>
      <c r="S113" s="252"/>
      <c r="T113" s="252"/>
      <c r="U113" s="252"/>
      <c r="V113" s="121"/>
      <c r="W113" s="121"/>
      <c r="X113" s="121"/>
      <c r="Y113" s="121"/>
      <c r="Z113" s="121"/>
      <c r="AA113" s="121"/>
      <c r="AB113" s="121"/>
      <c r="AC113" s="121"/>
      <c r="AD113" s="121"/>
      <c r="AE113" s="121"/>
      <c r="AF113" s="121"/>
      <c r="AG113" s="118" t="s">
        <v>3154</v>
      </c>
      <c r="AH113" s="121"/>
      <c r="AI113" s="118">
        <v>8</v>
      </c>
      <c r="AJ113" s="118">
        <v>2026</v>
      </c>
      <c r="AK113" s="135" t="str">
        <f t="shared" si="1"/>
        <v>E02719100--E16718500-1---0,5-0,5---------------------</v>
      </c>
      <c r="AL113" s="186">
        <f>VLOOKUP(AK113,Planilha1!B:C,2,0)</f>
        <v>78</v>
      </c>
      <c r="AM113" s="135" t="s">
        <v>3234</v>
      </c>
    </row>
    <row r="114" spans="1:40" x14ac:dyDescent="0.3">
      <c r="A114" s="113" t="s">
        <v>3202</v>
      </c>
      <c r="B114" s="174"/>
      <c r="C114" s="51" t="s">
        <v>3203</v>
      </c>
      <c r="F114" s="202"/>
      <c r="G114" s="200">
        <v>3.5</v>
      </c>
      <c r="H114" s="149">
        <v>0.5</v>
      </c>
      <c r="I114" s="149">
        <v>3</v>
      </c>
      <c r="J114" s="150"/>
      <c r="K114" s="116"/>
      <c r="L114" s="116"/>
      <c r="M114" s="116"/>
      <c r="N114" s="116"/>
      <c r="O114" s="116"/>
      <c r="P114" s="116"/>
      <c r="Q114" s="116"/>
      <c r="R114" s="116"/>
      <c r="S114" s="116"/>
      <c r="T114" s="116"/>
      <c r="U114" s="116"/>
      <c r="V114" s="116"/>
      <c r="W114" s="116"/>
      <c r="X114" s="116"/>
      <c r="Y114" s="116"/>
      <c r="Z114" s="116"/>
      <c r="AA114" s="116"/>
      <c r="AB114" s="116"/>
      <c r="AC114" s="116"/>
      <c r="AD114" s="116"/>
      <c r="AE114" s="116" t="s">
        <v>3154</v>
      </c>
      <c r="AF114" s="116"/>
      <c r="AG114" s="117" t="s">
        <v>3154</v>
      </c>
      <c r="AH114" s="116"/>
      <c r="AI114" s="117">
        <v>16</v>
      </c>
      <c r="AJ114" s="117">
        <v>2026</v>
      </c>
      <c r="AK114" s="135" t="str">
        <f t="shared" si="1"/>
        <v>E15132900--3299365JY---3,5-0,5-3---------------------</v>
      </c>
      <c r="AL114" s="186">
        <f>VLOOKUP(AK114,Planilha1!B:C,2,0)</f>
        <v>79</v>
      </c>
      <c r="AM114" s="135" t="s">
        <v>3234</v>
      </c>
    </row>
    <row r="115" spans="1:40" x14ac:dyDescent="0.3">
      <c r="A115" s="113" t="s">
        <v>3202</v>
      </c>
      <c r="B115" s="238"/>
      <c r="C115" s="51" t="s">
        <v>3203</v>
      </c>
      <c r="E115" s="202"/>
      <c r="F115" s="202"/>
      <c r="G115" s="200">
        <v>3.5</v>
      </c>
      <c r="H115" s="140">
        <v>0.5</v>
      </c>
      <c r="I115" s="140">
        <v>3</v>
      </c>
      <c r="J115" s="140"/>
      <c r="K115" s="116"/>
      <c r="L115" s="116"/>
      <c r="M115" s="116"/>
      <c r="N115" s="116"/>
      <c r="O115" s="116"/>
      <c r="P115" s="116"/>
      <c r="Q115" s="116"/>
      <c r="R115" s="116"/>
      <c r="S115" s="116"/>
      <c r="T115" s="116"/>
      <c r="U115" s="116"/>
      <c r="V115" s="116"/>
      <c r="W115" s="116"/>
      <c r="X115" s="116"/>
      <c r="Y115" s="116"/>
      <c r="Z115" s="116"/>
      <c r="AA115" s="116"/>
      <c r="AB115" s="116"/>
      <c r="AC115" s="116"/>
      <c r="AD115" s="116"/>
      <c r="AE115" s="117" t="s">
        <v>3154</v>
      </c>
      <c r="AF115" s="116"/>
      <c r="AG115" s="248" t="s">
        <v>3154</v>
      </c>
      <c r="AH115" s="116"/>
      <c r="AI115" s="117">
        <v>8</v>
      </c>
      <c r="AJ115" s="117">
        <v>2026</v>
      </c>
      <c r="AK115" s="135" t="str">
        <f t="shared" si="1"/>
        <v>E15132900--3299365JY---3,5-0,5-3---------------------</v>
      </c>
      <c r="AL115" s="186">
        <f>VLOOKUP(AK115,Planilha1!B:C,2,0)</f>
        <v>79</v>
      </c>
      <c r="AM115" s="135" t="s">
        <v>3265</v>
      </c>
    </row>
    <row r="116" spans="1:40" x14ac:dyDescent="0.3">
      <c r="A116" s="113" t="s">
        <v>3202</v>
      </c>
      <c r="B116" s="174"/>
      <c r="C116" s="51" t="s">
        <v>3203</v>
      </c>
      <c r="F116" s="202"/>
      <c r="G116" s="200">
        <v>3.85</v>
      </c>
      <c r="H116" s="149">
        <v>0.5</v>
      </c>
      <c r="I116" s="149">
        <v>3</v>
      </c>
      <c r="J116" s="149">
        <v>0.35</v>
      </c>
      <c r="K116" s="116"/>
      <c r="L116" s="116"/>
      <c r="M116" s="116"/>
      <c r="N116" s="116"/>
      <c r="O116" s="116"/>
      <c r="P116" s="116"/>
      <c r="Q116" s="116"/>
      <c r="R116" s="116"/>
      <c r="S116" s="116"/>
      <c r="T116" s="116"/>
      <c r="U116" s="116"/>
      <c r="V116" s="116"/>
      <c r="W116" s="116"/>
      <c r="X116" s="116"/>
      <c r="Y116" s="116"/>
      <c r="Z116" s="116"/>
      <c r="AA116" s="116"/>
      <c r="AB116" s="116"/>
      <c r="AC116" s="116"/>
      <c r="AD116" s="116"/>
      <c r="AE116" s="116" t="s">
        <v>3154</v>
      </c>
      <c r="AF116" s="116"/>
      <c r="AG116" s="117" t="s">
        <v>3154</v>
      </c>
      <c r="AH116" s="116"/>
      <c r="AI116" s="117">
        <v>16</v>
      </c>
      <c r="AJ116" s="117">
        <v>2026</v>
      </c>
      <c r="AK116" s="135" t="str">
        <f t="shared" si="1"/>
        <v>E15132900--3299365JY---3,85-0,5-3-0,35--------------------</v>
      </c>
      <c r="AL116" s="186">
        <f>VLOOKUP(AK116,Planilha1!B:C,2,0)</f>
        <v>80</v>
      </c>
      <c r="AM116" s="135" t="s">
        <v>3234</v>
      </c>
    </row>
    <row r="117" spans="1:40" x14ac:dyDescent="0.3">
      <c r="A117" s="113" t="s">
        <v>3202</v>
      </c>
      <c r="B117" s="174"/>
      <c r="C117" s="51" t="s">
        <v>3203</v>
      </c>
      <c r="F117" s="202"/>
      <c r="G117" s="200">
        <v>3.35</v>
      </c>
      <c r="H117" s="149">
        <v>3</v>
      </c>
      <c r="I117" s="149">
        <v>0.35</v>
      </c>
      <c r="J117" s="150"/>
      <c r="K117" s="116"/>
      <c r="L117" s="116"/>
      <c r="M117" s="116"/>
      <c r="N117" s="116"/>
      <c r="O117" s="116"/>
      <c r="P117" s="116"/>
      <c r="Q117" s="116"/>
      <c r="R117" s="116"/>
      <c r="S117" s="116"/>
      <c r="T117" s="116"/>
      <c r="U117" s="116"/>
      <c r="V117" s="116"/>
      <c r="W117" s="116"/>
      <c r="X117" s="116"/>
      <c r="Y117" s="116"/>
      <c r="Z117" s="116"/>
      <c r="AA117" s="116"/>
      <c r="AB117" s="116"/>
      <c r="AC117" s="116"/>
      <c r="AD117" s="116"/>
      <c r="AE117" s="116" t="s">
        <v>3154</v>
      </c>
      <c r="AF117" s="116"/>
      <c r="AG117" s="117" t="s">
        <v>3154</v>
      </c>
      <c r="AH117" s="116"/>
      <c r="AI117" s="117">
        <v>16</v>
      </c>
      <c r="AJ117" s="117">
        <v>2026</v>
      </c>
      <c r="AK117" s="135" t="str">
        <f t="shared" si="1"/>
        <v>E15132900--3299365JY---3,35-3-0,35---------------------</v>
      </c>
      <c r="AL117" s="186">
        <f>VLOOKUP(AK117,Planilha1!B:C,2,0)</f>
        <v>81</v>
      </c>
      <c r="AM117" s="135" t="s">
        <v>3234</v>
      </c>
    </row>
    <row r="118" spans="1:40" x14ac:dyDescent="0.3">
      <c r="A118" s="236"/>
      <c r="B118" s="238"/>
      <c r="C118" s="51" t="s">
        <v>3156</v>
      </c>
      <c r="E118" s="203">
        <v>0.85</v>
      </c>
      <c r="F118" s="203">
        <v>1.05</v>
      </c>
      <c r="G118" s="200">
        <v>1.9</v>
      </c>
      <c r="H118" s="116"/>
      <c r="I118" s="116"/>
      <c r="J118" s="116"/>
      <c r="K118" s="116"/>
      <c r="L118" s="251">
        <v>0.5</v>
      </c>
      <c r="M118" s="251">
        <v>0.35</v>
      </c>
      <c r="N118" s="251"/>
      <c r="O118" s="251"/>
      <c r="P118" s="251"/>
      <c r="Q118" s="251"/>
      <c r="R118" s="116"/>
      <c r="S118" s="251">
        <v>0.35</v>
      </c>
      <c r="T118" s="251">
        <v>0.35</v>
      </c>
      <c r="U118" s="251">
        <v>0.35</v>
      </c>
      <c r="V118" s="251"/>
      <c r="W118" s="251"/>
      <c r="X118" s="251"/>
      <c r="Y118" s="116"/>
      <c r="Z118" s="116"/>
      <c r="AA118" s="116"/>
      <c r="AB118" s="116"/>
      <c r="AC118" s="116"/>
      <c r="AD118" s="116"/>
      <c r="AE118" s="116"/>
      <c r="AF118" s="248" t="s">
        <v>3154</v>
      </c>
      <c r="AG118" s="248" t="s">
        <v>3154</v>
      </c>
      <c r="AH118" s="116"/>
      <c r="AI118" s="117">
        <v>16</v>
      </c>
      <c r="AJ118" s="117">
        <v>2026</v>
      </c>
      <c r="AK118" s="135" t="str">
        <f t="shared" si="1"/>
        <v>--E16718500-0,85-1,05-1,9-----0,5-0,35------0,35-0,35-0,35---------</v>
      </c>
      <c r="AL118" s="186">
        <f>VLOOKUP(AK118,Planilha1!B:C,2,0)</f>
        <v>82</v>
      </c>
      <c r="AM118" s="180" t="s">
        <v>3236</v>
      </c>
    </row>
    <row r="119" spans="1:40" x14ac:dyDescent="0.3">
      <c r="A119" s="236"/>
      <c r="B119" s="238"/>
      <c r="C119" s="51" t="s">
        <v>3156</v>
      </c>
      <c r="E119" s="203">
        <v>0.85</v>
      </c>
      <c r="F119" s="203">
        <v>0.7</v>
      </c>
      <c r="G119" s="200">
        <v>1.55</v>
      </c>
      <c r="H119" s="116"/>
      <c r="I119" s="116"/>
      <c r="J119" s="116"/>
      <c r="K119" s="116"/>
      <c r="L119" s="251">
        <v>0.5</v>
      </c>
      <c r="M119" s="251">
        <v>0.35</v>
      </c>
      <c r="N119" s="251"/>
      <c r="O119" s="251"/>
      <c r="P119" s="251"/>
      <c r="Q119" s="251"/>
      <c r="R119" s="116"/>
      <c r="S119" s="251">
        <v>0.35</v>
      </c>
      <c r="T119" s="251">
        <v>0.35</v>
      </c>
      <c r="U119" s="251"/>
      <c r="V119" s="251"/>
      <c r="W119" s="251"/>
      <c r="X119" s="251"/>
      <c r="Y119" s="116"/>
      <c r="Z119" s="116"/>
      <c r="AA119" s="116"/>
      <c r="AB119" s="116"/>
      <c r="AC119" s="116"/>
      <c r="AD119" s="116"/>
      <c r="AE119" s="116"/>
      <c r="AF119" s="248" t="s">
        <v>3154</v>
      </c>
      <c r="AG119" s="248" t="s">
        <v>3154</v>
      </c>
      <c r="AH119" s="116"/>
      <c r="AI119" s="117">
        <v>16</v>
      </c>
      <c r="AJ119" s="117">
        <v>2026</v>
      </c>
      <c r="AK119" s="135" t="str">
        <f t="shared" si="1"/>
        <v>--E16718500-0,85-0,7-1,55-----0,5-0,35------0,35-0,35----------</v>
      </c>
      <c r="AL119" s="186">
        <f>VLOOKUP(AK119,Planilha1!B:C,2,0)</f>
        <v>83</v>
      </c>
      <c r="AM119" s="181" t="s">
        <v>3236</v>
      </c>
    </row>
    <row r="120" spans="1:40" x14ac:dyDescent="0.3">
      <c r="A120" s="236"/>
      <c r="B120" s="238"/>
      <c r="C120" s="245" t="s">
        <v>3156</v>
      </c>
      <c r="E120" s="203">
        <v>0.85</v>
      </c>
      <c r="F120" s="203">
        <v>0.7</v>
      </c>
      <c r="G120" s="200">
        <v>1.55</v>
      </c>
      <c r="H120" s="116"/>
      <c r="I120" s="116"/>
      <c r="J120" s="116"/>
      <c r="K120" s="116"/>
      <c r="L120" s="140">
        <v>0.5</v>
      </c>
      <c r="M120" s="140">
        <v>0.35</v>
      </c>
      <c r="N120" s="140"/>
      <c r="O120" s="140"/>
      <c r="P120" s="140"/>
      <c r="Q120" s="251"/>
      <c r="R120" s="116"/>
      <c r="S120" s="140">
        <v>0.35</v>
      </c>
      <c r="T120" s="140">
        <v>0.35</v>
      </c>
      <c r="U120" s="140"/>
      <c r="V120" s="140"/>
      <c r="W120" s="251"/>
      <c r="X120" s="251"/>
      <c r="Y120" s="116"/>
      <c r="Z120" s="140"/>
      <c r="AA120" s="116"/>
      <c r="AB120" s="116"/>
      <c r="AC120" s="116"/>
      <c r="AD120" s="116"/>
      <c r="AE120" s="116"/>
      <c r="AF120" s="248" t="s">
        <v>3154</v>
      </c>
      <c r="AG120" s="248" t="s">
        <v>3154</v>
      </c>
      <c r="AH120" s="116"/>
      <c r="AI120" s="117">
        <v>16</v>
      </c>
      <c r="AJ120" s="117">
        <v>2026</v>
      </c>
      <c r="AK120" s="135" t="str">
        <f t="shared" si="1"/>
        <v>--E16718500-0,85-0,7-1,55-----0,5-0,35------0,35-0,35----------</v>
      </c>
      <c r="AL120" s="186">
        <f>VLOOKUP(AK120,Planilha1!B:C,2,0)</f>
        <v>83</v>
      </c>
      <c r="AM120" s="135" t="s">
        <v>3354</v>
      </c>
      <c r="AN120" s="83" t="s">
        <v>3355</v>
      </c>
    </row>
    <row r="121" spans="1:40" x14ac:dyDescent="0.3">
      <c r="A121" s="113" t="s">
        <v>3302</v>
      </c>
      <c r="B121" s="239" t="s">
        <v>3176</v>
      </c>
      <c r="D121" t="s">
        <v>3269</v>
      </c>
      <c r="E121" s="202"/>
      <c r="F121" s="202"/>
      <c r="G121" s="200">
        <v>0.75</v>
      </c>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c r="AH121" s="117" t="s">
        <v>3154</v>
      </c>
      <c r="AI121" s="117">
        <v>8</v>
      </c>
      <c r="AJ121" s="117">
        <v>2026</v>
      </c>
      <c r="AK121" s="135" t="str">
        <f t="shared" si="1"/>
        <v>E10146200-----0,75-----------------------</v>
      </c>
      <c r="AL121" s="186">
        <f>VLOOKUP(AK121,Planilha1!B:C,2,0)</f>
        <v>84</v>
      </c>
      <c r="AM121" s="135" t="s">
        <v>3265</v>
      </c>
      <c r="AN121" t="s">
        <v>3321</v>
      </c>
    </row>
    <row r="122" spans="1:40" x14ac:dyDescent="0.3">
      <c r="A122" s="113" t="s">
        <v>3303</v>
      </c>
      <c r="B122" s="239" t="s">
        <v>3316</v>
      </c>
      <c r="C122" s="51"/>
      <c r="D122" s="48" t="s">
        <v>3270</v>
      </c>
      <c r="E122" s="203"/>
      <c r="F122" s="203"/>
      <c r="G122" s="200">
        <v>0.5</v>
      </c>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c r="AH122" s="117" t="s">
        <v>3154</v>
      </c>
      <c r="AI122" s="117">
        <v>8</v>
      </c>
      <c r="AJ122" s="117">
        <v>2026</v>
      </c>
      <c r="AK122" s="135" t="str">
        <f t="shared" si="1"/>
        <v>32025Y0VL-320455AKC----0,5-----------------------</v>
      </c>
      <c r="AL122" s="186">
        <f>VLOOKUP(AK122,Planilha1!B:C,2,0)</f>
        <v>85</v>
      </c>
      <c r="AM122" s="135" t="s">
        <v>3265</v>
      </c>
      <c r="AN122" t="s">
        <v>3322</v>
      </c>
    </row>
    <row r="123" spans="1:40" x14ac:dyDescent="0.3">
      <c r="A123" s="114" t="s">
        <v>3303</v>
      </c>
      <c r="B123" s="239" t="s">
        <v>3317</v>
      </c>
      <c r="C123" s="51"/>
      <c r="D123" s="48" t="s">
        <v>3271</v>
      </c>
      <c r="E123" s="203"/>
      <c r="F123" s="203"/>
      <c r="G123" s="200">
        <v>0.5</v>
      </c>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c r="AH123" s="117" t="s">
        <v>3154</v>
      </c>
      <c r="AI123" s="117">
        <v>8</v>
      </c>
      <c r="AJ123" s="117">
        <v>2026</v>
      </c>
      <c r="AK123" s="135" t="str">
        <f t="shared" si="1"/>
        <v>32025Y0VL-320455A4C----0,5-----------------------</v>
      </c>
      <c r="AL123" s="186">
        <f>VLOOKUP(AK123,Planilha1!B:C,2,0)</f>
        <v>86</v>
      </c>
      <c r="AM123" s="135" t="s">
        <v>3265</v>
      </c>
      <c r="AN123" t="s">
        <v>3323</v>
      </c>
    </row>
    <row r="124" spans="1:40" x14ac:dyDescent="0.3">
      <c r="A124" s="113" t="s">
        <v>3304</v>
      </c>
      <c r="B124" s="239" t="s">
        <v>3176</v>
      </c>
      <c r="C124" s="51"/>
      <c r="D124" t="s">
        <v>3272</v>
      </c>
      <c r="E124" s="203"/>
      <c r="F124" s="202"/>
      <c r="G124" s="200">
        <v>0.5</v>
      </c>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c r="AH124" s="117" t="s">
        <v>3154</v>
      </c>
      <c r="AI124" s="117">
        <v>8</v>
      </c>
      <c r="AJ124" s="117">
        <v>2026</v>
      </c>
      <c r="AK124" s="135" t="str">
        <f t="shared" si="1"/>
        <v>E04174100-----0,5-----------------------</v>
      </c>
      <c r="AL124" s="186">
        <f>VLOOKUP(AK124,Planilha1!B:C,2,0)</f>
        <v>87</v>
      </c>
      <c r="AM124" s="135" t="s">
        <v>3265</v>
      </c>
      <c r="AN124" t="s">
        <v>3324</v>
      </c>
    </row>
    <row r="125" spans="1:40" x14ac:dyDescent="0.3">
      <c r="A125" s="113" t="s">
        <v>3305</v>
      </c>
      <c r="B125" s="239" t="s">
        <v>3176</v>
      </c>
      <c r="D125" t="s">
        <v>3273</v>
      </c>
      <c r="E125" s="202"/>
      <c r="F125" s="202"/>
      <c r="G125" s="200">
        <v>0.5</v>
      </c>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c r="AH125" s="117" t="s">
        <v>3154</v>
      </c>
      <c r="AI125" s="117">
        <v>8</v>
      </c>
      <c r="AJ125" s="117">
        <v>2026</v>
      </c>
      <c r="AK125" s="135" t="str">
        <f t="shared" si="1"/>
        <v>E16318300-----0,5-----------------------</v>
      </c>
      <c r="AL125" s="186">
        <f>VLOOKUP(AK125,Planilha1!B:C,2,0)</f>
        <v>88</v>
      </c>
      <c r="AM125" s="135" t="s">
        <v>3265</v>
      </c>
      <c r="AN125" t="s">
        <v>3325</v>
      </c>
    </row>
    <row r="126" spans="1:40" x14ac:dyDescent="0.3">
      <c r="A126" s="113" t="s">
        <v>3305</v>
      </c>
      <c r="B126" s="239" t="s">
        <v>3176</v>
      </c>
      <c r="D126" t="s">
        <v>3275</v>
      </c>
      <c r="E126" s="202"/>
      <c r="F126" s="202"/>
      <c r="G126" s="200">
        <v>0.5</v>
      </c>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c r="AH126" s="117" t="s">
        <v>3154</v>
      </c>
      <c r="AI126" s="117">
        <v>8</v>
      </c>
      <c r="AJ126" s="117">
        <v>2026</v>
      </c>
      <c r="AK126" s="135" t="str">
        <f t="shared" si="1"/>
        <v>E16318300-----0,5-----------------------</v>
      </c>
      <c r="AL126" s="186">
        <f>VLOOKUP(AK126,Planilha1!B:C,2,0)</f>
        <v>88</v>
      </c>
      <c r="AM126" s="135" t="s">
        <v>3265</v>
      </c>
      <c r="AN126" t="s">
        <v>3326</v>
      </c>
    </row>
    <row r="127" spans="1:40" x14ac:dyDescent="0.3">
      <c r="A127" s="113" t="s">
        <v>3306</v>
      </c>
      <c r="B127" s="239" t="s">
        <v>3176</v>
      </c>
      <c r="C127" s="51"/>
      <c r="D127" s="48" t="s">
        <v>3274</v>
      </c>
      <c r="E127" s="202"/>
      <c r="F127" s="202"/>
      <c r="G127" s="200">
        <v>0.5</v>
      </c>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c r="AH127" s="117" t="s">
        <v>3154</v>
      </c>
      <c r="AI127" s="117">
        <v>8</v>
      </c>
      <c r="AJ127" s="117">
        <v>2026</v>
      </c>
      <c r="AK127" s="135" t="str">
        <f t="shared" si="1"/>
        <v>E01647000-----0,5-----------------------</v>
      </c>
      <c r="AL127" s="186">
        <f>VLOOKUP(AK127,Planilha1!B:C,2,0)</f>
        <v>89</v>
      </c>
      <c r="AM127" s="135" t="s">
        <v>3265</v>
      </c>
      <c r="AN127" t="s">
        <v>3326</v>
      </c>
    </row>
    <row r="128" spans="1:40" x14ac:dyDescent="0.3">
      <c r="A128" s="113" t="s">
        <v>3182</v>
      </c>
      <c r="B128" s="239" t="s">
        <v>3176</v>
      </c>
      <c r="C128" s="51"/>
      <c r="D128" t="s">
        <v>3276</v>
      </c>
      <c r="E128" s="203"/>
      <c r="F128" s="203"/>
      <c r="G128" s="200">
        <v>0.35</v>
      </c>
      <c r="H128" s="116"/>
      <c r="I128" s="116"/>
      <c r="J128" s="116"/>
      <c r="K128" s="116"/>
      <c r="L128" s="251"/>
      <c r="M128" s="251"/>
      <c r="N128" s="251"/>
      <c r="O128" s="251"/>
      <c r="P128" s="251"/>
      <c r="Q128" s="116"/>
      <c r="R128" s="116"/>
      <c r="S128" s="251"/>
      <c r="T128" s="251"/>
      <c r="U128" s="116"/>
      <c r="V128" s="116"/>
      <c r="W128" s="116"/>
      <c r="X128" s="116"/>
      <c r="Y128" s="116"/>
      <c r="Z128" s="116"/>
      <c r="AA128" s="116"/>
      <c r="AB128" s="116"/>
      <c r="AC128" s="116"/>
      <c r="AD128" s="116"/>
      <c r="AE128" s="116"/>
      <c r="AF128" s="116"/>
      <c r="AG128" s="116"/>
      <c r="AH128" s="117" t="s">
        <v>3154</v>
      </c>
      <c r="AI128" s="117">
        <v>8</v>
      </c>
      <c r="AJ128" s="117">
        <v>2026</v>
      </c>
      <c r="AK128" s="135" t="str">
        <f t="shared" si="1"/>
        <v>E02719100-----0,35-----------------------</v>
      </c>
      <c r="AL128" s="186">
        <f>VLOOKUP(AK128,Planilha1!B:C,2,0)</f>
        <v>90</v>
      </c>
      <c r="AM128" s="135" t="s">
        <v>3265</v>
      </c>
      <c r="AN128" t="s">
        <v>3328</v>
      </c>
    </row>
    <row r="129" spans="1:40" x14ac:dyDescent="0.3">
      <c r="A129" s="113" t="s">
        <v>3307</v>
      </c>
      <c r="B129" s="239" t="s">
        <v>3176</v>
      </c>
      <c r="C129" s="51"/>
      <c r="D129" s="48" t="s">
        <v>3277</v>
      </c>
      <c r="E129" s="202"/>
      <c r="F129" s="202"/>
      <c r="G129" s="200">
        <v>0.5</v>
      </c>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c r="AH129" s="117" t="s">
        <v>3154</v>
      </c>
      <c r="AI129" s="117">
        <v>8</v>
      </c>
      <c r="AJ129" s="117">
        <v>2026</v>
      </c>
      <c r="AK129" s="135" t="str">
        <f t="shared" si="1"/>
        <v>E01800300-----0,5-----------------------</v>
      </c>
      <c r="AL129" s="186">
        <f>VLOOKUP(AK129,Planilha1!B:C,2,0)</f>
        <v>91</v>
      </c>
      <c r="AM129" s="135" t="s">
        <v>3265</v>
      </c>
      <c r="AN129" t="s">
        <v>3329</v>
      </c>
    </row>
    <row r="130" spans="1:40" x14ac:dyDescent="0.3">
      <c r="A130" s="113" t="s">
        <v>3303</v>
      </c>
      <c r="B130" s="239" t="s">
        <v>3318</v>
      </c>
      <c r="C130" s="51"/>
      <c r="D130" s="48" t="s">
        <v>3278</v>
      </c>
      <c r="E130" s="203"/>
      <c r="F130" s="203"/>
      <c r="G130" s="200">
        <v>0.5</v>
      </c>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c r="AH130" s="117" t="s">
        <v>3154</v>
      </c>
      <c r="AI130" s="117">
        <v>8</v>
      </c>
      <c r="AJ130" s="117">
        <v>2026</v>
      </c>
      <c r="AK130" s="135" t="str">
        <f t="shared" ref="AK130:AK193" si="2">CONCATENATE(A130,"-",B130,"-",C130,"-",E130,"-",F130,"-",G130,"-",H130,"-",I130,"-",J130,"-",K130,"-",L130,"-",M130,"-",N130,"-",O130,"-",P130,"-",Q130,"-",R130,"-",S130,"-",T130,"-",U130,"-",V130,"-",W130,"-",X130,"-",Y130,"-",Z130,"-",AA130,"-",AB130,"-",AC130,"-",AD130)</f>
        <v>32025Y0VL-3204558V3----0,5-----------------------</v>
      </c>
      <c r="AL130" s="186">
        <f>VLOOKUP(AK130,Planilha1!B:C,2,0)</f>
        <v>92</v>
      </c>
      <c r="AM130" s="135" t="s">
        <v>3265</v>
      </c>
      <c r="AN130" t="s">
        <v>3326</v>
      </c>
    </row>
    <row r="131" spans="1:40" x14ac:dyDescent="0.3">
      <c r="A131" s="113">
        <v>320298235</v>
      </c>
      <c r="B131" s="239" t="s">
        <v>3176</v>
      </c>
      <c r="C131" s="51"/>
      <c r="D131" s="48" t="s">
        <v>3279</v>
      </c>
      <c r="E131" s="203"/>
      <c r="F131" s="203"/>
      <c r="G131" s="200">
        <v>0.5</v>
      </c>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c r="AH131" s="117" t="s">
        <v>3154</v>
      </c>
      <c r="AI131" s="117">
        <v>8</v>
      </c>
      <c r="AJ131" s="117">
        <v>2026</v>
      </c>
      <c r="AK131" s="135" t="str">
        <f t="shared" si="2"/>
        <v>320298235-----0,5-----------------------</v>
      </c>
      <c r="AL131" s="186">
        <f>VLOOKUP(AK131,Planilha1!B:C,2,0)</f>
        <v>93</v>
      </c>
      <c r="AM131" s="135" t="s">
        <v>3265</v>
      </c>
      <c r="AN131" t="s">
        <v>3327</v>
      </c>
    </row>
    <row r="132" spans="1:40" x14ac:dyDescent="0.3">
      <c r="A132" s="113" t="s">
        <v>3266</v>
      </c>
      <c r="B132" s="239" t="s">
        <v>3176</v>
      </c>
      <c r="D132" t="s">
        <v>3280</v>
      </c>
      <c r="E132" s="202"/>
      <c r="F132" s="202"/>
      <c r="G132" s="200">
        <v>4</v>
      </c>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c r="AH132" s="248" t="s">
        <v>3154</v>
      </c>
      <c r="AI132" s="117">
        <v>8</v>
      </c>
      <c r="AJ132" s="117">
        <v>2026</v>
      </c>
      <c r="AK132" s="135" t="str">
        <f t="shared" si="2"/>
        <v>E37621700-----4-----------------------</v>
      </c>
      <c r="AL132" s="186">
        <f>VLOOKUP(AK132,Planilha1!B:C,2,0)</f>
        <v>94</v>
      </c>
      <c r="AM132" s="135" t="s">
        <v>3265</v>
      </c>
      <c r="AN132" t="s">
        <v>3330</v>
      </c>
    </row>
    <row r="133" spans="1:40" x14ac:dyDescent="0.3">
      <c r="A133" s="235" t="s">
        <v>3266</v>
      </c>
      <c r="B133" s="51" t="s">
        <v>3176</v>
      </c>
      <c r="C133" s="239"/>
      <c r="D133" t="s">
        <v>3281</v>
      </c>
      <c r="E133" s="200"/>
      <c r="F133" s="200"/>
      <c r="G133" s="200">
        <v>2.5</v>
      </c>
      <c r="H133" s="251"/>
      <c r="I133" s="251"/>
      <c r="J133" s="251"/>
      <c r="K133" s="251"/>
      <c r="L133" s="215"/>
      <c r="M133" s="215"/>
      <c r="N133" s="215"/>
      <c r="O133" s="215"/>
      <c r="P133" s="215"/>
      <c r="Q133" s="215"/>
      <c r="R133" s="116"/>
      <c r="S133" s="215"/>
      <c r="T133" s="215"/>
      <c r="U133" s="215"/>
      <c r="V133" s="215"/>
      <c r="W133" s="215"/>
      <c r="X133" s="215"/>
      <c r="Y133" s="116"/>
      <c r="Z133" s="116"/>
      <c r="AA133" s="116"/>
      <c r="AB133" s="116"/>
      <c r="AC133" s="116"/>
      <c r="AD133" s="116"/>
      <c r="AE133" s="116"/>
      <c r="AF133" s="215"/>
      <c r="AG133" s="215"/>
      <c r="AH133" s="248" t="s">
        <v>3154</v>
      </c>
      <c r="AI133" s="117">
        <v>8</v>
      </c>
      <c r="AJ133" s="117">
        <v>2026</v>
      </c>
      <c r="AK133" s="135" t="str">
        <f t="shared" si="2"/>
        <v>E37621700-----2,5-----------------------</v>
      </c>
      <c r="AL133" s="186">
        <f>VLOOKUP(AK133,Planilha1!B:C,2,0)</f>
        <v>95</v>
      </c>
      <c r="AM133" s="135" t="s">
        <v>3265</v>
      </c>
      <c r="AN133" t="s">
        <v>3331</v>
      </c>
    </row>
    <row r="134" spans="1:40" x14ac:dyDescent="0.3">
      <c r="A134" s="235" t="s">
        <v>3213</v>
      </c>
      <c r="B134" s="51" t="s">
        <v>3264</v>
      </c>
      <c r="C134" s="239"/>
      <c r="D134" s="48" t="s">
        <v>3282</v>
      </c>
      <c r="E134" s="200"/>
      <c r="F134" s="200"/>
      <c r="G134" s="200">
        <v>0.5</v>
      </c>
      <c r="H134" s="116"/>
      <c r="I134" s="116"/>
      <c r="J134" s="116"/>
      <c r="K134" s="116"/>
      <c r="L134" s="215"/>
      <c r="M134" s="215"/>
      <c r="N134" s="215"/>
      <c r="O134" s="215"/>
      <c r="P134" s="215"/>
      <c r="Q134" s="215"/>
      <c r="R134" s="251"/>
      <c r="S134" s="215"/>
      <c r="T134" s="215"/>
      <c r="U134" s="215"/>
      <c r="V134" s="215"/>
      <c r="W134" s="215"/>
      <c r="X134" s="215"/>
      <c r="Y134" s="251"/>
      <c r="Z134" s="116"/>
      <c r="AA134" s="116"/>
      <c r="AB134" s="116"/>
      <c r="AC134" s="116"/>
      <c r="AD134" s="116"/>
      <c r="AE134" s="116"/>
      <c r="AF134" s="215"/>
      <c r="AG134" s="215"/>
      <c r="AH134" s="117" t="s">
        <v>3154</v>
      </c>
      <c r="AI134" s="117">
        <v>8</v>
      </c>
      <c r="AJ134" s="117">
        <v>2026</v>
      </c>
      <c r="AK134" s="135" t="str">
        <f t="shared" si="2"/>
        <v>E00020633-320455AKQ----0,5-----------------------</v>
      </c>
      <c r="AL134" s="186">
        <f>VLOOKUP(AK134,Planilha1!B:C,2,0)</f>
        <v>96</v>
      </c>
      <c r="AM134" s="135" t="s">
        <v>3265</v>
      </c>
      <c r="AN134" t="s">
        <v>3332</v>
      </c>
    </row>
    <row r="135" spans="1:40" x14ac:dyDescent="0.3">
      <c r="A135" s="235" t="s">
        <v>3308</v>
      </c>
      <c r="B135" s="51">
        <v>320452766</v>
      </c>
      <c r="C135" s="239"/>
      <c r="D135" t="s">
        <v>3283</v>
      </c>
      <c r="E135" s="200"/>
      <c r="F135" s="200"/>
      <c r="G135" s="200">
        <v>0.5</v>
      </c>
      <c r="H135" s="116"/>
      <c r="I135" s="116"/>
      <c r="J135" s="116"/>
      <c r="K135" s="116"/>
      <c r="L135" s="215"/>
      <c r="M135" s="215"/>
      <c r="N135" s="215"/>
      <c r="O135" s="215"/>
      <c r="P135" s="215"/>
      <c r="Q135" s="215"/>
      <c r="R135" s="116"/>
      <c r="S135" s="215"/>
      <c r="T135" s="215"/>
      <c r="U135" s="215"/>
      <c r="V135" s="215"/>
      <c r="W135" s="215"/>
      <c r="X135" s="215"/>
      <c r="Y135" s="116"/>
      <c r="Z135" s="116"/>
      <c r="AA135" s="116"/>
      <c r="AB135" s="116"/>
      <c r="AC135" s="116"/>
      <c r="AD135" s="116"/>
      <c r="AE135" s="116"/>
      <c r="AF135" s="215"/>
      <c r="AG135" s="215"/>
      <c r="AH135" s="117" t="s">
        <v>3154</v>
      </c>
      <c r="AI135" s="117">
        <v>8</v>
      </c>
      <c r="AJ135" s="117">
        <v>2026</v>
      </c>
      <c r="AK135" s="135" t="str">
        <f t="shared" si="2"/>
        <v>E06973900-320452766----0,5-----------------------</v>
      </c>
      <c r="AL135" s="186">
        <f>VLOOKUP(AK135,Planilha1!B:C,2,0)</f>
        <v>97</v>
      </c>
      <c r="AM135" s="135" t="s">
        <v>3265</v>
      </c>
      <c r="AN135" t="s">
        <v>3333</v>
      </c>
    </row>
    <row r="136" spans="1:40" x14ac:dyDescent="0.3">
      <c r="A136" s="235" t="s">
        <v>3308</v>
      </c>
      <c r="B136" s="51">
        <v>320452766</v>
      </c>
      <c r="C136" s="239"/>
      <c r="D136" t="s">
        <v>3284</v>
      </c>
      <c r="E136" s="200"/>
      <c r="F136" s="200"/>
      <c r="G136" s="200">
        <v>0.5</v>
      </c>
      <c r="H136" s="116"/>
      <c r="I136" s="116"/>
      <c r="J136" s="116"/>
      <c r="K136" s="116"/>
      <c r="L136" s="215"/>
      <c r="M136" s="215"/>
      <c r="N136" s="215"/>
      <c r="O136" s="215"/>
      <c r="P136" s="215"/>
      <c r="Q136" s="215"/>
      <c r="R136" s="116"/>
      <c r="S136" s="215"/>
      <c r="T136" s="215"/>
      <c r="U136" s="215"/>
      <c r="V136" s="215"/>
      <c r="W136" s="215"/>
      <c r="X136" s="215"/>
      <c r="Y136" s="116"/>
      <c r="Z136" s="116"/>
      <c r="AA136" s="116"/>
      <c r="AB136" s="116"/>
      <c r="AC136" s="116"/>
      <c r="AD136" s="116"/>
      <c r="AE136" s="116"/>
      <c r="AF136" s="215"/>
      <c r="AG136" s="215"/>
      <c r="AH136" s="117" t="s">
        <v>3154</v>
      </c>
      <c r="AI136" s="117">
        <v>8</v>
      </c>
      <c r="AJ136" s="117">
        <v>2026</v>
      </c>
      <c r="AK136" s="135" t="str">
        <f t="shared" si="2"/>
        <v>E06973900-320452766----0,5-----------------------</v>
      </c>
      <c r="AL136" s="186">
        <f>VLOOKUP(AK136,Planilha1!B:C,2,0)</f>
        <v>97</v>
      </c>
      <c r="AM136" s="135" t="s">
        <v>3265</v>
      </c>
      <c r="AN136" t="s">
        <v>3334</v>
      </c>
    </row>
    <row r="137" spans="1:40" x14ac:dyDescent="0.3">
      <c r="A137" s="235" t="s">
        <v>3308</v>
      </c>
      <c r="B137" s="235">
        <v>320452766</v>
      </c>
      <c r="C137" s="239"/>
      <c r="D137" t="s">
        <v>3294</v>
      </c>
      <c r="E137" s="200"/>
      <c r="F137" s="200"/>
      <c r="G137" s="200">
        <v>0.5</v>
      </c>
      <c r="H137" s="116"/>
      <c r="I137" s="116"/>
      <c r="J137" s="116"/>
      <c r="K137" s="116"/>
      <c r="L137" s="215"/>
      <c r="M137" s="215"/>
      <c r="N137" s="215"/>
      <c r="O137" s="215"/>
      <c r="P137" s="215"/>
      <c r="Q137" s="215"/>
      <c r="R137" s="116"/>
      <c r="S137" s="215"/>
      <c r="T137" s="215"/>
      <c r="U137" s="215"/>
      <c r="V137" s="215"/>
      <c r="W137" s="215"/>
      <c r="X137" s="215"/>
      <c r="Y137" s="116"/>
      <c r="Z137" s="116"/>
      <c r="AA137" s="116"/>
      <c r="AB137" s="116"/>
      <c r="AC137" s="116"/>
      <c r="AD137" s="116"/>
      <c r="AE137" s="116"/>
      <c r="AF137" s="215"/>
      <c r="AG137" s="215"/>
      <c r="AH137" s="117" t="s">
        <v>3154</v>
      </c>
      <c r="AI137" s="117">
        <v>8</v>
      </c>
      <c r="AJ137" s="117">
        <v>2026</v>
      </c>
      <c r="AK137" s="135" t="str">
        <f t="shared" si="2"/>
        <v>E06973900-320452766----0,5-----------------------</v>
      </c>
      <c r="AL137" s="186">
        <f>VLOOKUP(AK137,Planilha1!B:C,2,0)</f>
        <v>97</v>
      </c>
      <c r="AM137" s="135" t="s">
        <v>3265</v>
      </c>
      <c r="AN137" t="e">
        <v>#N/A</v>
      </c>
    </row>
    <row r="138" spans="1:40" x14ac:dyDescent="0.3">
      <c r="A138" s="235" t="s">
        <v>3309</v>
      </c>
      <c r="B138" s="51" t="s">
        <v>3317</v>
      </c>
      <c r="C138" s="239"/>
      <c r="D138" s="48" t="s">
        <v>3285</v>
      </c>
      <c r="E138" s="200"/>
      <c r="F138" s="200"/>
      <c r="G138" s="200">
        <v>0.35</v>
      </c>
      <c r="H138" s="116"/>
      <c r="I138" s="116"/>
      <c r="J138" s="116"/>
      <c r="K138" s="116"/>
      <c r="L138" s="215"/>
      <c r="M138" s="215"/>
      <c r="N138" s="215"/>
      <c r="O138" s="215"/>
      <c r="P138" s="215"/>
      <c r="Q138" s="215"/>
      <c r="R138" s="116"/>
      <c r="S138" s="215"/>
      <c r="T138" s="215"/>
      <c r="U138" s="215"/>
      <c r="V138" s="215"/>
      <c r="W138" s="215"/>
      <c r="X138" s="215"/>
      <c r="Y138" s="116"/>
      <c r="Z138" s="116"/>
      <c r="AA138" s="116"/>
      <c r="AB138" s="116"/>
      <c r="AC138" s="116"/>
      <c r="AD138" s="116"/>
      <c r="AE138" s="116"/>
      <c r="AF138" s="215"/>
      <c r="AG138" s="215"/>
      <c r="AH138" s="117" t="s">
        <v>3154</v>
      </c>
      <c r="AI138" s="117">
        <v>8</v>
      </c>
      <c r="AJ138" s="117">
        <v>2026</v>
      </c>
      <c r="AK138" s="135" t="str">
        <f t="shared" si="2"/>
        <v>32025Y2P8-320455A4C----0,35-----------------------</v>
      </c>
      <c r="AL138" s="186">
        <f>VLOOKUP(AK138,Planilha1!B:C,2,0)</f>
        <v>98</v>
      </c>
      <c r="AM138" s="135" t="s">
        <v>3265</v>
      </c>
      <c r="AN138" t="s">
        <v>3335</v>
      </c>
    </row>
    <row r="139" spans="1:40" x14ac:dyDescent="0.3">
      <c r="A139" s="235" t="s">
        <v>3212</v>
      </c>
      <c r="B139" s="51" t="s">
        <v>3318</v>
      </c>
      <c r="C139" s="239"/>
      <c r="D139" s="48" t="s">
        <v>3286</v>
      </c>
      <c r="E139" s="200"/>
      <c r="F139" s="200"/>
      <c r="G139" s="200">
        <v>0.5</v>
      </c>
      <c r="H139" s="116"/>
      <c r="I139" s="116"/>
      <c r="J139" s="116"/>
      <c r="K139" s="116"/>
      <c r="L139" s="215"/>
      <c r="M139" s="215"/>
      <c r="N139" s="215"/>
      <c r="O139" s="215"/>
      <c r="P139" s="215"/>
      <c r="Q139" s="215"/>
      <c r="R139" s="251"/>
      <c r="S139" s="215"/>
      <c r="T139" s="215"/>
      <c r="U139" s="215"/>
      <c r="V139" s="215"/>
      <c r="W139" s="215"/>
      <c r="X139" s="215"/>
      <c r="Y139" s="251"/>
      <c r="Z139" s="116"/>
      <c r="AA139" s="116"/>
      <c r="AB139" s="116"/>
      <c r="AC139" s="116"/>
      <c r="AD139" s="116"/>
      <c r="AE139" s="116"/>
      <c r="AF139" s="215"/>
      <c r="AG139" s="215"/>
      <c r="AH139" s="117" t="s">
        <v>3154</v>
      </c>
      <c r="AI139" s="117">
        <v>8</v>
      </c>
      <c r="AJ139" s="117">
        <v>2026</v>
      </c>
      <c r="AK139" s="135" t="str">
        <f t="shared" si="2"/>
        <v>E00166100-3204558V3----0,5-----------------------</v>
      </c>
      <c r="AL139" s="186">
        <f>VLOOKUP(AK139,Planilha1!B:C,2,0)</f>
        <v>99</v>
      </c>
      <c r="AM139" s="135" t="s">
        <v>3265</v>
      </c>
      <c r="AN139" t="s">
        <v>3336</v>
      </c>
    </row>
    <row r="140" spans="1:40" x14ac:dyDescent="0.3">
      <c r="A140" s="235" t="s">
        <v>3310</v>
      </c>
      <c r="B140" s="51">
        <v>320452329</v>
      </c>
      <c r="C140" s="239"/>
      <c r="D140" s="48" t="s">
        <v>3287</v>
      </c>
      <c r="E140" s="200"/>
      <c r="F140" s="200"/>
      <c r="G140" s="200">
        <v>0.75</v>
      </c>
      <c r="H140" s="116"/>
      <c r="I140" s="116"/>
      <c r="J140" s="116"/>
      <c r="K140" s="116"/>
      <c r="L140" s="215"/>
      <c r="M140" s="215"/>
      <c r="N140" s="215"/>
      <c r="O140" s="215"/>
      <c r="P140" s="215"/>
      <c r="Q140" s="215"/>
      <c r="R140" s="116"/>
      <c r="S140" s="215"/>
      <c r="T140" s="215"/>
      <c r="U140" s="215"/>
      <c r="V140" s="215"/>
      <c r="W140" s="215"/>
      <c r="X140" s="215"/>
      <c r="Y140" s="116"/>
      <c r="Z140" s="116"/>
      <c r="AA140" s="116"/>
      <c r="AB140" s="116"/>
      <c r="AC140" s="116"/>
      <c r="AD140" s="116"/>
      <c r="AE140" s="116"/>
      <c r="AF140" s="215"/>
      <c r="AG140" s="215"/>
      <c r="AH140" s="117" t="s">
        <v>3154</v>
      </c>
      <c r="AI140" s="117">
        <v>8</v>
      </c>
      <c r="AJ140" s="117">
        <v>2026</v>
      </c>
      <c r="AK140" s="135" t="str">
        <f t="shared" si="2"/>
        <v>32025Y192-320452329----0,75-----------------------</v>
      </c>
      <c r="AL140" s="186">
        <f>VLOOKUP(AK140,Planilha1!B:C,2,0)</f>
        <v>100</v>
      </c>
      <c r="AM140" s="135" t="s">
        <v>3265</v>
      </c>
      <c r="AN140" t="s">
        <v>3337</v>
      </c>
    </row>
    <row r="141" spans="1:40" x14ac:dyDescent="0.3">
      <c r="A141" s="235" t="s">
        <v>3212</v>
      </c>
      <c r="B141" s="51" t="s">
        <v>3317</v>
      </c>
      <c r="C141" s="239"/>
      <c r="D141" s="48" t="s">
        <v>3288</v>
      </c>
      <c r="E141" s="200"/>
      <c r="F141" s="200"/>
      <c r="G141" s="200">
        <v>0.5</v>
      </c>
      <c r="H141" s="116"/>
      <c r="I141" s="116"/>
      <c r="J141" s="116"/>
      <c r="K141" s="116"/>
      <c r="L141" s="215"/>
      <c r="M141" s="215"/>
      <c r="N141" s="215"/>
      <c r="O141" s="215"/>
      <c r="P141" s="215"/>
      <c r="Q141" s="215"/>
      <c r="R141" s="251"/>
      <c r="S141" s="215"/>
      <c r="T141" s="215"/>
      <c r="U141" s="215"/>
      <c r="V141" s="215"/>
      <c r="W141" s="215"/>
      <c r="X141" s="215"/>
      <c r="Y141" s="251"/>
      <c r="Z141" s="116"/>
      <c r="AA141" s="116"/>
      <c r="AB141" s="116"/>
      <c r="AC141" s="116"/>
      <c r="AD141" s="116"/>
      <c r="AE141" s="116"/>
      <c r="AF141" s="215"/>
      <c r="AG141" s="215"/>
      <c r="AH141" s="117" t="s">
        <v>3154</v>
      </c>
      <c r="AI141" s="117">
        <v>8</v>
      </c>
      <c r="AJ141" s="117">
        <v>2026</v>
      </c>
      <c r="AK141" s="135" t="str">
        <f t="shared" si="2"/>
        <v>E00166100-320455A4C----0,5-----------------------</v>
      </c>
      <c r="AL141" s="186">
        <f>VLOOKUP(AK141,Planilha1!B:C,2,0)</f>
        <v>101</v>
      </c>
      <c r="AM141" s="135" t="s">
        <v>3265</v>
      </c>
      <c r="AN141" t="s">
        <v>3336</v>
      </c>
    </row>
    <row r="142" spans="1:40" x14ac:dyDescent="0.3">
      <c r="A142" s="235" t="s">
        <v>3306</v>
      </c>
      <c r="B142" s="235" t="s">
        <v>3319</v>
      </c>
      <c r="C142" s="239"/>
      <c r="D142" s="48" t="s">
        <v>3289</v>
      </c>
      <c r="E142" s="200"/>
      <c r="F142" s="200"/>
      <c r="G142" s="200">
        <v>0.5</v>
      </c>
      <c r="H142" s="116"/>
      <c r="I142" s="116"/>
      <c r="J142" s="116"/>
      <c r="K142" s="116"/>
      <c r="L142" s="215"/>
      <c r="M142" s="215"/>
      <c r="N142" s="215"/>
      <c r="O142" s="215"/>
      <c r="P142" s="215"/>
      <c r="Q142" s="215"/>
      <c r="R142" s="116"/>
      <c r="S142" s="215"/>
      <c r="T142" s="215"/>
      <c r="U142" s="215"/>
      <c r="V142" s="215"/>
      <c r="W142" s="215"/>
      <c r="X142" s="215"/>
      <c r="Y142" s="116"/>
      <c r="Z142" s="116"/>
      <c r="AA142" s="116"/>
      <c r="AB142" s="116"/>
      <c r="AC142" s="116"/>
      <c r="AD142" s="116"/>
      <c r="AE142" s="116"/>
      <c r="AF142" s="215"/>
      <c r="AG142" s="215"/>
      <c r="AH142" s="117" t="s">
        <v>3154</v>
      </c>
      <c r="AI142" s="117">
        <v>8</v>
      </c>
      <c r="AJ142" s="117">
        <v>2026</v>
      </c>
      <c r="AK142" s="135" t="str">
        <f t="shared" si="2"/>
        <v>E01647000-3204505B1----0,5-----------------------</v>
      </c>
      <c r="AL142" s="186">
        <f>VLOOKUP(AK142,Planilha1!B:C,2,0)</f>
        <v>102</v>
      </c>
      <c r="AM142" s="135" t="s">
        <v>3265</v>
      </c>
      <c r="AN142" t="e">
        <v>#N/A</v>
      </c>
    </row>
    <row r="143" spans="1:40" x14ac:dyDescent="0.3">
      <c r="A143" s="235" t="s">
        <v>3306</v>
      </c>
      <c r="B143" s="235" t="s">
        <v>3319</v>
      </c>
      <c r="C143" s="239"/>
      <c r="D143" s="48" t="s">
        <v>3292</v>
      </c>
      <c r="E143" s="200"/>
      <c r="F143" s="200"/>
      <c r="G143" s="200">
        <v>0.5</v>
      </c>
      <c r="H143" s="116"/>
      <c r="I143" s="116"/>
      <c r="J143" s="116"/>
      <c r="K143" s="116"/>
      <c r="L143" s="215"/>
      <c r="M143" s="215"/>
      <c r="N143" s="215"/>
      <c r="O143" s="215"/>
      <c r="P143" s="215"/>
      <c r="Q143" s="215"/>
      <c r="R143" s="116"/>
      <c r="S143" s="215"/>
      <c r="T143" s="215"/>
      <c r="U143" s="215"/>
      <c r="V143" s="215"/>
      <c r="W143" s="215"/>
      <c r="X143" s="215"/>
      <c r="Y143" s="116"/>
      <c r="Z143" s="116"/>
      <c r="AA143" s="116"/>
      <c r="AB143" s="116"/>
      <c r="AC143" s="116"/>
      <c r="AD143" s="116"/>
      <c r="AE143" s="116"/>
      <c r="AF143" s="215"/>
      <c r="AG143" s="215"/>
      <c r="AH143" s="117" t="s">
        <v>3154</v>
      </c>
      <c r="AI143" s="117">
        <v>8</v>
      </c>
      <c r="AJ143" s="117">
        <v>2026</v>
      </c>
      <c r="AK143" s="135" t="str">
        <f t="shared" si="2"/>
        <v>E01647000-3204505B1----0,5-----------------------</v>
      </c>
      <c r="AL143" s="186">
        <f>VLOOKUP(AK143,Planilha1!B:C,2,0)</f>
        <v>102</v>
      </c>
      <c r="AM143" s="135" t="s">
        <v>3265</v>
      </c>
      <c r="AN143" t="e">
        <v>#N/A</v>
      </c>
    </row>
    <row r="144" spans="1:40" x14ac:dyDescent="0.3">
      <c r="A144" s="235" t="s">
        <v>3306</v>
      </c>
      <c r="B144" s="235" t="s">
        <v>3319</v>
      </c>
      <c r="C144" s="239"/>
      <c r="D144" s="48" t="s">
        <v>3293</v>
      </c>
      <c r="E144" s="200"/>
      <c r="F144" s="200"/>
      <c r="G144" s="200">
        <v>0.5</v>
      </c>
      <c r="H144" s="116"/>
      <c r="I144" s="116"/>
      <c r="J144" s="116"/>
      <c r="K144" s="116"/>
      <c r="L144" s="215"/>
      <c r="M144" s="215"/>
      <c r="N144" s="215"/>
      <c r="O144" s="215"/>
      <c r="P144" s="215"/>
      <c r="Q144" s="215"/>
      <c r="R144" s="116"/>
      <c r="S144" s="215"/>
      <c r="T144" s="215"/>
      <c r="U144" s="215"/>
      <c r="V144" s="215"/>
      <c r="W144" s="215"/>
      <c r="X144" s="215"/>
      <c r="Y144" s="116"/>
      <c r="Z144" s="116"/>
      <c r="AA144" s="116"/>
      <c r="AB144" s="116"/>
      <c r="AC144" s="116"/>
      <c r="AD144" s="116"/>
      <c r="AE144" s="116"/>
      <c r="AF144" s="215"/>
      <c r="AG144" s="215"/>
      <c r="AH144" s="117" t="s">
        <v>3154</v>
      </c>
      <c r="AI144" s="117">
        <v>8</v>
      </c>
      <c r="AJ144" s="117">
        <v>2026</v>
      </c>
      <c r="AK144" s="135" t="str">
        <f t="shared" si="2"/>
        <v>E01647000-3204505B1----0,5-----------------------</v>
      </c>
      <c r="AL144" s="186">
        <f>VLOOKUP(AK144,Planilha1!B:C,2,0)</f>
        <v>102</v>
      </c>
      <c r="AM144" s="135" t="s">
        <v>3265</v>
      </c>
      <c r="AN144" t="e">
        <v>#N/A</v>
      </c>
    </row>
    <row r="145" spans="1:40" x14ac:dyDescent="0.3">
      <c r="A145" s="235" t="s">
        <v>3306</v>
      </c>
      <c r="B145" s="235" t="s">
        <v>3319</v>
      </c>
      <c r="C145" s="239"/>
      <c r="D145" s="48" t="s">
        <v>3301</v>
      </c>
      <c r="E145" s="200"/>
      <c r="F145" s="200"/>
      <c r="G145" s="200">
        <v>0.5</v>
      </c>
      <c r="H145" s="116"/>
      <c r="I145" s="116"/>
      <c r="J145" s="116"/>
      <c r="K145" s="116"/>
      <c r="L145" s="215"/>
      <c r="M145" s="215"/>
      <c r="N145" s="215"/>
      <c r="O145" s="215"/>
      <c r="P145" s="215"/>
      <c r="Q145" s="215"/>
      <c r="R145" s="116"/>
      <c r="S145" s="215"/>
      <c r="T145" s="215"/>
      <c r="U145" s="215"/>
      <c r="V145" s="215"/>
      <c r="W145" s="215"/>
      <c r="X145" s="215"/>
      <c r="Y145" s="116"/>
      <c r="Z145" s="116"/>
      <c r="AA145" s="116"/>
      <c r="AB145" s="116"/>
      <c r="AC145" s="116"/>
      <c r="AD145" s="116"/>
      <c r="AE145" s="116"/>
      <c r="AF145" s="215"/>
      <c r="AG145" s="215"/>
      <c r="AH145" s="117" t="s">
        <v>3154</v>
      </c>
      <c r="AI145" s="117">
        <v>8</v>
      </c>
      <c r="AJ145" s="117">
        <v>2026</v>
      </c>
      <c r="AK145" s="135" t="str">
        <f t="shared" si="2"/>
        <v>E01647000-3204505B1----0,5-----------------------</v>
      </c>
      <c r="AL145" s="186">
        <f>VLOOKUP(AK145,Planilha1!B:C,2,0)</f>
        <v>102</v>
      </c>
      <c r="AM145" s="135" t="s">
        <v>3265</v>
      </c>
      <c r="AN145" t="e">
        <v>#N/A</v>
      </c>
    </row>
    <row r="146" spans="1:40" x14ac:dyDescent="0.3">
      <c r="A146" s="235" t="s">
        <v>3268</v>
      </c>
      <c r="B146" s="235" t="s">
        <v>3176</v>
      </c>
      <c r="C146" s="239"/>
      <c r="D146" s="48" t="s">
        <v>3290</v>
      </c>
      <c r="E146" s="200"/>
      <c r="F146" s="200"/>
      <c r="G146" s="200">
        <v>1.5</v>
      </c>
      <c r="H146" s="116"/>
      <c r="I146" s="116"/>
      <c r="J146" s="116"/>
      <c r="K146" s="116"/>
      <c r="L146" s="215"/>
      <c r="M146" s="215"/>
      <c r="N146" s="215"/>
      <c r="O146" s="215"/>
      <c r="P146" s="215"/>
      <c r="Q146" s="215"/>
      <c r="R146" s="116"/>
      <c r="S146" s="215"/>
      <c r="T146" s="215"/>
      <c r="U146" s="215"/>
      <c r="V146" s="215"/>
      <c r="W146" s="215"/>
      <c r="X146" s="215"/>
      <c r="Y146" s="116"/>
      <c r="Z146" s="116"/>
      <c r="AA146" s="116"/>
      <c r="AB146" s="116"/>
      <c r="AC146" s="116"/>
      <c r="AD146" s="116"/>
      <c r="AE146" s="116"/>
      <c r="AF146" s="215"/>
      <c r="AG146" s="215"/>
      <c r="AH146" s="117" t="s">
        <v>3154</v>
      </c>
      <c r="AI146" s="117">
        <v>8</v>
      </c>
      <c r="AJ146" s="117">
        <v>2026</v>
      </c>
      <c r="AK146" s="135" t="str">
        <f t="shared" si="2"/>
        <v>320263VT6-----1,5-----------------------</v>
      </c>
      <c r="AL146" s="186">
        <f>VLOOKUP(AK146,Planilha1!B:C,2,0)</f>
        <v>103</v>
      </c>
      <c r="AM146" s="135" t="s">
        <v>3265</v>
      </c>
      <c r="AN146" t="e">
        <v>#N/A</v>
      </c>
    </row>
    <row r="147" spans="1:40" x14ac:dyDescent="0.3">
      <c r="A147" s="235" t="s">
        <v>3311</v>
      </c>
      <c r="B147" s="235" t="s">
        <v>3320</v>
      </c>
      <c r="C147" s="239"/>
      <c r="D147" t="s">
        <v>3291</v>
      </c>
      <c r="E147" s="200"/>
      <c r="F147" s="200"/>
      <c r="G147" s="200">
        <v>0.5</v>
      </c>
      <c r="H147" s="116"/>
      <c r="I147" s="116"/>
      <c r="J147" s="116"/>
      <c r="K147" s="116"/>
      <c r="L147" s="215"/>
      <c r="M147" s="215"/>
      <c r="N147" s="215"/>
      <c r="O147" s="215"/>
      <c r="P147" s="215"/>
      <c r="Q147" s="215"/>
      <c r="R147" s="116"/>
      <c r="S147" s="215"/>
      <c r="T147" s="215"/>
      <c r="U147" s="215"/>
      <c r="V147" s="215"/>
      <c r="W147" s="215"/>
      <c r="X147" s="215"/>
      <c r="Y147" s="116"/>
      <c r="Z147" s="116"/>
      <c r="AA147" s="116"/>
      <c r="AB147" s="116"/>
      <c r="AC147" s="116"/>
      <c r="AD147" s="116"/>
      <c r="AE147" s="116"/>
      <c r="AF147" s="215"/>
      <c r="AG147" s="215"/>
      <c r="AH147" s="117" t="s">
        <v>3154</v>
      </c>
      <c r="AI147" s="117">
        <v>8</v>
      </c>
      <c r="AJ147" s="117">
        <v>2026</v>
      </c>
      <c r="AK147" s="135" t="str">
        <f t="shared" si="2"/>
        <v>E13250300-3204542D2----0,5-----------------------</v>
      </c>
      <c r="AL147" s="186">
        <f>VLOOKUP(AK147,Planilha1!B:C,2,0)</f>
        <v>104</v>
      </c>
      <c r="AM147" s="135" t="s">
        <v>3265</v>
      </c>
      <c r="AN147" t="e">
        <v>#N/A</v>
      </c>
    </row>
    <row r="148" spans="1:40" x14ac:dyDescent="0.3">
      <c r="A148" s="235" t="s">
        <v>3312</v>
      </c>
      <c r="B148" s="235">
        <v>329983118</v>
      </c>
      <c r="C148" s="239"/>
      <c r="D148" t="s">
        <v>3295</v>
      </c>
      <c r="E148" s="200"/>
      <c r="F148" s="200"/>
      <c r="G148" s="200">
        <v>0.5</v>
      </c>
      <c r="H148" s="116"/>
      <c r="I148" s="116"/>
      <c r="J148" s="116"/>
      <c r="K148" s="116"/>
      <c r="L148" s="215"/>
      <c r="M148" s="215"/>
      <c r="N148" s="215"/>
      <c r="O148" s="215"/>
      <c r="P148" s="215"/>
      <c r="Q148" s="215"/>
      <c r="R148" s="116"/>
      <c r="S148" s="215"/>
      <c r="T148" s="215"/>
      <c r="U148" s="215"/>
      <c r="V148" s="215"/>
      <c r="W148" s="215"/>
      <c r="X148" s="215"/>
      <c r="Y148" s="116"/>
      <c r="Z148" s="116"/>
      <c r="AA148" s="116"/>
      <c r="AB148" s="116"/>
      <c r="AC148" s="116"/>
      <c r="AD148" s="116"/>
      <c r="AE148" s="116"/>
      <c r="AF148" s="215"/>
      <c r="AG148" s="215"/>
      <c r="AH148" s="117" t="s">
        <v>3154</v>
      </c>
      <c r="AI148" s="117">
        <v>8</v>
      </c>
      <c r="AJ148" s="117">
        <v>2026</v>
      </c>
      <c r="AK148" s="135" t="str">
        <f t="shared" si="2"/>
        <v>E03355500-329983118----0,5-----------------------</v>
      </c>
      <c r="AL148" s="186">
        <f>VLOOKUP(AK148,Planilha1!B:C,2,0)</f>
        <v>105</v>
      </c>
      <c r="AM148" s="135" t="s">
        <v>3265</v>
      </c>
      <c r="AN148" t="e">
        <v>#N/A</v>
      </c>
    </row>
    <row r="149" spans="1:40" x14ac:dyDescent="0.3">
      <c r="A149" s="235" t="s">
        <v>3309</v>
      </c>
      <c r="B149" s="235" t="s">
        <v>3317</v>
      </c>
      <c r="C149" s="239"/>
      <c r="D149" s="48" t="s">
        <v>3296</v>
      </c>
      <c r="E149" s="200"/>
      <c r="F149" s="200"/>
      <c r="G149" s="200">
        <v>0.5</v>
      </c>
      <c r="H149" s="116"/>
      <c r="I149" s="116"/>
      <c r="J149" s="116"/>
      <c r="K149" s="116"/>
      <c r="L149" s="215"/>
      <c r="M149" s="215"/>
      <c r="N149" s="215"/>
      <c r="O149" s="215"/>
      <c r="P149" s="215"/>
      <c r="Q149" s="215"/>
      <c r="R149" s="116"/>
      <c r="S149" s="215"/>
      <c r="T149" s="215"/>
      <c r="U149" s="215"/>
      <c r="V149" s="215"/>
      <c r="W149" s="215"/>
      <c r="X149" s="215"/>
      <c r="Y149" s="116"/>
      <c r="Z149" s="116"/>
      <c r="AA149" s="116"/>
      <c r="AB149" s="116"/>
      <c r="AC149" s="116"/>
      <c r="AD149" s="116"/>
      <c r="AE149" s="116"/>
      <c r="AF149" s="215"/>
      <c r="AG149" s="215"/>
      <c r="AH149" s="117" t="s">
        <v>3154</v>
      </c>
      <c r="AI149" s="117">
        <v>8</v>
      </c>
      <c r="AJ149" s="117">
        <v>2026</v>
      </c>
      <c r="AK149" s="135" t="str">
        <f t="shared" si="2"/>
        <v>32025Y2P8-320455A4C----0,5-----------------------</v>
      </c>
      <c r="AL149" s="186">
        <f>VLOOKUP(AK149,Planilha1!B:C,2,0)</f>
        <v>106</v>
      </c>
      <c r="AM149" s="135" t="s">
        <v>3265</v>
      </c>
      <c r="AN149" t="e">
        <v>#N/A</v>
      </c>
    </row>
    <row r="150" spans="1:40" x14ac:dyDescent="0.3">
      <c r="A150" s="235" t="s">
        <v>3313</v>
      </c>
      <c r="B150" s="235" t="s">
        <v>3317</v>
      </c>
      <c r="C150" s="239"/>
      <c r="D150" s="48" t="s">
        <v>3297</v>
      </c>
      <c r="E150" s="200"/>
      <c r="F150" s="200"/>
      <c r="G150" s="200">
        <v>0.5</v>
      </c>
      <c r="H150" s="116"/>
      <c r="I150" s="116"/>
      <c r="J150" s="116"/>
      <c r="K150" s="116"/>
      <c r="L150" s="215"/>
      <c r="M150" s="215"/>
      <c r="N150" s="215"/>
      <c r="O150" s="215"/>
      <c r="P150" s="215"/>
      <c r="Q150" s="215"/>
      <c r="R150" s="116"/>
      <c r="S150" s="215"/>
      <c r="T150" s="215"/>
      <c r="U150" s="215"/>
      <c r="V150" s="215"/>
      <c r="W150" s="215"/>
      <c r="X150" s="215"/>
      <c r="Y150" s="116"/>
      <c r="Z150" s="116"/>
      <c r="AA150" s="116"/>
      <c r="AB150" s="116"/>
      <c r="AC150" s="116"/>
      <c r="AD150" s="116"/>
      <c r="AE150" s="116"/>
      <c r="AF150" s="215"/>
      <c r="AG150" s="215"/>
      <c r="AH150" s="117" t="s">
        <v>3154</v>
      </c>
      <c r="AI150" s="117">
        <v>8</v>
      </c>
      <c r="AJ150" s="117">
        <v>2026</v>
      </c>
      <c r="AK150" s="135" t="str">
        <f t="shared" si="2"/>
        <v>3202536X7-320455A4C----0,5-----------------------</v>
      </c>
      <c r="AL150" s="186">
        <f>VLOOKUP(AK150,Planilha1!B:C,2,0)</f>
        <v>107</v>
      </c>
      <c r="AM150" s="135" t="s">
        <v>3265</v>
      </c>
      <c r="AN150" t="e">
        <v>#N/A</v>
      </c>
    </row>
    <row r="151" spans="1:40" x14ac:dyDescent="0.3">
      <c r="A151" s="235" t="s">
        <v>3267</v>
      </c>
      <c r="B151" s="235" t="s">
        <v>3319</v>
      </c>
      <c r="C151" s="239"/>
      <c r="D151" s="48" t="s">
        <v>3298</v>
      </c>
      <c r="E151" s="200"/>
      <c r="F151" s="200"/>
      <c r="G151" s="200">
        <v>0.5</v>
      </c>
      <c r="H151" s="116"/>
      <c r="I151" s="116"/>
      <c r="J151" s="116"/>
      <c r="K151" s="116"/>
      <c r="L151" s="215"/>
      <c r="M151" s="215"/>
      <c r="N151" s="215"/>
      <c r="O151" s="215"/>
      <c r="P151" s="215"/>
      <c r="Q151" s="215"/>
      <c r="R151" s="116"/>
      <c r="S151" s="215"/>
      <c r="T151" s="215"/>
      <c r="U151" s="215"/>
      <c r="V151" s="215"/>
      <c r="W151" s="215"/>
      <c r="X151" s="215"/>
      <c r="Y151" s="116"/>
      <c r="Z151" s="116"/>
      <c r="AA151" s="116"/>
      <c r="AB151" s="116"/>
      <c r="AC151" s="116"/>
      <c r="AD151" s="116"/>
      <c r="AE151" s="116"/>
      <c r="AF151" s="215"/>
      <c r="AG151" s="215"/>
      <c r="AH151" s="117" t="s">
        <v>3154</v>
      </c>
      <c r="AI151" s="117">
        <v>8</v>
      </c>
      <c r="AJ151" s="117">
        <v>2026</v>
      </c>
      <c r="AK151" s="135" t="str">
        <f t="shared" si="2"/>
        <v>3202502F9-3204505B1----0,5-----------------------</v>
      </c>
      <c r="AL151" s="186">
        <f>VLOOKUP(AK151,Planilha1!B:C,2,0)</f>
        <v>108</v>
      </c>
      <c r="AM151" s="135" t="s">
        <v>3265</v>
      </c>
      <c r="AN151" t="e">
        <v>#N/A</v>
      </c>
    </row>
    <row r="152" spans="1:40" x14ac:dyDescent="0.3">
      <c r="A152" s="235" t="s">
        <v>3314</v>
      </c>
      <c r="B152" s="235" t="s">
        <v>3176</v>
      </c>
      <c r="C152" s="239"/>
      <c r="D152" t="s">
        <v>3299</v>
      </c>
      <c r="E152" s="200"/>
      <c r="F152" s="200"/>
      <c r="G152" s="200">
        <v>0.5</v>
      </c>
      <c r="H152" s="116"/>
      <c r="I152" s="116"/>
      <c r="J152" s="116"/>
      <c r="K152" s="116"/>
      <c r="L152" s="215"/>
      <c r="M152" s="215"/>
      <c r="N152" s="215"/>
      <c r="O152" s="215"/>
      <c r="P152" s="215"/>
      <c r="Q152" s="215"/>
      <c r="R152" s="116"/>
      <c r="S152" s="215"/>
      <c r="T152" s="215"/>
      <c r="U152" s="215"/>
      <c r="V152" s="215"/>
      <c r="W152" s="215"/>
      <c r="X152" s="215"/>
      <c r="Y152" s="116"/>
      <c r="Z152" s="116"/>
      <c r="AA152" s="116"/>
      <c r="AB152" s="116"/>
      <c r="AC152" s="116"/>
      <c r="AD152" s="116"/>
      <c r="AE152" s="116"/>
      <c r="AF152" s="215"/>
      <c r="AG152" s="215"/>
      <c r="AH152" s="117" t="s">
        <v>3154</v>
      </c>
      <c r="AI152" s="117">
        <v>8</v>
      </c>
      <c r="AJ152" s="117">
        <v>2026</v>
      </c>
      <c r="AK152" s="135" t="str">
        <f t="shared" si="2"/>
        <v>E08964700-----0,5-----------------------</v>
      </c>
      <c r="AL152" s="186">
        <f>VLOOKUP(AK152,Planilha1!B:C,2,0)</f>
        <v>109</v>
      </c>
      <c r="AM152" s="135" t="s">
        <v>3265</v>
      </c>
      <c r="AN152" t="e">
        <v>#N/A</v>
      </c>
    </row>
    <row r="153" spans="1:40" x14ac:dyDescent="0.3">
      <c r="A153" s="235" t="s">
        <v>3306</v>
      </c>
      <c r="B153" s="235" t="s">
        <v>3319</v>
      </c>
      <c r="C153" s="239"/>
      <c r="D153" s="48" t="s">
        <v>3300</v>
      </c>
      <c r="E153" s="200"/>
      <c r="F153" s="200"/>
      <c r="G153" s="200">
        <v>0.35</v>
      </c>
      <c r="H153" s="116"/>
      <c r="I153" s="116"/>
      <c r="J153" s="116"/>
      <c r="K153" s="116"/>
      <c r="L153" s="215"/>
      <c r="M153" s="215"/>
      <c r="N153" s="215"/>
      <c r="O153" s="215"/>
      <c r="P153" s="215"/>
      <c r="Q153" s="215"/>
      <c r="R153" s="116"/>
      <c r="S153" s="215"/>
      <c r="T153" s="215"/>
      <c r="U153" s="215"/>
      <c r="V153" s="215"/>
      <c r="W153" s="215"/>
      <c r="X153" s="215"/>
      <c r="Y153" s="116"/>
      <c r="Z153" s="116"/>
      <c r="AA153" s="116"/>
      <c r="AB153" s="116"/>
      <c r="AC153" s="116"/>
      <c r="AD153" s="116"/>
      <c r="AE153" s="116"/>
      <c r="AF153" s="215"/>
      <c r="AG153" s="215"/>
      <c r="AH153" s="117" t="s">
        <v>3154</v>
      </c>
      <c r="AI153" s="117">
        <v>8</v>
      </c>
      <c r="AJ153" s="117">
        <v>2026</v>
      </c>
      <c r="AK153" s="135" t="str">
        <f t="shared" si="2"/>
        <v>E01647000-3204505B1----0,35-----------------------</v>
      </c>
      <c r="AL153" s="186">
        <f>VLOOKUP(AK153,Planilha1!B:C,2,0)</f>
        <v>110</v>
      </c>
      <c r="AM153" s="135" t="s">
        <v>3265</v>
      </c>
      <c r="AN153" t="e">
        <v>#N/A</v>
      </c>
    </row>
    <row r="154" spans="1:40" x14ac:dyDescent="0.3">
      <c r="A154" s="236"/>
      <c r="C154" s="239" t="s">
        <v>3157</v>
      </c>
      <c r="D154" s="48"/>
      <c r="E154" s="203">
        <v>0</v>
      </c>
      <c r="F154" s="203">
        <v>6.5</v>
      </c>
      <c r="G154" s="200">
        <v>6.5</v>
      </c>
      <c r="H154" s="215"/>
      <c r="I154" s="215"/>
      <c r="J154" s="215"/>
      <c r="K154" s="116"/>
      <c r="L154" s="140" t="s">
        <v>3176</v>
      </c>
      <c r="M154" s="140" t="s">
        <v>3176</v>
      </c>
      <c r="N154" s="140" t="s">
        <v>3176</v>
      </c>
      <c r="O154" s="140" t="s">
        <v>3176</v>
      </c>
      <c r="P154" s="140" t="s">
        <v>3176</v>
      </c>
      <c r="Q154" s="140" t="s">
        <v>3176</v>
      </c>
      <c r="R154" s="116"/>
      <c r="S154" s="140">
        <v>1</v>
      </c>
      <c r="T154" s="140">
        <v>2</v>
      </c>
      <c r="U154" s="140">
        <v>1.5</v>
      </c>
      <c r="V154" s="140">
        <v>0.5</v>
      </c>
      <c r="W154" s="140">
        <v>1.5</v>
      </c>
      <c r="X154" s="140" t="s">
        <v>3176</v>
      </c>
      <c r="Y154" s="116"/>
      <c r="Z154" s="116"/>
      <c r="AA154" s="116"/>
      <c r="AB154" s="116"/>
      <c r="AC154" s="116"/>
      <c r="AD154" s="116"/>
      <c r="AE154" s="116"/>
      <c r="AF154" s="140" t="s">
        <v>3154</v>
      </c>
      <c r="AG154" s="175" t="s">
        <v>3154</v>
      </c>
      <c r="AH154" s="116"/>
      <c r="AI154" s="117">
        <v>16</v>
      </c>
      <c r="AJ154" s="117">
        <v>2026</v>
      </c>
      <c r="AK154" s="135" t="str">
        <f t="shared" si="2"/>
        <v>--3299362M9-0-6,5-6,5------------1-2-1,5-0,5-1,5-------</v>
      </c>
      <c r="AL154" s="186">
        <f>VLOOKUP(AK154,Planilha1!B:C,2,0)</f>
        <v>111</v>
      </c>
      <c r="AM154" s="180" t="s">
        <v>3265</v>
      </c>
    </row>
    <row r="155" spans="1:40" x14ac:dyDescent="0.3">
      <c r="A155" s="236"/>
      <c r="C155" s="239" t="s">
        <v>3157</v>
      </c>
      <c r="D155" s="48"/>
      <c r="E155" s="203">
        <v>0</v>
      </c>
      <c r="F155" s="203">
        <v>8</v>
      </c>
      <c r="G155" s="200">
        <v>8</v>
      </c>
      <c r="H155" s="215"/>
      <c r="I155" s="215"/>
      <c r="J155" s="215"/>
      <c r="K155" s="116"/>
      <c r="L155" s="140" t="s">
        <v>3176</v>
      </c>
      <c r="M155" s="140" t="s">
        <v>3176</v>
      </c>
      <c r="N155" s="140" t="s">
        <v>3176</v>
      </c>
      <c r="O155" s="140" t="s">
        <v>3176</v>
      </c>
      <c r="P155" s="140" t="s">
        <v>3176</v>
      </c>
      <c r="Q155" s="140" t="s">
        <v>3176</v>
      </c>
      <c r="R155" s="116"/>
      <c r="S155" s="140">
        <v>1</v>
      </c>
      <c r="T155" s="140">
        <v>2</v>
      </c>
      <c r="U155" s="140">
        <v>1.5</v>
      </c>
      <c r="V155" s="140">
        <v>0.5</v>
      </c>
      <c r="W155" s="140">
        <v>1.5</v>
      </c>
      <c r="X155" s="140">
        <v>1.5</v>
      </c>
      <c r="Y155" s="116"/>
      <c r="Z155" s="116"/>
      <c r="AA155" s="116"/>
      <c r="AB155" s="116"/>
      <c r="AC155" s="116"/>
      <c r="AD155" s="116"/>
      <c r="AE155" s="116"/>
      <c r="AF155" s="140" t="s">
        <v>3154</v>
      </c>
      <c r="AG155" s="148" t="s">
        <v>3154</v>
      </c>
      <c r="AH155" s="116"/>
      <c r="AI155" s="117">
        <v>16</v>
      </c>
      <c r="AJ155" s="117">
        <v>2026</v>
      </c>
      <c r="AK155" s="135" t="str">
        <f t="shared" si="2"/>
        <v>--3299362M9-0-8-8------------1-2-1,5-0,5-1,5-1,5------</v>
      </c>
      <c r="AL155" s="186">
        <f>VLOOKUP(AK155,Planilha1!B:C,2,0)</f>
        <v>112</v>
      </c>
      <c r="AM155" s="135" t="s">
        <v>3265</v>
      </c>
    </row>
    <row r="156" spans="1:40" x14ac:dyDescent="0.3">
      <c r="A156" s="236"/>
      <c r="C156" s="239" t="s">
        <v>3157</v>
      </c>
      <c r="D156" s="48"/>
      <c r="E156" s="240">
        <v>0.85</v>
      </c>
      <c r="F156" s="203">
        <v>0.5</v>
      </c>
      <c r="G156" s="200">
        <v>1.35</v>
      </c>
      <c r="H156" s="244"/>
      <c r="I156" s="244"/>
      <c r="J156" s="244"/>
      <c r="K156" s="121"/>
      <c r="L156" s="144">
        <v>0.35</v>
      </c>
      <c r="M156" s="144">
        <v>0.5</v>
      </c>
      <c r="N156" s="144" t="s">
        <v>3176</v>
      </c>
      <c r="O156" s="144" t="s">
        <v>3176</v>
      </c>
      <c r="P156" s="144" t="s">
        <v>3176</v>
      </c>
      <c r="Q156" s="144" t="s">
        <v>3176</v>
      </c>
      <c r="R156" s="121"/>
      <c r="S156" s="144">
        <v>0.5</v>
      </c>
      <c r="T156" s="144" t="s">
        <v>3176</v>
      </c>
      <c r="U156" s="144" t="s">
        <v>3176</v>
      </c>
      <c r="V156" s="144" t="s">
        <v>3176</v>
      </c>
      <c r="W156" s="144" t="s">
        <v>3176</v>
      </c>
      <c r="X156" s="144" t="s">
        <v>3176</v>
      </c>
      <c r="Y156" s="121"/>
      <c r="Z156" s="121"/>
      <c r="AA156" s="121"/>
      <c r="AB156" s="121"/>
      <c r="AC156" s="121"/>
      <c r="AD156" s="121"/>
      <c r="AE156" s="121"/>
      <c r="AF156" s="144"/>
      <c r="AG156" s="122" t="s">
        <v>3154</v>
      </c>
      <c r="AH156" s="121"/>
      <c r="AI156" s="118">
        <v>8</v>
      </c>
      <c r="AJ156" s="118">
        <v>2026</v>
      </c>
      <c r="AK156" s="135" t="str">
        <f t="shared" si="2"/>
        <v>--3299362M9-0,85-0,5-1,35-----0,35-0,5------0,5-----------</v>
      </c>
      <c r="AL156" s="186">
        <f>VLOOKUP(AK156,Planilha1!B:C,2,0)</f>
        <v>113</v>
      </c>
      <c r="AM156" s="183" t="s">
        <v>3265</v>
      </c>
    </row>
    <row r="157" spans="1:40" x14ac:dyDescent="0.3">
      <c r="A157" s="236"/>
      <c r="C157" s="239" t="s">
        <v>3157</v>
      </c>
      <c r="D157" s="48"/>
      <c r="E157" s="240">
        <v>0.35</v>
      </c>
      <c r="F157" s="203">
        <v>1</v>
      </c>
      <c r="G157" s="200">
        <v>1.35</v>
      </c>
      <c r="H157" s="244"/>
      <c r="I157" s="244"/>
      <c r="J157" s="244"/>
      <c r="K157" s="121"/>
      <c r="L157" s="144">
        <v>0.35</v>
      </c>
      <c r="M157" s="144" t="s">
        <v>3176</v>
      </c>
      <c r="N157" s="144" t="s">
        <v>3176</v>
      </c>
      <c r="O157" s="144" t="s">
        <v>3176</v>
      </c>
      <c r="P157" s="144" t="s">
        <v>3176</v>
      </c>
      <c r="Q157" s="144" t="s">
        <v>3176</v>
      </c>
      <c r="R157" s="121"/>
      <c r="S157" s="144">
        <v>0.5</v>
      </c>
      <c r="T157" s="144">
        <v>0.5</v>
      </c>
      <c r="U157" s="144" t="s">
        <v>3176</v>
      </c>
      <c r="V157" s="144" t="s">
        <v>3176</v>
      </c>
      <c r="W157" s="144" t="s">
        <v>3176</v>
      </c>
      <c r="X157" s="144" t="s">
        <v>3176</v>
      </c>
      <c r="Y157" s="121"/>
      <c r="Z157" s="121"/>
      <c r="AA157" s="121"/>
      <c r="AB157" s="121"/>
      <c r="AC157" s="121"/>
      <c r="AD157" s="121"/>
      <c r="AE157" s="121"/>
      <c r="AF157" s="144"/>
      <c r="AG157" s="122" t="s">
        <v>3154</v>
      </c>
      <c r="AH157" s="121"/>
      <c r="AI157" s="118">
        <v>8</v>
      </c>
      <c r="AJ157" s="118">
        <v>2026</v>
      </c>
      <c r="AK157" s="135" t="str">
        <f t="shared" si="2"/>
        <v>--3299362M9-0,35-1-1,35-----0,35-------0,5-0,5----------</v>
      </c>
      <c r="AL157" s="186">
        <f>VLOOKUP(AK157,Planilha1!B:C,2,0)</f>
        <v>114</v>
      </c>
      <c r="AM157" s="180" t="s">
        <v>3265</v>
      </c>
    </row>
    <row r="158" spans="1:40" x14ac:dyDescent="0.3">
      <c r="A158" s="236"/>
      <c r="C158" s="249" t="s">
        <v>3157</v>
      </c>
      <c r="D158" s="48"/>
      <c r="E158" s="203">
        <v>0.5</v>
      </c>
      <c r="F158" s="203">
        <v>0</v>
      </c>
      <c r="G158" s="200">
        <v>0.5</v>
      </c>
      <c r="H158" s="244"/>
      <c r="I158" s="244"/>
      <c r="J158" s="244"/>
      <c r="K158" s="121"/>
      <c r="L158" s="144">
        <v>0.5</v>
      </c>
      <c r="M158" s="144" t="s">
        <v>3176</v>
      </c>
      <c r="N158" s="144" t="s">
        <v>3176</v>
      </c>
      <c r="O158" s="144" t="s">
        <v>3176</v>
      </c>
      <c r="P158" s="144" t="s">
        <v>3176</v>
      </c>
      <c r="Q158" s="144" t="s">
        <v>3176</v>
      </c>
      <c r="R158" s="121"/>
      <c r="S158" s="144" t="s">
        <v>3176</v>
      </c>
      <c r="T158" s="144" t="s">
        <v>3176</v>
      </c>
      <c r="U158" s="144" t="s">
        <v>3176</v>
      </c>
      <c r="V158" s="144" t="s">
        <v>3176</v>
      </c>
      <c r="W158" s="144" t="s">
        <v>3176</v>
      </c>
      <c r="X158" s="144" t="s">
        <v>3176</v>
      </c>
      <c r="Y158" s="121"/>
      <c r="Z158" s="121"/>
      <c r="AA158" s="121"/>
      <c r="AB158" s="121"/>
      <c r="AC158" s="121"/>
      <c r="AD158" s="121"/>
      <c r="AE158" s="121"/>
      <c r="AF158" s="144"/>
      <c r="AG158" s="122" t="s">
        <v>3154</v>
      </c>
      <c r="AH158" s="121"/>
      <c r="AI158" s="118">
        <v>8</v>
      </c>
      <c r="AJ158" s="118">
        <v>2026</v>
      </c>
      <c r="AK158" s="135" t="str">
        <f t="shared" si="2"/>
        <v>--3299362M9-0,5-0-0,5-----0,5------------------</v>
      </c>
      <c r="AL158" s="186">
        <f>VLOOKUP(AK158,Planilha1!B:C,2,0)</f>
        <v>115</v>
      </c>
      <c r="AM158" s="180" t="s">
        <v>3265</v>
      </c>
    </row>
    <row r="159" spans="1:40" x14ac:dyDescent="0.3">
      <c r="C159" s="239" t="s">
        <v>3157</v>
      </c>
      <c r="D159" s="48"/>
      <c r="E159" s="203">
        <v>3.5</v>
      </c>
      <c r="F159" s="203">
        <v>2</v>
      </c>
      <c r="G159" s="203">
        <v>5.5</v>
      </c>
      <c r="H159" s="116"/>
      <c r="I159" s="116"/>
      <c r="J159" s="116"/>
      <c r="K159" s="116"/>
      <c r="L159" s="136">
        <v>0.5</v>
      </c>
      <c r="M159" s="136">
        <v>3</v>
      </c>
      <c r="N159" s="136" t="s">
        <v>3176</v>
      </c>
      <c r="O159" s="136" t="s">
        <v>3176</v>
      </c>
      <c r="P159" s="136" t="s">
        <v>3176</v>
      </c>
      <c r="Q159" s="140" t="s">
        <v>3176</v>
      </c>
      <c r="R159" s="116"/>
      <c r="S159" s="136">
        <v>1</v>
      </c>
      <c r="T159" s="136">
        <v>0.5</v>
      </c>
      <c r="U159" s="136">
        <v>0.5</v>
      </c>
      <c r="V159" s="136"/>
      <c r="W159" s="140" t="s">
        <v>3176</v>
      </c>
      <c r="X159" s="140" t="s">
        <v>3176</v>
      </c>
      <c r="Y159" s="116"/>
      <c r="Z159" s="215"/>
      <c r="AA159" s="116"/>
      <c r="AB159" s="116"/>
      <c r="AC159" s="116"/>
      <c r="AD159" s="116"/>
      <c r="AE159" s="116"/>
      <c r="AF159" s="136" t="s">
        <v>3154</v>
      </c>
      <c r="AG159" s="148" t="s">
        <v>3154</v>
      </c>
      <c r="AH159" s="116"/>
      <c r="AI159" s="117">
        <v>16</v>
      </c>
      <c r="AJ159" s="117">
        <v>2026</v>
      </c>
      <c r="AK159" s="135" t="str">
        <f t="shared" si="2"/>
        <v>--3299362M9-3,5-2-5,5-----0,5-3------1-0,5-0,5---------</v>
      </c>
      <c r="AL159" s="186">
        <f>VLOOKUP(AK159,Planilha1!B:C,2,0)</f>
        <v>116</v>
      </c>
      <c r="AM159" s="180" t="s">
        <v>3265</v>
      </c>
    </row>
    <row r="160" spans="1:40" x14ac:dyDescent="0.3">
      <c r="C160" s="239" t="s">
        <v>3157</v>
      </c>
      <c r="D160" s="48"/>
      <c r="E160" s="203">
        <v>3.85</v>
      </c>
      <c r="F160" s="203">
        <v>2.5</v>
      </c>
      <c r="G160" s="203">
        <v>6.35</v>
      </c>
      <c r="H160" s="116"/>
      <c r="I160" s="116"/>
      <c r="J160" s="116"/>
      <c r="K160" s="116"/>
      <c r="L160" s="136">
        <v>0.5</v>
      </c>
      <c r="M160" s="136">
        <v>0.35</v>
      </c>
      <c r="N160" s="136">
        <v>3</v>
      </c>
      <c r="O160" s="136" t="s">
        <v>3176</v>
      </c>
      <c r="P160" s="136" t="s">
        <v>3176</v>
      </c>
      <c r="Q160" s="140" t="s">
        <v>3176</v>
      </c>
      <c r="R160" s="116"/>
      <c r="S160" s="136">
        <v>1.5</v>
      </c>
      <c r="T160" s="136">
        <v>0.5</v>
      </c>
      <c r="U160" s="136">
        <v>0.5</v>
      </c>
      <c r="V160" s="136" t="s">
        <v>3176</v>
      </c>
      <c r="W160" s="140" t="s">
        <v>3176</v>
      </c>
      <c r="X160" s="140" t="s">
        <v>3176</v>
      </c>
      <c r="Y160" s="116"/>
      <c r="Z160" s="215"/>
      <c r="AA160" s="116"/>
      <c r="AB160" s="116"/>
      <c r="AC160" s="116"/>
      <c r="AD160" s="116"/>
      <c r="AE160" s="116"/>
      <c r="AF160" s="136" t="s">
        <v>3154</v>
      </c>
      <c r="AG160" s="148" t="s">
        <v>3154</v>
      </c>
      <c r="AH160" s="116"/>
      <c r="AI160" s="117">
        <v>16</v>
      </c>
      <c r="AJ160" s="117">
        <v>2026</v>
      </c>
      <c r="AK160" s="135" t="str">
        <f t="shared" si="2"/>
        <v>--3299362M9-3,85-2,5-6,35-----0,5-0,35-3-----1,5-0,5-0,5---------</v>
      </c>
      <c r="AL160" s="186">
        <f>VLOOKUP(AK160,Planilha1!B:C,2,0)</f>
        <v>117</v>
      </c>
      <c r="AM160" s="180" t="s">
        <v>3265</v>
      </c>
    </row>
    <row r="161" spans="1:40" x14ac:dyDescent="0.3">
      <c r="C161" s="249" t="s">
        <v>3156</v>
      </c>
      <c r="E161" s="203">
        <v>3.85</v>
      </c>
      <c r="F161" s="203">
        <v>2</v>
      </c>
      <c r="G161" s="203">
        <v>5.85</v>
      </c>
      <c r="H161" s="116"/>
      <c r="I161" s="116"/>
      <c r="J161" s="116"/>
      <c r="K161" s="116"/>
      <c r="L161" s="136">
        <v>0.5</v>
      </c>
      <c r="M161" s="136">
        <v>0.35</v>
      </c>
      <c r="N161" s="136">
        <v>3</v>
      </c>
      <c r="O161" s="136" t="s">
        <v>3176</v>
      </c>
      <c r="P161" s="136" t="s">
        <v>3176</v>
      </c>
      <c r="Q161" s="140" t="s">
        <v>3176</v>
      </c>
      <c r="R161" s="116"/>
      <c r="S161" s="136">
        <v>1</v>
      </c>
      <c r="T161" s="136">
        <v>0.5</v>
      </c>
      <c r="U161" s="136">
        <v>0.5</v>
      </c>
      <c r="V161" s="136" t="s">
        <v>3176</v>
      </c>
      <c r="W161" s="140" t="s">
        <v>3176</v>
      </c>
      <c r="X161" s="140" t="s">
        <v>3176</v>
      </c>
      <c r="Y161" s="116"/>
      <c r="Z161" s="215"/>
      <c r="AA161" s="116"/>
      <c r="AB161" s="116"/>
      <c r="AC161" s="116"/>
      <c r="AD161" s="116"/>
      <c r="AE161" s="116"/>
      <c r="AF161" s="136" t="s">
        <v>3154</v>
      </c>
      <c r="AG161" s="148" t="s">
        <v>3154</v>
      </c>
      <c r="AH161" s="116"/>
      <c r="AI161" s="117">
        <v>16</v>
      </c>
      <c r="AJ161" s="117">
        <v>2026</v>
      </c>
      <c r="AK161" s="135" t="str">
        <f t="shared" si="2"/>
        <v>--E16718500-3,85-2-5,85-----0,5-0,35-3-----1-0,5-0,5---------</v>
      </c>
      <c r="AL161" s="186">
        <f>VLOOKUP(AK161,Planilha1!B:C,2,0)</f>
        <v>118</v>
      </c>
      <c r="AM161" s="180" t="s">
        <v>3265</v>
      </c>
    </row>
    <row r="162" spans="1:40" x14ac:dyDescent="0.3">
      <c r="C162" s="239" t="s">
        <v>3156</v>
      </c>
      <c r="E162" s="203">
        <v>0.7</v>
      </c>
      <c r="F162" s="203">
        <v>1.9</v>
      </c>
      <c r="G162" s="203">
        <v>2.6</v>
      </c>
      <c r="H162" s="116"/>
      <c r="I162" s="116"/>
      <c r="J162" s="116"/>
      <c r="K162" s="116"/>
      <c r="L162" s="136">
        <v>0.35</v>
      </c>
      <c r="M162" s="136">
        <v>0.35</v>
      </c>
      <c r="N162" s="136" t="s">
        <v>3176</v>
      </c>
      <c r="O162" s="136" t="s">
        <v>3176</v>
      </c>
      <c r="P162" s="136" t="s">
        <v>3176</v>
      </c>
      <c r="Q162" s="140" t="s">
        <v>3176</v>
      </c>
      <c r="R162" s="116"/>
      <c r="S162" s="136">
        <v>0.5</v>
      </c>
      <c r="T162" s="136">
        <v>0.35</v>
      </c>
      <c r="U162" s="136">
        <v>0.35</v>
      </c>
      <c r="V162" s="136">
        <v>0.35</v>
      </c>
      <c r="W162" s="140">
        <v>0.35</v>
      </c>
      <c r="X162" s="140" t="s">
        <v>3176</v>
      </c>
      <c r="Y162" s="116"/>
      <c r="Z162" s="215"/>
      <c r="AA162" s="116"/>
      <c r="AB162" s="116"/>
      <c r="AC162" s="116"/>
      <c r="AD162" s="116"/>
      <c r="AE162" s="116"/>
      <c r="AF162" s="136" t="s">
        <v>3154</v>
      </c>
      <c r="AG162" s="148" t="s">
        <v>3154</v>
      </c>
      <c r="AH162" s="116"/>
      <c r="AI162" s="117">
        <v>16</v>
      </c>
      <c r="AJ162" s="117">
        <v>2026</v>
      </c>
      <c r="AK162" s="135" t="str">
        <f t="shared" si="2"/>
        <v>--E16718500-0,7-1,9-2,6-----0,35-0,35------0,5-0,35-0,35-0,35-0,35-------</v>
      </c>
      <c r="AL162" s="186">
        <f>VLOOKUP(AK162,Planilha1!B:C,2,0)</f>
        <v>119</v>
      </c>
      <c r="AM162" s="180" t="s">
        <v>3265</v>
      </c>
    </row>
    <row r="163" spans="1:40" x14ac:dyDescent="0.3">
      <c r="C163" s="239" t="s">
        <v>3156</v>
      </c>
      <c r="E163" s="203">
        <v>1</v>
      </c>
      <c r="F163" s="203">
        <v>0.75</v>
      </c>
      <c r="G163" s="203">
        <v>1.75</v>
      </c>
      <c r="H163" s="116"/>
      <c r="I163" s="116"/>
      <c r="J163" s="116"/>
      <c r="K163" s="116"/>
      <c r="L163" s="136">
        <v>0.5</v>
      </c>
      <c r="M163" s="136">
        <v>0.5</v>
      </c>
      <c r="N163" s="136" t="s">
        <v>3176</v>
      </c>
      <c r="O163" s="136" t="s">
        <v>3176</v>
      </c>
      <c r="P163" s="136" t="s">
        <v>3176</v>
      </c>
      <c r="Q163" s="140" t="s">
        <v>3176</v>
      </c>
      <c r="R163" s="116"/>
      <c r="S163" s="136">
        <v>0.75</v>
      </c>
      <c r="T163" s="136" t="s">
        <v>3176</v>
      </c>
      <c r="U163" s="136" t="s">
        <v>3176</v>
      </c>
      <c r="V163" s="136" t="s">
        <v>3176</v>
      </c>
      <c r="W163" s="140" t="s">
        <v>3176</v>
      </c>
      <c r="X163" s="140" t="s">
        <v>3176</v>
      </c>
      <c r="Y163" s="116"/>
      <c r="Z163" s="215"/>
      <c r="AA163" s="116"/>
      <c r="AB163" s="116"/>
      <c r="AC163" s="116"/>
      <c r="AD163" s="116"/>
      <c r="AE163" s="116"/>
      <c r="AF163" s="136" t="s">
        <v>3154</v>
      </c>
      <c r="AG163" s="148" t="s">
        <v>3154</v>
      </c>
      <c r="AH163" s="116"/>
      <c r="AI163" s="117">
        <v>16</v>
      </c>
      <c r="AJ163" s="117">
        <v>2026</v>
      </c>
      <c r="AK163" s="135" t="str">
        <f t="shared" si="2"/>
        <v>--E16718500-1-0,75-1,75-----0,5-0,5------0,75-----------</v>
      </c>
      <c r="AL163" s="186">
        <f>VLOOKUP(AK163,Planilha1!B:C,2,0)</f>
        <v>120</v>
      </c>
      <c r="AM163" s="183" t="s">
        <v>3265</v>
      </c>
    </row>
    <row r="164" spans="1:40" x14ac:dyDescent="0.3">
      <c r="C164" s="239" t="s">
        <v>3156</v>
      </c>
      <c r="E164" s="240">
        <v>0.85</v>
      </c>
      <c r="F164" s="203">
        <v>0.35</v>
      </c>
      <c r="G164" s="203">
        <v>1.2</v>
      </c>
      <c r="H164" s="121"/>
      <c r="I164" s="121"/>
      <c r="J164" s="121"/>
      <c r="K164" s="121"/>
      <c r="L164" s="120">
        <v>0.5</v>
      </c>
      <c r="M164" s="120">
        <v>0.35</v>
      </c>
      <c r="N164" s="120" t="s">
        <v>3176</v>
      </c>
      <c r="O164" s="120" t="s">
        <v>3176</v>
      </c>
      <c r="P164" s="120" t="s">
        <v>3176</v>
      </c>
      <c r="Q164" s="144" t="s">
        <v>3176</v>
      </c>
      <c r="R164" s="121"/>
      <c r="S164" s="120">
        <v>0.35</v>
      </c>
      <c r="T164" s="120" t="s">
        <v>3176</v>
      </c>
      <c r="U164" s="120" t="s">
        <v>3176</v>
      </c>
      <c r="V164" s="120" t="s">
        <v>3176</v>
      </c>
      <c r="W164" s="144" t="s">
        <v>3176</v>
      </c>
      <c r="X164" s="144" t="s">
        <v>3176</v>
      </c>
      <c r="Y164" s="121"/>
      <c r="Z164" s="244"/>
      <c r="AA164" s="121"/>
      <c r="AB164" s="121"/>
      <c r="AC164" s="121"/>
      <c r="AD164" s="121"/>
      <c r="AE164" s="121"/>
      <c r="AF164" s="120"/>
      <c r="AG164" s="122" t="s">
        <v>3154</v>
      </c>
      <c r="AH164" s="121"/>
      <c r="AI164" s="118">
        <v>8</v>
      </c>
      <c r="AJ164" s="118"/>
      <c r="AK164" s="135" t="str">
        <f t="shared" si="2"/>
        <v>--E16718500-0,85-0,35-1,2-----0,5-0,35------0,35-----------</v>
      </c>
      <c r="AL164" s="186">
        <f>VLOOKUP(AK164,Planilha1!B:C,2,0)</f>
        <v>121</v>
      </c>
      <c r="AM164" s="180" t="s">
        <v>3265</v>
      </c>
    </row>
    <row r="165" spans="1:40" x14ac:dyDescent="0.3">
      <c r="C165" s="239" t="s">
        <v>3156</v>
      </c>
      <c r="E165" s="203">
        <v>1.5</v>
      </c>
      <c r="F165" s="203">
        <v>0.35</v>
      </c>
      <c r="G165" s="203">
        <v>1.85</v>
      </c>
      <c r="H165" s="116"/>
      <c r="I165" s="116"/>
      <c r="J165" s="116"/>
      <c r="K165" s="116"/>
      <c r="L165" s="136">
        <v>0.5</v>
      </c>
      <c r="M165" s="136">
        <v>0.5</v>
      </c>
      <c r="N165" s="136">
        <v>0.5</v>
      </c>
      <c r="O165" s="136" t="s">
        <v>3176</v>
      </c>
      <c r="P165" s="136" t="s">
        <v>3176</v>
      </c>
      <c r="Q165" s="140" t="s">
        <v>3176</v>
      </c>
      <c r="R165" s="116"/>
      <c r="S165" s="136">
        <v>0.35</v>
      </c>
      <c r="T165" s="136" t="s">
        <v>3176</v>
      </c>
      <c r="U165" s="136" t="s">
        <v>3176</v>
      </c>
      <c r="V165" s="136" t="s">
        <v>3176</v>
      </c>
      <c r="W165" s="140" t="s">
        <v>3176</v>
      </c>
      <c r="X165" s="140" t="s">
        <v>3176</v>
      </c>
      <c r="Y165" s="116"/>
      <c r="Z165" s="215"/>
      <c r="AA165" s="116"/>
      <c r="AB165" s="116"/>
      <c r="AC165" s="116"/>
      <c r="AD165" s="116"/>
      <c r="AE165" s="116"/>
      <c r="AF165" s="136" t="s">
        <v>3154</v>
      </c>
      <c r="AG165" s="148" t="s">
        <v>3154</v>
      </c>
      <c r="AH165" s="116"/>
      <c r="AI165" s="117">
        <v>16</v>
      </c>
      <c r="AJ165" s="117">
        <v>2026</v>
      </c>
      <c r="AK165" s="135" t="str">
        <f t="shared" si="2"/>
        <v>--E16718500-1,5-0,35-1,85-----0,5-0,5-0,5-----0,35-----------</v>
      </c>
      <c r="AL165" s="186">
        <f>VLOOKUP(AK165,Planilha1!B:C,2,0)</f>
        <v>122</v>
      </c>
      <c r="AM165" s="180" t="s">
        <v>3265</v>
      </c>
    </row>
    <row r="166" spans="1:40" x14ac:dyDescent="0.3">
      <c r="C166" s="249" t="s">
        <v>3156</v>
      </c>
      <c r="E166" s="203">
        <v>1.2</v>
      </c>
      <c r="F166" s="203">
        <v>0.7</v>
      </c>
      <c r="G166" s="203">
        <v>1.9</v>
      </c>
      <c r="H166" s="116"/>
      <c r="I166" s="116"/>
      <c r="J166" s="116"/>
      <c r="K166" s="116"/>
      <c r="L166" s="136">
        <v>0.35</v>
      </c>
      <c r="M166" s="136">
        <v>0.5</v>
      </c>
      <c r="N166" s="136">
        <v>0.35</v>
      </c>
      <c r="O166" s="136" t="s">
        <v>3176</v>
      </c>
      <c r="P166" s="136" t="s">
        <v>3176</v>
      </c>
      <c r="Q166" s="140" t="s">
        <v>3176</v>
      </c>
      <c r="R166" s="116"/>
      <c r="S166" s="136">
        <v>0.35</v>
      </c>
      <c r="T166" s="136">
        <v>0.35</v>
      </c>
      <c r="U166" s="136" t="s">
        <v>3176</v>
      </c>
      <c r="V166" s="136" t="s">
        <v>3176</v>
      </c>
      <c r="W166" s="140" t="s">
        <v>3176</v>
      </c>
      <c r="X166" s="140" t="s">
        <v>3176</v>
      </c>
      <c r="Y166" s="116"/>
      <c r="Z166" s="215"/>
      <c r="AA166" s="116"/>
      <c r="AB166" s="116"/>
      <c r="AC166" s="116"/>
      <c r="AD166" s="116"/>
      <c r="AE166" s="116"/>
      <c r="AF166" s="136" t="s">
        <v>3154</v>
      </c>
      <c r="AG166" s="148" t="s">
        <v>3154</v>
      </c>
      <c r="AH166" s="116"/>
      <c r="AI166" s="117">
        <v>16</v>
      </c>
      <c r="AJ166" s="117">
        <v>2026</v>
      </c>
      <c r="AK166" s="135" t="str">
        <f t="shared" si="2"/>
        <v>--E16718500-1,2-0,7-1,9-----0,35-0,5-0,35-----0,35-0,35----------</v>
      </c>
      <c r="AL166" s="186">
        <f>VLOOKUP(AK166,Planilha1!B:C,2,0)</f>
        <v>123</v>
      </c>
      <c r="AM166" s="180" t="s">
        <v>3265</v>
      </c>
    </row>
    <row r="167" spans="1:40" x14ac:dyDescent="0.3">
      <c r="C167" s="249" t="s">
        <v>3156</v>
      </c>
      <c r="E167" s="202">
        <v>1.2</v>
      </c>
      <c r="F167" s="202">
        <v>0.7</v>
      </c>
      <c r="G167" s="202">
        <v>1.9</v>
      </c>
      <c r="H167" s="116"/>
      <c r="I167" s="116"/>
      <c r="J167" s="116"/>
      <c r="K167" s="116"/>
      <c r="L167" s="136">
        <v>0.35</v>
      </c>
      <c r="M167" s="136">
        <v>0.5</v>
      </c>
      <c r="N167" s="136">
        <v>0.35</v>
      </c>
      <c r="O167" s="136"/>
      <c r="P167" s="136"/>
      <c r="Q167" s="116"/>
      <c r="R167" s="116"/>
      <c r="S167" s="136">
        <v>0.35</v>
      </c>
      <c r="T167" s="136">
        <v>0.35</v>
      </c>
      <c r="U167" s="136"/>
      <c r="V167" s="136"/>
      <c r="W167" s="116"/>
      <c r="X167" s="116"/>
      <c r="Y167" s="116"/>
      <c r="Z167" s="136"/>
      <c r="AA167" s="116"/>
      <c r="AB167" s="116"/>
      <c r="AC167" s="116"/>
      <c r="AD167" s="116"/>
      <c r="AE167" s="116"/>
      <c r="AF167" s="148" t="s">
        <v>3154</v>
      </c>
      <c r="AG167" s="148" t="s">
        <v>3154</v>
      </c>
      <c r="AH167" s="116"/>
      <c r="AI167" s="117">
        <v>16</v>
      </c>
      <c r="AJ167" s="117">
        <v>2026</v>
      </c>
      <c r="AK167" s="135" t="str">
        <f t="shared" si="2"/>
        <v>--E16718500-1,2-0,7-1,9-----0,35-0,5-0,35-----0,35-0,35----------</v>
      </c>
      <c r="AL167" s="186">
        <f>VLOOKUP(AK167,Planilha1!B:C,2,0)</f>
        <v>123</v>
      </c>
      <c r="AM167" s="135" t="s">
        <v>3354</v>
      </c>
      <c r="AN167" s="83" t="s">
        <v>3355</v>
      </c>
    </row>
    <row r="168" spans="1:40" x14ac:dyDescent="0.3">
      <c r="A168" s="48"/>
      <c r="C168" s="239" t="s">
        <v>3156</v>
      </c>
      <c r="E168" s="203">
        <v>1.2</v>
      </c>
      <c r="F168" s="203">
        <v>0.35</v>
      </c>
      <c r="G168" s="203">
        <v>1.55</v>
      </c>
      <c r="H168" s="251"/>
      <c r="I168" s="251"/>
      <c r="J168" s="251"/>
      <c r="K168" s="116"/>
      <c r="L168" s="136">
        <v>0.35</v>
      </c>
      <c r="M168" s="136">
        <v>0.5</v>
      </c>
      <c r="N168" s="136">
        <v>0.35</v>
      </c>
      <c r="O168" s="136" t="s">
        <v>3176</v>
      </c>
      <c r="P168" s="136" t="s">
        <v>3176</v>
      </c>
      <c r="Q168" s="140" t="s">
        <v>3176</v>
      </c>
      <c r="R168" s="116"/>
      <c r="S168" s="136">
        <v>0.35</v>
      </c>
      <c r="T168" s="136" t="s">
        <v>3176</v>
      </c>
      <c r="U168" s="136" t="s">
        <v>3176</v>
      </c>
      <c r="V168" s="136" t="s">
        <v>3176</v>
      </c>
      <c r="W168" s="140" t="s">
        <v>3176</v>
      </c>
      <c r="X168" s="140" t="s">
        <v>3176</v>
      </c>
      <c r="Y168" s="116"/>
      <c r="Z168" s="215"/>
      <c r="AA168" s="116"/>
      <c r="AB168" s="116"/>
      <c r="AC168" s="116"/>
      <c r="AD168" s="116"/>
      <c r="AE168" s="116"/>
      <c r="AF168" s="136" t="s">
        <v>3154</v>
      </c>
      <c r="AG168" s="148" t="s">
        <v>3154</v>
      </c>
      <c r="AH168" s="116"/>
      <c r="AI168" s="117">
        <v>16</v>
      </c>
      <c r="AJ168" s="117">
        <v>2026</v>
      </c>
      <c r="AK168" s="135" t="str">
        <f t="shared" si="2"/>
        <v>--E16718500-1,2-0,35-1,55-----0,35-0,5-0,35-----0,35-----------</v>
      </c>
      <c r="AL168" s="186">
        <f>VLOOKUP(AK168,Planilha1!B:C,2,0)</f>
        <v>124</v>
      </c>
      <c r="AM168" s="180" t="s">
        <v>3265</v>
      </c>
    </row>
    <row r="169" spans="1:40" x14ac:dyDescent="0.3">
      <c r="A169" s="48"/>
      <c r="C169" s="249" t="s">
        <v>3156</v>
      </c>
      <c r="E169" s="202">
        <v>1.2</v>
      </c>
      <c r="F169" s="202">
        <v>0.35</v>
      </c>
      <c r="G169" s="203">
        <v>1.55</v>
      </c>
      <c r="H169" s="252"/>
      <c r="I169" s="252"/>
      <c r="J169" s="252"/>
      <c r="K169" s="121"/>
      <c r="L169" s="120">
        <v>0.35</v>
      </c>
      <c r="M169" s="120">
        <v>0.5</v>
      </c>
      <c r="N169" s="120">
        <v>0.35</v>
      </c>
      <c r="O169" s="120"/>
      <c r="P169" s="120"/>
      <c r="Q169" s="121"/>
      <c r="R169" s="121"/>
      <c r="S169" s="120">
        <v>0.35</v>
      </c>
      <c r="T169" s="120"/>
      <c r="U169" s="120"/>
      <c r="V169" s="120"/>
      <c r="W169" s="121"/>
      <c r="X169" s="121"/>
      <c r="Y169" s="121"/>
      <c r="Z169" s="120"/>
      <c r="AA169" s="121"/>
      <c r="AB169" s="121"/>
      <c r="AC169" s="121"/>
      <c r="AD169" s="121"/>
      <c r="AE169" s="121"/>
      <c r="AF169" s="122"/>
      <c r="AG169" s="122" t="s">
        <v>3154</v>
      </c>
      <c r="AH169" s="121"/>
      <c r="AI169" s="121">
        <v>8</v>
      </c>
      <c r="AJ169" s="118">
        <v>2026</v>
      </c>
      <c r="AK169" s="135" t="str">
        <f t="shared" si="2"/>
        <v>--E16718500-1,2-0,35-1,55-----0,35-0,5-0,35-----0,35-----------</v>
      </c>
      <c r="AL169" s="186">
        <f>VLOOKUP(AK169,Planilha1!B:C,2,0)</f>
        <v>124</v>
      </c>
      <c r="AM169" s="135" t="s">
        <v>3354</v>
      </c>
      <c r="AN169" s="83" t="s">
        <v>3355</v>
      </c>
    </row>
    <row r="170" spans="1:40" x14ac:dyDescent="0.3">
      <c r="C170" s="239" t="s">
        <v>3157</v>
      </c>
      <c r="D170" s="48"/>
      <c r="E170" s="203">
        <v>1.7</v>
      </c>
      <c r="F170" s="203">
        <v>0.35</v>
      </c>
      <c r="G170" s="203">
        <v>2.0499999999999998</v>
      </c>
      <c r="H170" s="116"/>
      <c r="I170" s="116"/>
      <c r="J170" s="116"/>
      <c r="K170" s="116"/>
      <c r="L170" s="136">
        <v>0.5</v>
      </c>
      <c r="M170" s="136">
        <v>0.5</v>
      </c>
      <c r="N170" s="136">
        <v>0.35</v>
      </c>
      <c r="O170" s="136">
        <v>0.35</v>
      </c>
      <c r="P170" s="136" t="s">
        <v>3176</v>
      </c>
      <c r="Q170" s="140" t="s">
        <v>3176</v>
      </c>
      <c r="R170" s="116"/>
      <c r="S170" s="136">
        <v>0.35</v>
      </c>
      <c r="T170" s="136" t="s">
        <v>3176</v>
      </c>
      <c r="U170" s="136" t="s">
        <v>3176</v>
      </c>
      <c r="V170" s="136" t="s">
        <v>3176</v>
      </c>
      <c r="W170" s="140" t="s">
        <v>3176</v>
      </c>
      <c r="X170" s="140" t="s">
        <v>3176</v>
      </c>
      <c r="Y170" s="116"/>
      <c r="Z170" s="215"/>
      <c r="AA170" s="116"/>
      <c r="AB170" s="116"/>
      <c r="AC170" s="116"/>
      <c r="AD170" s="116"/>
      <c r="AE170" s="116"/>
      <c r="AF170" s="136" t="s">
        <v>3154</v>
      </c>
      <c r="AG170" s="148" t="s">
        <v>3154</v>
      </c>
      <c r="AH170" s="116"/>
      <c r="AI170" s="117">
        <v>16</v>
      </c>
      <c r="AJ170" s="117">
        <v>2026</v>
      </c>
      <c r="AK170" s="135" t="str">
        <f t="shared" si="2"/>
        <v>--3299362M9-1,7-0,35-2,05-----0,5-0,5-0,35-0,35----0,35-----------</v>
      </c>
      <c r="AL170" s="186">
        <f>VLOOKUP(AK170,Planilha1!B:C,2,0)</f>
        <v>125</v>
      </c>
      <c r="AM170" s="180" t="s">
        <v>3265</v>
      </c>
    </row>
    <row r="171" spans="1:40" x14ac:dyDescent="0.3">
      <c r="C171" s="239" t="s">
        <v>3157</v>
      </c>
      <c r="D171" s="48"/>
      <c r="E171" s="203">
        <v>0.85</v>
      </c>
      <c r="F171" s="203">
        <v>0.7</v>
      </c>
      <c r="G171" s="203">
        <v>1.55</v>
      </c>
      <c r="H171" s="116"/>
      <c r="I171" s="116"/>
      <c r="J171" s="116"/>
      <c r="K171" s="116"/>
      <c r="L171" s="136">
        <v>0.5</v>
      </c>
      <c r="M171" s="136">
        <v>0.35</v>
      </c>
      <c r="N171" s="136" t="s">
        <v>3176</v>
      </c>
      <c r="O171" s="136" t="s">
        <v>3176</v>
      </c>
      <c r="P171" s="136" t="s">
        <v>3176</v>
      </c>
      <c r="Q171" s="140" t="s">
        <v>3176</v>
      </c>
      <c r="R171" s="116"/>
      <c r="S171" s="136">
        <v>0.35</v>
      </c>
      <c r="T171" s="136">
        <v>0.35</v>
      </c>
      <c r="U171" s="136" t="s">
        <v>3176</v>
      </c>
      <c r="V171" s="136" t="s">
        <v>3176</v>
      </c>
      <c r="W171" s="140" t="s">
        <v>3176</v>
      </c>
      <c r="X171" s="140" t="s">
        <v>3176</v>
      </c>
      <c r="Y171" s="116"/>
      <c r="Z171" s="215"/>
      <c r="AA171" s="116"/>
      <c r="AB171" s="116"/>
      <c r="AC171" s="116"/>
      <c r="AD171" s="116"/>
      <c r="AE171" s="116"/>
      <c r="AF171" s="136" t="s">
        <v>3154</v>
      </c>
      <c r="AG171" s="148" t="s">
        <v>3154</v>
      </c>
      <c r="AH171" s="116"/>
      <c r="AI171" s="117">
        <v>16</v>
      </c>
      <c r="AJ171" s="117">
        <v>2026</v>
      </c>
      <c r="AK171" s="135" t="str">
        <f t="shared" si="2"/>
        <v>--3299362M9-0,85-0,7-1,55-----0,5-0,35------0,35-0,35----------</v>
      </c>
      <c r="AL171" s="186">
        <f>VLOOKUP(AK171,Planilha1!B:C,2,0)</f>
        <v>126</v>
      </c>
      <c r="AM171" s="183" t="s">
        <v>3265</v>
      </c>
    </row>
    <row r="172" spans="1:40" x14ac:dyDescent="0.3">
      <c r="C172" s="239" t="s">
        <v>3157</v>
      </c>
      <c r="D172" s="48"/>
      <c r="E172" s="203">
        <v>6</v>
      </c>
      <c r="F172" s="203">
        <v>0</v>
      </c>
      <c r="G172" s="203">
        <v>6</v>
      </c>
      <c r="H172" s="116"/>
      <c r="I172" s="116"/>
      <c r="J172" s="116"/>
      <c r="K172" s="116"/>
      <c r="L172" s="136">
        <v>1.5</v>
      </c>
      <c r="M172" s="136">
        <v>0.5</v>
      </c>
      <c r="N172" s="136">
        <v>0.5</v>
      </c>
      <c r="O172" s="136">
        <v>2</v>
      </c>
      <c r="P172" s="136">
        <v>1.5</v>
      </c>
      <c r="Q172" s="140" t="s">
        <v>3176</v>
      </c>
      <c r="R172" s="251"/>
      <c r="S172" s="136" t="s">
        <v>3176</v>
      </c>
      <c r="T172" s="136" t="s">
        <v>3176</v>
      </c>
      <c r="U172" s="136" t="s">
        <v>3176</v>
      </c>
      <c r="V172" s="136" t="s">
        <v>3176</v>
      </c>
      <c r="W172" s="140" t="s">
        <v>3176</v>
      </c>
      <c r="X172" s="140" t="s">
        <v>3176</v>
      </c>
      <c r="Y172" s="251"/>
      <c r="Z172" s="215"/>
      <c r="AA172" s="116"/>
      <c r="AB172" s="116"/>
      <c r="AC172" s="116"/>
      <c r="AD172" s="116"/>
      <c r="AE172" s="116"/>
      <c r="AF172" s="136" t="s">
        <v>3154</v>
      </c>
      <c r="AG172" s="148" t="s">
        <v>3154</v>
      </c>
      <c r="AH172" s="116"/>
      <c r="AI172" s="117">
        <v>16</v>
      </c>
      <c r="AJ172" s="117">
        <v>2026</v>
      </c>
      <c r="AK172" s="135" t="str">
        <f t="shared" si="2"/>
        <v>--3299362M9-6-0-6-----1,5-0,5-0,5-2-1,5--------------</v>
      </c>
      <c r="AL172" s="186">
        <f>VLOOKUP(AK172,Planilha1!B:C,2,0)</f>
        <v>127</v>
      </c>
      <c r="AM172" s="180" t="s">
        <v>3265</v>
      </c>
    </row>
    <row r="173" spans="1:40" x14ac:dyDescent="0.3">
      <c r="C173" s="239" t="s">
        <v>3153</v>
      </c>
      <c r="D173" s="48"/>
      <c r="E173" s="203">
        <v>4.5</v>
      </c>
      <c r="F173" s="203">
        <v>0</v>
      </c>
      <c r="G173" s="203">
        <v>4.5</v>
      </c>
      <c r="H173" s="116"/>
      <c r="I173" s="116"/>
      <c r="J173" s="116"/>
      <c r="K173" s="116"/>
      <c r="L173" s="136">
        <v>1.5</v>
      </c>
      <c r="M173" s="136">
        <v>0.5</v>
      </c>
      <c r="N173" s="136">
        <v>0.5</v>
      </c>
      <c r="O173" s="136">
        <v>2</v>
      </c>
      <c r="P173" s="136" t="s">
        <v>3176</v>
      </c>
      <c r="Q173" s="140" t="s">
        <v>3176</v>
      </c>
      <c r="R173" s="116"/>
      <c r="S173" s="136" t="s">
        <v>3176</v>
      </c>
      <c r="T173" s="136" t="s">
        <v>3176</v>
      </c>
      <c r="U173" s="136" t="s">
        <v>3176</v>
      </c>
      <c r="V173" s="136" t="s">
        <v>3176</v>
      </c>
      <c r="W173" s="140" t="s">
        <v>3176</v>
      </c>
      <c r="X173" s="140" t="s">
        <v>3176</v>
      </c>
      <c r="Y173" s="116"/>
      <c r="Z173" s="215"/>
      <c r="AA173" s="116"/>
      <c r="AB173" s="116"/>
      <c r="AC173" s="116"/>
      <c r="AD173" s="116"/>
      <c r="AE173" s="116"/>
      <c r="AF173" s="136" t="s">
        <v>3154</v>
      </c>
      <c r="AG173" s="148" t="s">
        <v>3154</v>
      </c>
      <c r="AH173" s="116"/>
      <c r="AI173" s="117">
        <v>16</v>
      </c>
      <c r="AJ173" s="117">
        <v>2026</v>
      </c>
      <c r="AK173" s="135" t="str">
        <f t="shared" si="2"/>
        <v>--3299362G2-4,5-0-4,5-----1,5-0,5-0,5-2---------------</v>
      </c>
      <c r="AL173" s="186">
        <f>VLOOKUP(AK173,Planilha1!B:C,2,0)</f>
        <v>128</v>
      </c>
      <c r="AM173" s="180" t="s">
        <v>3265</v>
      </c>
    </row>
    <row r="174" spans="1:40" x14ac:dyDescent="0.3">
      <c r="C174" s="239" t="s">
        <v>3153</v>
      </c>
      <c r="D174" s="48"/>
      <c r="E174" s="203">
        <v>6.75</v>
      </c>
      <c r="F174" s="203">
        <v>0</v>
      </c>
      <c r="G174" s="203">
        <v>6.75</v>
      </c>
      <c r="H174" s="116"/>
      <c r="I174" s="116"/>
      <c r="J174" s="116"/>
      <c r="K174" s="116"/>
      <c r="L174" s="136">
        <v>1.5</v>
      </c>
      <c r="M174" s="136">
        <v>0.5</v>
      </c>
      <c r="N174" s="136">
        <v>0.5</v>
      </c>
      <c r="O174" s="136">
        <v>0.75</v>
      </c>
      <c r="P174" s="136">
        <v>2</v>
      </c>
      <c r="Q174" s="140">
        <v>1.5</v>
      </c>
      <c r="R174" s="116"/>
      <c r="S174" s="136" t="s">
        <v>3176</v>
      </c>
      <c r="T174" s="136" t="s">
        <v>3176</v>
      </c>
      <c r="U174" s="136" t="s">
        <v>3176</v>
      </c>
      <c r="V174" s="136" t="s">
        <v>3176</v>
      </c>
      <c r="W174" s="140" t="s">
        <v>3176</v>
      </c>
      <c r="X174" s="140" t="s">
        <v>3176</v>
      </c>
      <c r="Y174" s="116"/>
      <c r="Z174" s="215"/>
      <c r="AA174" s="116"/>
      <c r="AB174" s="116"/>
      <c r="AC174" s="116"/>
      <c r="AD174" s="116"/>
      <c r="AE174" s="116"/>
      <c r="AF174" s="136" t="s">
        <v>3154</v>
      </c>
      <c r="AG174" s="148" t="s">
        <v>3154</v>
      </c>
      <c r="AH174" s="116"/>
      <c r="AI174" s="117">
        <v>16</v>
      </c>
      <c r="AJ174" s="117">
        <v>2026</v>
      </c>
      <c r="AK174" s="135" t="str">
        <f t="shared" si="2"/>
        <v>--3299362G2-6,75-0-6,75-----1,5-0,5-0,5-0,75-2-1,5-------------</v>
      </c>
      <c r="AL174" s="186">
        <f>VLOOKUP(AK174,Planilha1!B:C,2,0)</f>
        <v>129</v>
      </c>
      <c r="AM174" s="180" t="s">
        <v>3265</v>
      </c>
    </row>
    <row r="175" spans="1:40" x14ac:dyDescent="0.3">
      <c r="A175" s="235" t="s">
        <v>3182</v>
      </c>
      <c r="C175" s="239" t="s">
        <v>3156</v>
      </c>
      <c r="E175" s="203"/>
      <c r="F175" s="203"/>
      <c r="G175" s="203">
        <v>0.85</v>
      </c>
      <c r="H175" s="140">
        <v>0.5</v>
      </c>
      <c r="I175" s="140">
        <v>0.35</v>
      </c>
      <c r="J175" s="140"/>
      <c r="K175" s="116"/>
      <c r="L175" s="215"/>
      <c r="M175" s="215"/>
      <c r="N175" s="215"/>
      <c r="O175" s="215"/>
      <c r="P175" s="215"/>
      <c r="Q175" s="116"/>
      <c r="R175" s="116"/>
      <c r="S175" s="215"/>
      <c r="T175" s="215"/>
      <c r="U175" s="215"/>
      <c r="V175" s="215"/>
      <c r="W175" s="116"/>
      <c r="X175" s="116"/>
      <c r="Y175" s="116"/>
      <c r="Z175" s="215"/>
      <c r="AA175" s="116"/>
      <c r="AB175" s="116"/>
      <c r="AC175" s="116"/>
      <c r="AD175" s="116"/>
      <c r="AE175" s="117" t="s">
        <v>3154</v>
      </c>
      <c r="AF175" s="215"/>
      <c r="AG175" s="148" t="s">
        <v>3154</v>
      </c>
      <c r="AH175" s="116"/>
      <c r="AI175" s="117">
        <v>8</v>
      </c>
      <c r="AJ175" s="117">
        <v>2026</v>
      </c>
      <c r="AK175" s="135" t="str">
        <f t="shared" si="2"/>
        <v>E02719100--E16718500---0,85-0,5-0,35---------------------</v>
      </c>
      <c r="AL175" s="186">
        <f>VLOOKUP(AK175,Planilha1!B:C,2,0)</f>
        <v>130</v>
      </c>
      <c r="AM175" s="135" t="s">
        <v>3265</v>
      </c>
    </row>
    <row r="176" spans="1:40" x14ac:dyDescent="0.3">
      <c r="A176" s="235" t="s">
        <v>3182</v>
      </c>
      <c r="C176" s="239" t="s">
        <v>3156</v>
      </c>
      <c r="E176" s="203"/>
      <c r="F176" s="203"/>
      <c r="G176" s="203">
        <v>1</v>
      </c>
      <c r="H176" s="140">
        <v>0.5</v>
      </c>
      <c r="I176" s="140">
        <v>0.5</v>
      </c>
      <c r="J176" s="140"/>
      <c r="K176" s="116"/>
      <c r="L176" s="215"/>
      <c r="M176" s="215"/>
      <c r="N176" s="215"/>
      <c r="O176" s="215"/>
      <c r="P176" s="215"/>
      <c r="Q176" s="116"/>
      <c r="R176" s="116"/>
      <c r="S176" s="215"/>
      <c r="T176" s="215"/>
      <c r="U176" s="215"/>
      <c r="V176" s="215"/>
      <c r="W176" s="116"/>
      <c r="X176" s="116"/>
      <c r="Y176" s="116"/>
      <c r="Z176" s="215"/>
      <c r="AA176" s="116"/>
      <c r="AB176" s="116"/>
      <c r="AC176" s="116"/>
      <c r="AD176" s="116"/>
      <c r="AE176" s="117" t="s">
        <v>3154</v>
      </c>
      <c r="AF176" s="215"/>
      <c r="AG176" s="148" t="s">
        <v>3154</v>
      </c>
      <c r="AH176" s="116"/>
      <c r="AI176" s="117">
        <v>8</v>
      </c>
      <c r="AJ176" s="117">
        <v>2026</v>
      </c>
      <c r="AK176" s="135" t="str">
        <f t="shared" si="2"/>
        <v>E02719100--E16718500---1-0,5-0,5---------------------</v>
      </c>
      <c r="AL176" s="186">
        <f>VLOOKUP(AK176,Planilha1!B:C,2,0)</f>
        <v>131</v>
      </c>
      <c r="AM176" s="135" t="s">
        <v>3265</v>
      </c>
    </row>
    <row r="177" spans="1:40" x14ac:dyDescent="0.3">
      <c r="A177" s="235" t="s">
        <v>3202</v>
      </c>
      <c r="B177" s="48"/>
      <c r="C177" s="239" t="s">
        <v>3203</v>
      </c>
      <c r="E177" s="202"/>
      <c r="F177" s="202"/>
      <c r="G177" s="203">
        <v>3.35</v>
      </c>
      <c r="H177" s="140">
        <v>0.35</v>
      </c>
      <c r="I177" s="140">
        <v>3</v>
      </c>
      <c r="J177" s="140"/>
      <c r="K177" s="116"/>
      <c r="L177" s="215"/>
      <c r="M177" s="215"/>
      <c r="N177" s="215"/>
      <c r="O177" s="215"/>
      <c r="P177" s="215"/>
      <c r="Q177" s="116"/>
      <c r="R177" s="116"/>
      <c r="S177" s="215"/>
      <c r="T177" s="215"/>
      <c r="U177" s="215"/>
      <c r="V177" s="215"/>
      <c r="W177" s="116"/>
      <c r="X177" s="116"/>
      <c r="Y177" s="116"/>
      <c r="Z177" s="215"/>
      <c r="AA177" s="116"/>
      <c r="AB177" s="116"/>
      <c r="AC177" s="116"/>
      <c r="AD177" s="116"/>
      <c r="AE177" s="117" t="s">
        <v>3154</v>
      </c>
      <c r="AF177" s="215"/>
      <c r="AG177" s="148" t="s">
        <v>3154</v>
      </c>
      <c r="AH177" s="116"/>
      <c r="AI177" s="117">
        <v>8</v>
      </c>
      <c r="AJ177" s="117">
        <v>2026</v>
      </c>
      <c r="AK177" s="135" t="str">
        <f t="shared" si="2"/>
        <v>E15132900--3299365JY---3,35-0,35-3---------------------</v>
      </c>
      <c r="AL177" s="186">
        <f>VLOOKUP(AK177,Planilha1!B:C,2,0)</f>
        <v>132</v>
      </c>
      <c r="AM177" s="135" t="s">
        <v>3265</v>
      </c>
    </row>
    <row r="178" spans="1:40" x14ac:dyDescent="0.3">
      <c r="A178" s="235" t="s">
        <v>3202</v>
      </c>
      <c r="B178" s="48"/>
      <c r="C178" s="239" t="s">
        <v>3203</v>
      </c>
      <c r="E178" s="202"/>
      <c r="F178" s="202"/>
      <c r="G178" s="203">
        <v>3.85</v>
      </c>
      <c r="H178" s="140">
        <v>0.5</v>
      </c>
      <c r="I178" s="140">
        <v>0.35</v>
      </c>
      <c r="J178" s="140">
        <v>3</v>
      </c>
      <c r="K178" s="116"/>
      <c r="L178" s="215"/>
      <c r="M178" s="215"/>
      <c r="N178" s="215"/>
      <c r="O178" s="215"/>
      <c r="P178" s="215"/>
      <c r="Q178" s="116"/>
      <c r="R178" s="116"/>
      <c r="S178" s="215"/>
      <c r="T178" s="215"/>
      <c r="U178" s="215"/>
      <c r="V178" s="215"/>
      <c r="W178" s="116"/>
      <c r="X178" s="116"/>
      <c r="Y178" s="116"/>
      <c r="Z178" s="215"/>
      <c r="AA178" s="116"/>
      <c r="AB178" s="116"/>
      <c r="AC178" s="116"/>
      <c r="AD178" s="116"/>
      <c r="AE178" s="117" t="s">
        <v>3154</v>
      </c>
      <c r="AF178" s="215"/>
      <c r="AG178" s="148" t="s">
        <v>3154</v>
      </c>
      <c r="AH178" s="116"/>
      <c r="AI178" s="117">
        <v>8</v>
      </c>
      <c r="AJ178" s="117">
        <v>2026</v>
      </c>
      <c r="AK178" s="135" t="str">
        <f t="shared" si="2"/>
        <v>E15132900--3299365JY---3,85-0,5-0,35-3--------------------</v>
      </c>
      <c r="AL178" s="186">
        <f>VLOOKUP(AK178,Planilha1!B:C,2,0)</f>
        <v>133</v>
      </c>
      <c r="AM178" s="135" t="s">
        <v>3265</v>
      </c>
    </row>
    <row r="179" spans="1:40" x14ac:dyDescent="0.3">
      <c r="C179" s="249" t="s">
        <v>3157</v>
      </c>
      <c r="D179" s="48"/>
      <c r="E179" s="203">
        <v>1.5</v>
      </c>
      <c r="F179" s="203">
        <v>5.5</v>
      </c>
      <c r="G179" s="203">
        <v>7</v>
      </c>
      <c r="H179" s="116"/>
      <c r="I179" s="116"/>
      <c r="J179" s="116"/>
      <c r="K179" s="116"/>
      <c r="L179" s="136">
        <v>1.5</v>
      </c>
      <c r="M179" s="136"/>
      <c r="N179" s="136"/>
      <c r="O179" s="136"/>
      <c r="P179" s="136"/>
      <c r="Q179" s="116"/>
      <c r="R179" s="116"/>
      <c r="S179" s="136">
        <v>2</v>
      </c>
      <c r="T179" s="136">
        <v>0.5</v>
      </c>
      <c r="U179" s="136">
        <v>1.5</v>
      </c>
      <c r="V179" s="136">
        <v>1.5</v>
      </c>
      <c r="W179" s="251"/>
      <c r="X179" s="116"/>
      <c r="Y179" s="116"/>
      <c r="Z179" s="136"/>
      <c r="AA179" s="116"/>
      <c r="AB179" s="116"/>
      <c r="AC179" s="116"/>
      <c r="AD179" s="116"/>
      <c r="AE179" s="116"/>
      <c r="AF179" s="148" t="s">
        <v>3154</v>
      </c>
      <c r="AG179" s="148" t="s">
        <v>3154</v>
      </c>
      <c r="AH179" s="116"/>
      <c r="AI179" s="117">
        <v>16</v>
      </c>
      <c r="AJ179" s="117">
        <v>2026</v>
      </c>
      <c r="AK179" s="135" t="str">
        <f t="shared" si="2"/>
        <v>--3299362M9-1,5-5,5-7-----1,5-------2-0,5-1,5-1,5--------</v>
      </c>
      <c r="AL179" s="186">
        <f>VLOOKUP(AK179,Planilha1!B:C,2,0)</f>
        <v>134</v>
      </c>
      <c r="AM179" s="135" t="s">
        <v>3354</v>
      </c>
      <c r="AN179" s="83" t="s">
        <v>3355</v>
      </c>
    </row>
    <row r="180" spans="1:40" x14ac:dyDescent="0.3">
      <c r="C180" s="249" t="s">
        <v>3157</v>
      </c>
      <c r="D180" s="48"/>
      <c r="E180" s="203">
        <v>1.5</v>
      </c>
      <c r="F180" s="203">
        <v>4</v>
      </c>
      <c r="G180" s="203">
        <v>5.5</v>
      </c>
      <c r="H180" s="116"/>
      <c r="I180" s="116"/>
      <c r="J180" s="116"/>
      <c r="K180" s="116"/>
      <c r="L180" s="136">
        <v>1.5</v>
      </c>
      <c r="M180" s="136"/>
      <c r="N180" s="136"/>
      <c r="O180" s="136"/>
      <c r="P180" s="136"/>
      <c r="Q180" s="116"/>
      <c r="R180" s="116"/>
      <c r="S180" s="136">
        <v>2</v>
      </c>
      <c r="T180" s="136">
        <v>0.5</v>
      </c>
      <c r="U180" s="136">
        <v>1.5</v>
      </c>
      <c r="V180" s="136"/>
      <c r="W180" s="116"/>
      <c r="X180" s="116"/>
      <c r="Y180" s="116"/>
      <c r="Z180" s="136"/>
      <c r="AA180" s="116"/>
      <c r="AB180" s="116"/>
      <c r="AC180" s="116"/>
      <c r="AD180" s="116"/>
      <c r="AE180" s="116"/>
      <c r="AF180" s="148" t="s">
        <v>3154</v>
      </c>
      <c r="AG180" s="148" t="s">
        <v>3154</v>
      </c>
      <c r="AH180" s="116"/>
      <c r="AI180" s="117">
        <v>16</v>
      </c>
      <c r="AJ180" s="117">
        <v>2026</v>
      </c>
      <c r="AK180" s="135" t="str">
        <f t="shared" si="2"/>
        <v>--3299362M9-1,5-4-5,5-----1,5-------2-0,5-1,5---------</v>
      </c>
      <c r="AL180" s="186">
        <f>VLOOKUP(AK180,Planilha1!B:C,2,0)</f>
        <v>135</v>
      </c>
      <c r="AM180" s="135" t="s">
        <v>3354</v>
      </c>
      <c r="AN180" s="83" t="s">
        <v>3355</v>
      </c>
    </row>
    <row r="181" spans="1:40" x14ac:dyDescent="0.3">
      <c r="C181" s="249" t="s">
        <v>3153</v>
      </c>
      <c r="D181" s="48"/>
      <c r="E181" s="203">
        <v>0.85</v>
      </c>
      <c r="F181" s="203">
        <v>0.5</v>
      </c>
      <c r="G181" s="203">
        <v>1.35</v>
      </c>
      <c r="H181" s="121"/>
      <c r="I181" s="121"/>
      <c r="J181" s="121"/>
      <c r="K181" s="121"/>
      <c r="L181" s="120">
        <v>0.35</v>
      </c>
      <c r="M181" s="120">
        <v>0.5</v>
      </c>
      <c r="N181" s="120"/>
      <c r="O181" s="120"/>
      <c r="P181" s="120"/>
      <c r="Q181" s="121"/>
      <c r="R181" s="121"/>
      <c r="S181" s="120">
        <v>0.5</v>
      </c>
      <c r="T181" s="120"/>
      <c r="U181" s="120"/>
      <c r="V181" s="120"/>
      <c r="W181" s="121"/>
      <c r="X181" s="121"/>
      <c r="Y181" s="121"/>
      <c r="Z181" s="120"/>
      <c r="AA181" s="121"/>
      <c r="AB181" s="121"/>
      <c r="AC181" s="121"/>
      <c r="AD181" s="121"/>
      <c r="AE181" s="121"/>
      <c r="AF181" s="122"/>
      <c r="AG181" s="122" t="s">
        <v>3154</v>
      </c>
      <c r="AH181" s="121"/>
      <c r="AI181" s="118">
        <v>8</v>
      </c>
      <c r="AJ181" s="118">
        <v>2026</v>
      </c>
      <c r="AK181" s="135" t="str">
        <f t="shared" si="2"/>
        <v>--3299362G2-0,85-0,5-1,35-----0,35-0,5------0,5-----------</v>
      </c>
      <c r="AL181" s="186">
        <f>VLOOKUP(AK181,Planilha1!B:C,2,0)</f>
        <v>136</v>
      </c>
      <c r="AM181" s="135" t="s">
        <v>3354</v>
      </c>
      <c r="AN181" s="83" t="s">
        <v>3355</v>
      </c>
    </row>
    <row r="182" spans="1:40" x14ac:dyDescent="0.3">
      <c r="C182" s="239" t="s">
        <v>3153</v>
      </c>
      <c r="D182" s="48"/>
      <c r="E182" s="203">
        <v>0.35</v>
      </c>
      <c r="F182" s="203">
        <v>1</v>
      </c>
      <c r="G182" s="203">
        <v>1.35</v>
      </c>
      <c r="H182" s="121"/>
      <c r="I182" s="121"/>
      <c r="J182" s="121"/>
      <c r="K182" s="121"/>
      <c r="L182" s="120">
        <v>0.35</v>
      </c>
      <c r="M182" s="120"/>
      <c r="N182" s="120"/>
      <c r="O182" s="120"/>
      <c r="P182" s="120"/>
      <c r="Q182" s="121"/>
      <c r="R182" s="121"/>
      <c r="S182" s="120">
        <v>0.5</v>
      </c>
      <c r="T182" s="120">
        <v>0.5</v>
      </c>
      <c r="U182" s="120"/>
      <c r="V182" s="120"/>
      <c r="W182" s="121"/>
      <c r="X182" s="121"/>
      <c r="Y182" s="121"/>
      <c r="Z182" s="120"/>
      <c r="AA182" s="121"/>
      <c r="AB182" s="121"/>
      <c r="AC182" s="121"/>
      <c r="AD182" s="121"/>
      <c r="AE182" s="121"/>
      <c r="AF182" s="122"/>
      <c r="AG182" s="122" t="s">
        <v>3154</v>
      </c>
      <c r="AH182" s="121"/>
      <c r="AI182" s="118">
        <v>8</v>
      </c>
      <c r="AJ182" s="118">
        <v>2026</v>
      </c>
      <c r="AK182" s="135" t="str">
        <f t="shared" si="2"/>
        <v>--3299362G2-0,35-1-1,35-----0,35-------0,5-0,5----------</v>
      </c>
      <c r="AL182" s="186">
        <f>VLOOKUP(AK182,Planilha1!B:C,2,0)</f>
        <v>137</v>
      </c>
      <c r="AM182" s="135" t="s">
        <v>3354</v>
      </c>
      <c r="AN182" s="83" t="s">
        <v>3355</v>
      </c>
    </row>
    <row r="183" spans="1:40" x14ac:dyDescent="0.3">
      <c r="C183" s="249" t="s">
        <v>3156</v>
      </c>
      <c r="E183" s="203">
        <v>0.7</v>
      </c>
      <c r="F183" s="203">
        <v>0.5</v>
      </c>
      <c r="G183" s="203">
        <v>1.2</v>
      </c>
      <c r="H183" s="121"/>
      <c r="I183" s="121"/>
      <c r="J183" s="121"/>
      <c r="K183" s="121"/>
      <c r="L183" s="120">
        <v>0.35</v>
      </c>
      <c r="M183" s="120">
        <v>0.35</v>
      </c>
      <c r="N183" s="120"/>
      <c r="O183" s="120"/>
      <c r="P183" s="120"/>
      <c r="Q183" s="252"/>
      <c r="R183" s="121"/>
      <c r="S183" s="120">
        <v>0.5</v>
      </c>
      <c r="T183" s="120"/>
      <c r="U183" s="120"/>
      <c r="V183" s="120"/>
      <c r="W183" s="252"/>
      <c r="X183" s="252"/>
      <c r="Y183" s="121"/>
      <c r="Z183" s="120"/>
      <c r="AA183" s="121"/>
      <c r="AB183" s="121"/>
      <c r="AC183" s="121"/>
      <c r="AD183" s="121"/>
      <c r="AE183" s="121"/>
      <c r="AF183" s="122"/>
      <c r="AG183" s="122" t="s">
        <v>3154</v>
      </c>
      <c r="AH183" s="121"/>
      <c r="AI183" s="118">
        <v>8</v>
      </c>
      <c r="AJ183" s="118">
        <v>2026</v>
      </c>
      <c r="AK183" s="135" t="str">
        <f t="shared" si="2"/>
        <v>--E16718500-0,7-0,5-1,2-----0,35-0,35------0,5-----------</v>
      </c>
      <c r="AL183" s="186">
        <f>VLOOKUP(AK183,Planilha1!B:C,2,0)</f>
        <v>138</v>
      </c>
      <c r="AM183" s="135" t="s">
        <v>3354</v>
      </c>
      <c r="AN183" s="83" t="s">
        <v>3355</v>
      </c>
    </row>
    <row r="184" spans="1:40" x14ac:dyDescent="0.3">
      <c r="C184" s="148" t="s">
        <v>3156</v>
      </c>
      <c r="E184" s="203">
        <v>0</v>
      </c>
      <c r="F184" s="203">
        <v>0.5</v>
      </c>
      <c r="G184" s="203">
        <v>0.5</v>
      </c>
      <c r="H184" s="116"/>
      <c r="I184" s="116"/>
      <c r="J184" s="116"/>
      <c r="K184" s="116"/>
      <c r="L184" s="136"/>
      <c r="M184" s="136"/>
      <c r="N184" s="136"/>
      <c r="O184" s="136"/>
      <c r="P184" s="136"/>
      <c r="Q184" s="251"/>
      <c r="R184" s="116"/>
      <c r="S184" s="136">
        <v>0.5</v>
      </c>
      <c r="T184" s="136"/>
      <c r="U184" s="136"/>
      <c r="V184" s="136"/>
      <c r="W184" s="251"/>
      <c r="X184" s="251"/>
      <c r="Y184" s="116"/>
      <c r="Z184" s="136"/>
      <c r="AA184" s="116"/>
      <c r="AB184" s="116"/>
      <c r="AC184" s="116"/>
      <c r="AD184" s="116"/>
      <c r="AE184" s="116"/>
      <c r="AF184" s="148" t="s">
        <v>3154</v>
      </c>
      <c r="AG184" s="148" t="s">
        <v>3154</v>
      </c>
      <c r="AH184" s="116"/>
      <c r="AI184" s="117">
        <v>16</v>
      </c>
      <c r="AJ184" s="117">
        <v>2026</v>
      </c>
      <c r="AK184" s="135" t="str">
        <f t="shared" si="2"/>
        <v>--E16718500-0-0,5-0,5------------0,5-----------</v>
      </c>
      <c r="AL184" s="186">
        <f>VLOOKUP(AK184,Planilha1!B:C,2,0)</f>
        <v>139</v>
      </c>
      <c r="AM184" s="135" t="s">
        <v>3354</v>
      </c>
      <c r="AN184" s="83" t="s">
        <v>3355</v>
      </c>
    </row>
    <row r="185" spans="1:40" x14ac:dyDescent="0.3">
      <c r="C185" s="53" t="s">
        <v>3153</v>
      </c>
      <c r="D185" s="48"/>
      <c r="E185" s="241">
        <v>0.5</v>
      </c>
      <c r="F185" s="241">
        <v>1.2</v>
      </c>
      <c r="G185" s="203">
        <v>1.7</v>
      </c>
      <c r="H185" s="116"/>
      <c r="I185" s="116"/>
      <c r="J185" s="116"/>
      <c r="K185" s="116"/>
      <c r="L185" s="214">
        <v>0.5</v>
      </c>
      <c r="M185" s="214"/>
      <c r="N185" s="140"/>
      <c r="O185" s="140"/>
      <c r="P185" s="140"/>
      <c r="Q185" s="116"/>
      <c r="R185" s="116"/>
      <c r="S185" s="214">
        <v>0.35</v>
      </c>
      <c r="T185" s="214">
        <v>0.5</v>
      </c>
      <c r="U185" s="214">
        <v>0.35</v>
      </c>
      <c r="V185" s="214"/>
      <c r="W185" s="242"/>
      <c r="X185" s="242"/>
      <c r="Y185" s="116"/>
      <c r="Z185" s="140"/>
      <c r="AA185" s="116"/>
      <c r="AB185" s="116"/>
      <c r="AC185" s="116"/>
      <c r="AD185" s="116"/>
      <c r="AE185" s="116"/>
      <c r="AF185" s="247" t="s">
        <v>3154</v>
      </c>
      <c r="AG185" s="247" t="s">
        <v>3154</v>
      </c>
      <c r="AH185" s="116"/>
      <c r="AI185" s="117">
        <v>16</v>
      </c>
      <c r="AJ185" s="117">
        <v>2026</v>
      </c>
      <c r="AK185" s="135" t="str">
        <f t="shared" si="2"/>
        <v>--3299362G2-0,5-1,2-1,7-----0,5-------0,35-0,5-0,35---------</v>
      </c>
      <c r="AL185" s="186">
        <f>VLOOKUP(AK185,Planilha1!B:C,2,0)</f>
        <v>140</v>
      </c>
      <c r="AM185" s="135" t="s">
        <v>3354</v>
      </c>
      <c r="AN185" s="83" t="s">
        <v>3355</v>
      </c>
    </row>
    <row r="186" spans="1:40" x14ac:dyDescent="0.3">
      <c r="C186" s="43" t="s">
        <v>3156</v>
      </c>
      <c r="E186" s="241">
        <v>0.35</v>
      </c>
      <c r="F186" s="241">
        <v>1.05</v>
      </c>
      <c r="G186" s="203">
        <v>1.4</v>
      </c>
      <c r="H186" s="121"/>
      <c r="I186" s="121"/>
      <c r="J186" s="121"/>
      <c r="K186" s="121"/>
      <c r="L186" s="246">
        <v>0.35</v>
      </c>
      <c r="M186" s="246"/>
      <c r="N186" s="144"/>
      <c r="O186" s="144"/>
      <c r="P186" s="144"/>
      <c r="Q186" s="121"/>
      <c r="R186" s="121"/>
      <c r="S186" s="246">
        <v>0.35</v>
      </c>
      <c r="T186" s="246">
        <v>0.35</v>
      </c>
      <c r="U186" s="246">
        <v>0.35</v>
      </c>
      <c r="V186" s="246"/>
      <c r="W186" s="253"/>
      <c r="X186" s="253"/>
      <c r="Y186" s="121"/>
      <c r="Z186" s="144"/>
      <c r="AA186" s="121"/>
      <c r="AB186" s="121"/>
      <c r="AC186" s="121"/>
      <c r="AD186" s="121"/>
      <c r="AE186" s="121"/>
      <c r="AF186" s="250"/>
      <c r="AG186" s="250" t="s">
        <v>3154</v>
      </c>
      <c r="AH186" s="121"/>
      <c r="AI186" s="121"/>
      <c r="AJ186" s="118">
        <v>2026</v>
      </c>
      <c r="AK186" s="135" t="str">
        <f t="shared" si="2"/>
        <v>--E16718500-0,35-1,05-1,4-----0,35-------0,35-0,35-0,35---------</v>
      </c>
      <c r="AL186" s="186">
        <f>VLOOKUP(AK186,Planilha1!B:C,2,0)</f>
        <v>141</v>
      </c>
      <c r="AM186" s="135" t="s">
        <v>3354</v>
      </c>
      <c r="AN186" s="83" t="s">
        <v>3355</v>
      </c>
    </row>
    <row r="187" spans="1:40" x14ac:dyDescent="0.3">
      <c r="C187" s="43" t="s">
        <v>3157</v>
      </c>
      <c r="D187" s="48"/>
      <c r="E187" s="241">
        <v>3.5</v>
      </c>
      <c r="F187" s="241">
        <v>4.5</v>
      </c>
      <c r="G187" s="203">
        <v>8</v>
      </c>
      <c r="H187" s="116"/>
      <c r="I187" s="116"/>
      <c r="J187" s="116"/>
      <c r="K187" s="116"/>
      <c r="L187" s="214">
        <v>0.5</v>
      </c>
      <c r="M187" s="214">
        <v>0.5</v>
      </c>
      <c r="N187" s="140">
        <v>2.5</v>
      </c>
      <c r="O187" s="140"/>
      <c r="P187" s="140"/>
      <c r="Q187" s="116"/>
      <c r="R187" s="116"/>
      <c r="S187" s="214">
        <v>3</v>
      </c>
      <c r="T187" s="214">
        <v>1.5</v>
      </c>
      <c r="U187" s="214"/>
      <c r="V187" s="214"/>
      <c r="W187" s="242"/>
      <c r="X187" s="242"/>
      <c r="Y187" s="116"/>
      <c r="Z187" s="140"/>
      <c r="AA187" s="116"/>
      <c r="AB187" s="116"/>
      <c r="AC187" s="116"/>
      <c r="AD187" s="116"/>
      <c r="AE187" s="116"/>
      <c r="AF187" s="247" t="s">
        <v>3154</v>
      </c>
      <c r="AG187" s="247" t="s">
        <v>3154</v>
      </c>
      <c r="AH187" s="116"/>
      <c r="AI187" s="117">
        <v>16</v>
      </c>
      <c r="AJ187" s="117">
        <v>2026</v>
      </c>
      <c r="AK187" s="135" t="str">
        <f t="shared" si="2"/>
        <v>--3299362M9-3,5-4,5-8-----0,5-0,5-2,5-----3-1,5----------</v>
      </c>
      <c r="AL187" s="186">
        <f>VLOOKUP(AK187,Planilha1!B:C,2,0)</f>
        <v>142</v>
      </c>
      <c r="AM187" s="135" t="s">
        <v>3354</v>
      </c>
      <c r="AN187" s="83" t="s">
        <v>3355</v>
      </c>
    </row>
    <row r="188" spans="1:40" x14ac:dyDescent="0.3">
      <c r="C188" s="53" t="s">
        <v>3156</v>
      </c>
      <c r="E188" s="241">
        <v>0.5</v>
      </c>
      <c r="F188" s="241">
        <v>1.2</v>
      </c>
      <c r="G188" s="203">
        <v>1.7</v>
      </c>
      <c r="H188" s="116"/>
      <c r="I188" s="116"/>
      <c r="J188" s="116"/>
      <c r="K188" s="116"/>
      <c r="L188" s="214">
        <v>0.5</v>
      </c>
      <c r="M188" s="214"/>
      <c r="N188" s="140"/>
      <c r="O188" s="140"/>
      <c r="P188" s="140"/>
      <c r="Q188" s="116"/>
      <c r="R188" s="116"/>
      <c r="S188" s="214">
        <v>0.5</v>
      </c>
      <c r="T188" s="214">
        <v>0.35</v>
      </c>
      <c r="U188" s="214">
        <v>0.35</v>
      </c>
      <c r="V188" s="214"/>
      <c r="W188" s="242"/>
      <c r="X188" s="242"/>
      <c r="Y188" s="116"/>
      <c r="Z188" s="140"/>
      <c r="AA188" s="116"/>
      <c r="AB188" s="116"/>
      <c r="AC188" s="116"/>
      <c r="AD188" s="116"/>
      <c r="AE188" s="116"/>
      <c r="AF188" s="247" t="s">
        <v>3154</v>
      </c>
      <c r="AG188" s="247" t="s">
        <v>3154</v>
      </c>
      <c r="AH188" s="116"/>
      <c r="AI188" s="117">
        <v>16</v>
      </c>
      <c r="AJ188" s="117">
        <v>2026</v>
      </c>
      <c r="AK188" s="135" t="str">
        <f t="shared" si="2"/>
        <v>--E16718500-0,5-1,2-1,7-----0,5-------0,5-0,35-0,35---------</v>
      </c>
      <c r="AL188" s="186">
        <f>VLOOKUP(AK188,Planilha1!B:C,2,0)</f>
        <v>143</v>
      </c>
      <c r="AM188" s="135" t="s">
        <v>3354</v>
      </c>
      <c r="AN188" s="83" t="s">
        <v>3355</v>
      </c>
    </row>
    <row r="189" spans="1:40" x14ac:dyDescent="0.3">
      <c r="C189" s="43" t="s">
        <v>3156</v>
      </c>
      <c r="E189" s="241">
        <v>0.5</v>
      </c>
      <c r="F189" s="241">
        <v>1.45</v>
      </c>
      <c r="G189" s="203">
        <v>1.95</v>
      </c>
      <c r="H189" s="116"/>
      <c r="I189" s="116"/>
      <c r="J189" s="116"/>
      <c r="K189" s="116"/>
      <c r="L189" s="214">
        <v>0.5</v>
      </c>
      <c r="M189" s="214"/>
      <c r="N189" s="140"/>
      <c r="O189" s="140"/>
      <c r="P189" s="140"/>
      <c r="Q189" s="116"/>
      <c r="R189" s="116"/>
      <c r="S189" s="214">
        <v>0.35</v>
      </c>
      <c r="T189" s="214">
        <v>0.35</v>
      </c>
      <c r="U189" s="214">
        <v>0.75</v>
      </c>
      <c r="V189" s="214"/>
      <c r="W189" s="242"/>
      <c r="X189" s="242"/>
      <c r="Y189" s="116"/>
      <c r="Z189" s="140"/>
      <c r="AA189" s="116"/>
      <c r="AB189" s="116"/>
      <c r="AC189" s="116"/>
      <c r="AD189" s="116"/>
      <c r="AE189" s="116"/>
      <c r="AF189" s="247" t="s">
        <v>3154</v>
      </c>
      <c r="AG189" s="247" t="s">
        <v>3154</v>
      </c>
      <c r="AH189" s="116"/>
      <c r="AI189" s="117">
        <v>16</v>
      </c>
      <c r="AJ189" s="117">
        <v>2026</v>
      </c>
      <c r="AK189" s="135" t="str">
        <f t="shared" si="2"/>
        <v>--E16718500-0,5-1,45-1,95-----0,5-------0,35-0,35-0,75---------</v>
      </c>
      <c r="AL189" s="186">
        <f>VLOOKUP(AK189,Planilha1!B:C,2,0)</f>
        <v>144</v>
      </c>
      <c r="AM189" s="135" t="s">
        <v>3354</v>
      </c>
      <c r="AN189" s="83" t="s">
        <v>3355</v>
      </c>
    </row>
    <row r="190" spans="1:40" x14ac:dyDescent="0.3">
      <c r="C190" s="43" t="s">
        <v>3156</v>
      </c>
      <c r="E190" s="241">
        <v>0.85</v>
      </c>
      <c r="F190" s="241">
        <v>0.35</v>
      </c>
      <c r="G190" s="203">
        <v>1.2</v>
      </c>
      <c r="H190" s="116"/>
      <c r="I190" s="116"/>
      <c r="J190" s="116"/>
      <c r="K190" s="116"/>
      <c r="L190" s="214">
        <v>0.5</v>
      </c>
      <c r="M190" s="214">
        <v>0.35</v>
      </c>
      <c r="N190" s="140"/>
      <c r="O190" s="140"/>
      <c r="P190" s="140"/>
      <c r="Q190" s="251"/>
      <c r="R190" s="116"/>
      <c r="S190" s="214">
        <v>0.35</v>
      </c>
      <c r="T190" s="214"/>
      <c r="U190" s="214"/>
      <c r="V190" s="214"/>
      <c r="W190" s="242"/>
      <c r="X190" s="242"/>
      <c r="Y190" s="116"/>
      <c r="Z190" s="140">
        <v>0.35</v>
      </c>
      <c r="AA190" s="116"/>
      <c r="AB190" s="116"/>
      <c r="AC190" s="116"/>
      <c r="AD190" s="116"/>
      <c r="AE190" s="116"/>
      <c r="AF190" s="247" t="s">
        <v>3154</v>
      </c>
      <c r="AG190" s="247" t="s">
        <v>3154</v>
      </c>
      <c r="AH190" s="116"/>
      <c r="AI190" s="117">
        <v>16</v>
      </c>
      <c r="AJ190" s="117">
        <v>2026</v>
      </c>
      <c r="AK190" s="135" t="str">
        <f t="shared" si="2"/>
        <v>--E16718500-0,85-0,35-1,2-----0,5-0,35------0,35-------0,35----</v>
      </c>
      <c r="AL190" s="186">
        <f>VLOOKUP(AK190,Planilha1!B:C,2,0)</f>
        <v>145</v>
      </c>
      <c r="AM190" s="135" t="s">
        <v>3354</v>
      </c>
      <c r="AN190" s="83" t="s">
        <v>3355</v>
      </c>
    </row>
    <row r="191" spans="1:40" x14ac:dyDescent="0.3">
      <c r="C191" s="43" t="s">
        <v>3156</v>
      </c>
      <c r="E191" s="241">
        <v>1.7</v>
      </c>
      <c r="F191" s="241">
        <v>0.35</v>
      </c>
      <c r="G191" s="202">
        <v>2.0499999999999998</v>
      </c>
      <c r="H191" s="116"/>
      <c r="I191" s="116"/>
      <c r="J191" s="116"/>
      <c r="K191" s="116"/>
      <c r="L191" s="214">
        <v>0.5</v>
      </c>
      <c r="M191" s="214">
        <v>0.5</v>
      </c>
      <c r="N191" s="140">
        <v>0.35</v>
      </c>
      <c r="O191" s="140">
        <v>0.35</v>
      </c>
      <c r="P191" s="140"/>
      <c r="Q191" s="116"/>
      <c r="R191" s="116"/>
      <c r="S191" s="214">
        <v>0.35</v>
      </c>
      <c r="T191" s="214"/>
      <c r="U191" s="214"/>
      <c r="V191" s="214"/>
      <c r="W191" s="242"/>
      <c r="X191" s="242"/>
      <c r="Y191" s="116"/>
      <c r="Z191" s="140"/>
      <c r="AA191" s="116"/>
      <c r="AB191" s="116"/>
      <c r="AC191" s="116"/>
      <c r="AD191" s="116"/>
      <c r="AE191" s="116"/>
      <c r="AF191" s="247" t="s">
        <v>3154</v>
      </c>
      <c r="AG191" s="247" t="s">
        <v>3154</v>
      </c>
      <c r="AH191" s="116"/>
      <c r="AI191" s="117">
        <v>16</v>
      </c>
      <c r="AJ191" s="117">
        <v>2026</v>
      </c>
      <c r="AK191" s="135" t="str">
        <f t="shared" si="2"/>
        <v>--E16718500-1,7-0,35-2,05-----0,5-0,5-0,35-0,35----0,35-----------</v>
      </c>
      <c r="AL191" s="186">
        <f>VLOOKUP(AK191,Planilha1!B:C,2,0)</f>
        <v>146</v>
      </c>
      <c r="AM191" s="135" t="s">
        <v>3354</v>
      </c>
      <c r="AN191" s="83" t="s">
        <v>3355</v>
      </c>
    </row>
    <row r="192" spans="1:40" x14ac:dyDescent="0.3">
      <c r="A192" s="48"/>
      <c r="B192" s="48"/>
      <c r="C192" s="43" t="s">
        <v>3156</v>
      </c>
      <c r="E192" s="241">
        <v>0.5</v>
      </c>
      <c r="F192" s="241">
        <v>1.35</v>
      </c>
      <c r="G192" s="203">
        <v>1.85</v>
      </c>
      <c r="H192" s="121"/>
      <c r="I192" s="121"/>
      <c r="J192" s="121"/>
      <c r="K192" s="121"/>
      <c r="L192" s="246">
        <v>0.5</v>
      </c>
      <c r="M192" s="246"/>
      <c r="N192" s="144"/>
      <c r="O192" s="144"/>
      <c r="P192" s="144"/>
      <c r="Q192" s="121"/>
      <c r="R192" s="121"/>
      <c r="S192" s="246">
        <v>0.5</v>
      </c>
      <c r="T192" s="246">
        <v>0.5</v>
      </c>
      <c r="U192" s="246">
        <v>0.35</v>
      </c>
      <c r="V192" s="246"/>
      <c r="W192" s="253"/>
      <c r="X192" s="253"/>
      <c r="Y192" s="121"/>
      <c r="Z192" s="144"/>
      <c r="AA192" s="121"/>
      <c r="AB192" s="121"/>
      <c r="AC192" s="121"/>
      <c r="AD192" s="121"/>
      <c r="AE192" s="121"/>
      <c r="AF192" s="250"/>
      <c r="AG192" s="250" t="s">
        <v>3154</v>
      </c>
      <c r="AH192" s="121"/>
      <c r="AI192" s="121">
        <v>8</v>
      </c>
      <c r="AJ192" s="118">
        <v>2026</v>
      </c>
      <c r="AK192" s="135" t="str">
        <f t="shared" si="2"/>
        <v>--E16718500-0,5-1,35-1,85-----0,5-------0,5-0,5-0,35---------</v>
      </c>
      <c r="AL192" s="186">
        <f>VLOOKUP(AK192,Planilha1!B:C,2,0)</f>
        <v>147</v>
      </c>
      <c r="AM192" s="135" t="s">
        <v>3354</v>
      </c>
      <c r="AN192" s="83" t="s">
        <v>3355</v>
      </c>
    </row>
    <row r="193" spans="1:40" x14ac:dyDescent="0.3">
      <c r="C193" s="247" t="s">
        <v>3157</v>
      </c>
      <c r="D193" s="48"/>
      <c r="E193" s="241">
        <v>5.5</v>
      </c>
      <c r="F193" s="241">
        <v>0.5</v>
      </c>
      <c r="G193" s="203">
        <v>6</v>
      </c>
      <c r="H193" s="116"/>
      <c r="I193" s="116"/>
      <c r="J193" s="116"/>
      <c r="K193" s="116"/>
      <c r="L193" s="214">
        <v>1.5</v>
      </c>
      <c r="M193" s="214">
        <v>0.5</v>
      </c>
      <c r="N193" s="140">
        <v>2</v>
      </c>
      <c r="O193" s="140"/>
      <c r="P193" s="140"/>
      <c r="Q193" s="251"/>
      <c r="R193" s="251"/>
      <c r="S193" s="214">
        <v>0.5</v>
      </c>
      <c r="T193" s="214"/>
      <c r="U193" s="214"/>
      <c r="V193" s="214"/>
      <c r="W193" s="242"/>
      <c r="X193" s="242"/>
      <c r="Y193" s="116"/>
      <c r="Z193" s="140">
        <v>1.5</v>
      </c>
      <c r="AA193" s="116"/>
      <c r="AB193" s="116"/>
      <c r="AC193" s="116"/>
      <c r="AD193" s="116"/>
      <c r="AE193" s="116"/>
      <c r="AF193" s="247" t="s">
        <v>3154</v>
      </c>
      <c r="AG193" s="247" t="s">
        <v>3154</v>
      </c>
      <c r="AH193" s="116"/>
      <c r="AI193" s="117">
        <v>16</v>
      </c>
      <c r="AJ193" s="117">
        <v>2026</v>
      </c>
      <c r="AK193" s="135" t="str">
        <f t="shared" si="2"/>
        <v>--3299362M9-5,5-0,5-6-----1,5-0,5-2-----0,5-------1,5----</v>
      </c>
      <c r="AL193" s="186">
        <f>VLOOKUP(AK193,Planilha1!B:C,2,0)</f>
        <v>148</v>
      </c>
      <c r="AM193" s="135" t="s">
        <v>3354</v>
      </c>
      <c r="AN193" s="83" t="s">
        <v>3355</v>
      </c>
    </row>
    <row r="194" spans="1:40" x14ac:dyDescent="0.3">
      <c r="C194" s="53" t="s">
        <v>3157</v>
      </c>
      <c r="D194" s="48"/>
      <c r="E194" s="241">
        <v>4</v>
      </c>
      <c r="F194" s="241">
        <v>0.5</v>
      </c>
      <c r="G194" s="203">
        <v>4.5</v>
      </c>
      <c r="H194" s="116"/>
      <c r="I194" s="116"/>
      <c r="J194" s="116"/>
      <c r="K194" s="116"/>
      <c r="L194" s="214">
        <v>1.5</v>
      </c>
      <c r="M194" s="214">
        <v>0.5</v>
      </c>
      <c r="N194" s="140">
        <v>2</v>
      </c>
      <c r="O194" s="140"/>
      <c r="P194" s="140"/>
      <c r="Q194" s="251"/>
      <c r="R194" s="251"/>
      <c r="S194" s="214">
        <v>0.5</v>
      </c>
      <c r="T194" s="214"/>
      <c r="U194" s="214"/>
      <c r="V194" s="214"/>
      <c r="W194" s="242"/>
      <c r="X194" s="242"/>
      <c r="Y194" s="116"/>
      <c r="Z194" s="140"/>
      <c r="AA194" s="116"/>
      <c r="AB194" s="116"/>
      <c r="AC194" s="116"/>
      <c r="AD194" s="116"/>
      <c r="AE194" s="116"/>
      <c r="AF194" s="247" t="s">
        <v>3154</v>
      </c>
      <c r="AG194" s="247" t="s">
        <v>3154</v>
      </c>
      <c r="AH194" s="116"/>
      <c r="AI194" s="117">
        <v>16</v>
      </c>
      <c r="AJ194" s="117">
        <v>2026</v>
      </c>
      <c r="AK194" s="135" t="str">
        <f t="shared" ref="AK194:AK210" si="3">CONCATENATE(A194,"-",B194,"-",C194,"-",E194,"-",F194,"-",G194,"-",H194,"-",I194,"-",J194,"-",K194,"-",L194,"-",M194,"-",N194,"-",O194,"-",P194,"-",Q194,"-",R194,"-",S194,"-",T194,"-",U194,"-",V194,"-",W194,"-",X194,"-",Y194,"-",Z194,"-",AA194,"-",AB194,"-",AC194,"-",AD194)</f>
        <v>--3299362M9-4-0,5-4,5-----1,5-0,5-2-----0,5-----------</v>
      </c>
      <c r="AL194" s="186">
        <f>VLOOKUP(AK194,Planilha1!B:C,2,0)</f>
        <v>149</v>
      </c>
      <c r="AM194" s="135" t="s">
        <v>3354</v>
      </c>
      <c r="AN194" s="83" t="s">
        <v>3355</v>
      </c>
    </row>
    <row r="195" spans="1:40" x14ac:dyDescent="0.3">
      <c r="C195" s="247" t="s">
        <v>3157</v>
      </c>
      <c r="D195" s="48"/>
      <c r="E195" s="241">
        <v>6.25</v>
      </c>
      <c r="F195" s="241">
        <v>0.5</v>
      </c>
      <c r="G195" s="203">
        <v>6.75</v>
      </c>
      <c r="H195" s="116"/>
      <c r="I195" s="116"/>
      <c r="J195" s="116"/>
      <c r="K195" s="116"/>
      <c r="L195" s="214">
        <v>1.5</v>
      </c>
      <c r="M195" s="214">
        <v>0.5</v>
      </c>
      <c r="N195" s="140">
        <v>0.75</v>
      </c>
      <c r="O195" s="140">
        <v>2</v>
      </c>
      <c r="P195" s="140"/>
      <c r="Q195" s="251"/>
      <c r="R195" s="251"/>
      <c r="S195" s="214">
        <v>0.5</v>
      </c>
      <c r="T195" s="214"/>
      <c r="U195" s="214"/>
      <c r="V195" s="214"/>
      <c r="W195" s="242"/>
      <c r="X195" s="242"/>
      <c r="Y195" s="251"/>
      <c r="Z195" s="140">
        <v>1.5</v>
      </c>
      <c r="AA195" s="116"/>
      <c r="AB195" s="116"/>
      <c r="AC195" s="116"/>
      <c r="AD195" s="116"/>
      <c r="AE195" s="116"/>
      <c r="AF195" s="247" t="s">
        <v>3154</v>
      </c>
      <c r="AG195" s="247" t="s">
        <v>3154</v>
      </c>
      <c r="AH195" s="116"/>
      <c r="AI195" s="117">
        <v>16</v>
      </c>
      <c r="AJ195" s="117">
        <v>2026</v>
      </c>
      <c r="AK195" s="135" t="str">
        <f t="shared" si="3"/>
        <v>--3299362M9-6,25-0,5-6,75-----1,5-0,5-0,75-2----0,5-------1,5----</v>
      </c>
      <c r="AL195" s="186">
        <f>VLOOKUP(AK195,Planilha1!B:C,2,0)</f>
        <v>150</v>
      </c>
      <c r="AM195" s="135" t="s">
        <v>3354</v>
      </c>
      <c r="AN195" s="83" t="s">
        <v>3355</v>
      </c>
    </row>
    <row r="196" spans="1:40" x14ac:dyDescent="0.3">
      <c r="A196" s="48"/>
      <c r="C196" s="43" t="s">
        <v>3156</v>
      </c>
      <c r="E196" s="241">
        <v>1.05</v>
      </c>
      <c r="F196" s="241">
        <v>0.35</v>
      </c>
      <c r="G196" s="203">
        <v>1.4</v>
      </c>
      <c r="H196" s="251"/>
      <c r="I196" s="251"/>
      <c r="J196" s="251"/>
      <c r="K196" s="116"/>
      <c r="L196" s="214">
        <v>0.35</v>
      </c>
      <c r="M196" s="214">
        <v>0.35</v>
      </c>
      <c r="N196" s="140"/>
      <c r="O196" s="140"/>
      <c r="P196" s="140"/>
      <c r="Q196" s="116"/>
      <c r="R196" s="116"/>
      <c r="S196" s="214">
        <v>0.35</v>
      </c>
      <c r="T196" s="214"/>
      <c r="U196" s="214"/>
      <c r="V196" s="214"/>
      <c r="W196" s="242"/>
      <c r="X196" s="242"/>
      <c r="Y196" s="116"/>
      <c r="Z196" s="140">
        <v>0.35</v>
      </c>
      <c r="AA196" s="116"/>
      <c r="AB196" s="116"/>
      <c r="AC196" s="116"/>
      <c r="AD196" s="116"/>
      <c r="AE196" s="116"/>
      <c r="AF196" s="247" t="s">
        <v>3154</v>
      </c>
      <c r="AG196" s="247" t="s">
        <v>3154</v>
      </c>
      <c r="AH196" s="116"/>
      <c r="AI196" s="117">
        <v>16</v>
      </c>
      <c r="AJ196" s="117">
        <v>2026</v>
      </c>
      <c r="AK196" s="135" t="str">
        <f t="shared" si="3"/>
        <v>--E16718500-1,05-0,35-1,4-----0,35-0,35------0,35-------0,35----</v>
      </c>
      <c r="AL196" s="186">
        <f>VLOOKUP(AK196,Planilha1!B:C,2,0)</f>
        <v>151</v>
      </c>
      <c r="AM196" s="135" t="s">
        <v>3354</v>
      </c>
      <c r="AN196" s="83" t="s">
        <v>3355</v>
      </c>
    </row>
    <row r="197" spans="1:40" x14ac:dyDescent="0.3">
      <c r="C197" s="43" t="s">
        <v>3156</v>
      </c>
      <c r="E197" s="43">
        <v>1.25</v>
      </c>
      <c r="F197" s="43">
        <v>0.5</v>
      </c>
      <c r="G197" s="202">
        <v>1.75</v>
      </c>
      <c r="L197" s="43">
        <v>0.5</v>
      </c>
      <c r="M197" s="43">
        <v>0.5</v>
      </c>
      <c r="N197" s="48"/>
      <c r="O197" s="48"/>
      <c r="P197" s="48"/>
      <c r="S197" s="43">
        <v>0.75</v>
      </c>
      <c r="T197" s="43"/>
      <c r="U197" s="43"/>
      <c r="V197" s="43"/>
      <c r="W197" s="43"/>
      <c r="X197" s="43"/>
      <c r="Z197" s="48"/>
      <c r="AF197" s="43" t="s">
        <v>3154</v>
      </c>
      <c r="AG197" s="43" t="s">
        <v>3154</v>
      </c>
      <c r="AI197" s="117">
        <v>16</v>
      </c>
      <c r="AJ197" s="117">
        <v>2026</v>
      </c>
      <c r="AK197" s="135" t="str">
        <f t="shared" si="3"/>
        <v>--E16718500-1,25-0,5-1,75-----0,5-0,5------0,75-----------</v>
      </c>
      <c r="AL197" s="186">
        <f>VLOOKUP(AK197,Planilha1!B:C,2,0)</f>
        <v>152</v>
      </c>
      <c r="AM197" s="135" t="s">
        <v>3638</v>
      </c>
    </row>
    <row r="198" spans="1:40" x14ac:dyDescent="0.3">
      <c r="C198" s="43" t="s">
        <v>3164</v>
      </c>
      <c r="E198" s="43">
        <v>0</v>
      </c>
      <c r="F198" s="43">
        <v>4</v>
      </c>
      <c r="G198" s="202">
        <v>4</v>
      </c>
      <c r="L198" s="43"/>
      <c r="M198" s="43"/>
      <c r="N198" s="48"/>
      <c r="O198" s="48"/>
      <c r="P198" s="48"/>
      <c r="S198" s="43">
        <v>1</v>
      </c>
      <c r="T198" s="43">
        <v>1</v>
      </c>
      <c r="U198" s="43">
        <v>1</v>
      </c>
      <c r="V198" s="43">
        <v>1</v>
      </c>
      <c r="W198" s="43"/>
      <c r="X198" s="43"/>
      <c r="Z198" s="48"/>
      <c r="AF198" s="43" t="s">
        <v>3154</v>
      </c>
      <c r="AG198" s="43" t="s">
        <v>3154</v>
      </c>
      <c r="AI198" s="117">
        <v>16</v>
      </c>
      <c r="AJ198" s="117">
        <v>2026</v>
      </c>
      <c r="AK198" s="135" t="str">
        <f t="shared" si="3"/>
        <v>--E16725300-0-4-4------------1-1-1-1--------</v>
      </c>
      <c r="AL198" s="186">
        <f>VLOOKUP(AK198,Planilha1!B:C,2,0)</f>
        <v>153</v>
      </c>
      <c r="AM198" s="135" t="s">
        <v>3638</v>
      </c>
    </row>
    <row r="199" spans="1:40" x14ac:dyDescent="0.3">
      <c r="C199" s="43" t="s">
        <v>3164</v>
      </c>
      <c r="E199" s="43">
        <v>0</v>
      </c>
      <c r="F199" s="43">
        <v>5</v>
      </c>
      <c r="G199" s="202">
        <v>5</v>
      </c>
      <c r="L199" s="43"/>
      <c r="M199" s="43"/>
      <c r="N199" s="48"/>
      <c r="O199" s="48"/>
      <c r="P199" s="48"/>
      <c r="S199" s="43">
        <v>1</v>
      </c>
      <c r="T199" s="43">
        <v>1</v>
      </c>
      <c r="U199" s="43">
        <v>1</v>
      </c>
      <c r="V199" s="43">
        <v>1</v>
      </c>
      <c r="W199" s="43">
        <v>1</v>
      </c>
      <c r="X199" s="43"/>
      <c r="Z199" s="48"/>
      <c r="AF199" s="43" t="s">
        <v>3154</v>
      </c>
      <c r="AG199" s="43" t="s">
        <v>3154</v>
      </c>
      <c r="AI199" s="117">
        <v>16</v>
      </c>
      <c r="AJ199" s="117">
        <v>2026</v>
      </c>
      <c r="AK199" s="135" t="str">
        <f t="shared" si="3"/>
        <v>--E16725300-0-5-5------------1-1-1-1-1-------</v>
      </c>
      <c r="AL199" s="186">
        <f>VLOOKUP(AK199,Planilha1!B:C,2,0)</f>
        <v>154</v>
      </c>
      <c r="AM199" s="135" t="s">
        <v>3638</v>
      </c>
    </row>
    <row r="200" spans="1:40" x14ac:dyDescent="0.3">
      <c r="C200" s="43" t="s">
        <v>3156</v>
      </c>
      <c r="E200" s="43">
        <v>0</v>
      </c>
      <c r="F200" s="43">
        <v>2.25</v>
      </c>
      <c r="G200" s="203">
        <v>2.25</v>
      </c>
      <c r="L200" s="43"/>
      <c r="M200" s="43"/>
      <c r="N200" s="48"/>
      <c r="O200" s="48"/>
      <c r="P200" s="48"/>
      <c r="Q200" s="48"/>
      <c r="S200" s="43">
        <v>1</v>
      </c>
      <c r="T200" s="43">
        <v>0.5</v>
      </c>
      <c r="U200" s="53">
        <v>0.75</v>
      </c>
      <c r="V200" s="43"/>
      <c r="W200" s="43"/>
      <c r="X200" s="43"/>
      <c r="AF200" s="43" t="s">
        <v>3154</v>
      </c>
      <c r="AG200" s="43" t="s">
        <v>3154</v>
      </c>
      <c r="AI200" s="117">
        <v>16</v>
      </c>
      <c r="AJ200" s="117">
        <v>2026</v>
      </c>
      <c r="AK200" s="135" t="str">
        <f t="shared" si="3"/>
        <v>--E16718500-0-2,25-2,25------------1-0,5-0,75---------</v>
      </c>
      <c r="AL200" s="186">
        <f>VLOOKUP(AK200,Planilha1!B:C,2,0)</f>
        <v>155</v>
      </c>
      <c r="AM200" s="135" t="s">
        <v>3638</v>
      </c>
    </row>
    <row r="201" spans="1:40" x14ac:dyDescent="0.3">
      <c r="C201" s="43" t="s">
        <v>3164</v>
      </c>
      <c r="E201" s="43">
        <v>1.35</v>
      </c>
      <c r="F201" s="43">
        <v>1.9</v>
      </c>
      <c r="G201" s="202">
        <v>3.25</v>
      </c>
      <c r="L201" s="43">
        <v>0.35</v>
      </c>
      <c r="M201" s="43">
        <v>1</v>
      </c>
      <c r="S201" s="43">
        <v>0.35</v>
      </c>
      <c r="T201" s="43">
        <v>0.35</v>
      </c>
      <c r="U201" s="43">
        <v>0.5</v>
      </c>
      <c r="V201" s="43">
        <v>0.35</v>
      </c>
      <c r="W201" s="43">
        <v>0.35</v>
      </c>
      <c r="X201" s="43"/>
      <c r="AF201" s="43" t="s">
        <v>3154</v>
      </c>
      <c r="AG201" s="43" t="s">
        <v>3154</v>
      </c>
      <c r="AI201" s="117">
        <v>16</v>
      </c>
      <c r="AJ201" s="117">
        <v>2026</v>
      </c>
      <c r="AK201" s="135" t="str">
        <f t="shared" si="3"/>
        <v>--E16725300-1,35-1,9-3,25-----0,35-1------0,35-0,35-0,5-0,35-0,35-------</v>
      </c>
      <c r="AL201" s="186">
        <f>VLOOKUP(AK201,Planilha1!B:C,2,0)</f>
        <v>156</v>
      </c>
      <c r="AM201" s="135" t="s">
        <v>3638</v>
      </c>
    </row>
    <row r="202" spans="1:40" x14ac:dyDescent="0.3">
      <c r="C202" s="43" t="s">
        <v>3164</v>
      </c>
      <c r="E202" s="43">
        <v>1.35</v>
      </c>
      <c r="F202" s="43">
        <v>1.55</v>
      </c>
      <c r="G202" s="202">
        <v>2.9</v>
      </c>
      <c r="L202" s="43">
        <v>0.35</v>
      </c>
      <c r="M202" s="43">
        <v>1</v>
      </c>
      <c r="S202" s="43">
        <v>0.35</v>
      </c>
      <c r="T202" s="43">
        <v>0.35</v>
      </c>
      <c r="U202" s="43">
        <v>0.5</v>
      </c>
      <c r="V202" s="43">
        <v>0.35</v>
      </c>
      <c r="W202" s="43"/>
      <c r="X202" s="43"/>
      <c r="AF202" s="43" t="s">
        <v>3154</v>
      </c>
      <c r="AG202" s="43" t="s">
        <v>3154</v>
      </c>
      <c r="AI202" s="117">
        <v>16</v>
      </c>
      <c r="AJ202" s="117">
        <v>2026</v>
      </c>
      <c r="AK202" s="135" t="str">
        <f t="shared" si="3"/>
        <v>--E16725300-1,35-1,55-2,9-----0,35-1------0,35-0,35-0,5-0,35--------</v>
      </c>
      <c r="AL202" s="186">
        <f>VLOOKUP(AK202,Planilha1!B:C,2,0)</f>
        <v>157</v>
      </c>
      <c r="AM202" s="135" t="s">
        <v>3638</v>
      </c>
    </row>
    <row r="203" spans="1:40" x14ac:dyDescent="0.3">
      <c r="C203" s="43" t="s">
        <v>3166</v>
      </c>
      <c r="D203" s="48"/>
      <c r="E203" s="43">
        <v>2.5</v>
      </c>
      <c r="F203" s="43">
        <v>10</v>
      </c>
      <c r="G203" s="203">
        <v>12.5</v>
      </c>
      <c r="L203" s="43">
        <v>2.5</v>
      </c>
      <c r="M203" s="43"/>
      <c r="N203" s="48"/>
      <c r="O203" s="48"/>
      <c r="P203" s="48"/>
      <c r="Q203" s="48"/>
      <c r="R203" s="48"/>
      <c r="S203" s="43">
        <v>2.5</v>
      </c>
      <c r="T203" s="43">
        <v>2.5</v>
      </c>
      <c r="U203" s="43">
        <v>2.5</v>
      </c>
      <c r="V203" s="43">
        <v>2.5</v>
      </c>
      <c r="W203" s="43"/>
      <c r="X203" s="43"/>
      <c r="Y203" s="48"/>
      <c r="AF203" s="43" t="s">
        <v>3154</v>
      </c>
      <c r="AG203" s="43" t="s">
        <v>3154</v>
      </c>
      <c r="AI203" s="117">
        <v>16</v>
      </c>
      <c r="AJ203" s="117">
        <v>2026</v>
      </c>
      <c r="AK203" s="135" t="str">
        <f t="shared" si="3"/>
        <v>--E01120300-2,5-10-12,5-----2,5-------2,5-2,5-2,5-2,5--------</v>
      </c>
      <c r="AL203" s="186">
        <f>VLOOKUP(AK203,Planilha1!B:C,2,0)</f>
        <v>158</v>
      </c>
      <c r="AM203" s="135" t="s">
        <v>3638</v>
      </c>
    </row>
    <row r="204" spans="1:40" x14ac:dyDescent="0.3">
      <c r="C204" s="43" t="s">
        <v>3166</v>
      </c>
      <c r="D204" s="48"/>
      <c r="E204" s="43">
        <v>2.5</v>
      </c>
      <c r="F204" s="43">
        <v>12.5</v>
      </c>
      <c r="G204" s="203">
        <v>15</v>
      </c>
      <c r="L204" s="43">
        <v>2.5</v>
      </c>
      <c r="M204" s="43"/>
      <c r="N204" s="48"/>
      <c r="O204" s="48"/>
      <c r="P204" s="48"/>
      <c r="Q204" s="48"/>
      <c r="R204" s="48"/>
      <c r="S204" s="43">
        <v>2.5</v>
      </c>
      <c r="T204" s="43">
        <v>2.5</v>
      </c>
      <c r="U204" s="43">
        <v>2.5</v>
      </c>
      <c r="V204" s="43">
        <v>2.5</v>
      </c>
      <c r="W204" s="53">
        <v>2.5</v>
      </c>
      <c r="X204" s="43"/>
      <c r="Y204" s="48"/>
      <c r="AF204" s="43" t="s">
        <v>3154</v>
      </c>
      <c r="AG204" s="43" t="s">
        <v>3154</v>
      </c>
      <c r="AI204" s="117">
        <v>16</v>
      </c>
      <c r="AJ204" s="117">
        <v>2026</v>
      </c>
      <c r="AK204" s="135" t="str">
        <f t="shared" si="3"/>
        <v>--E01120300-2,5-12,5-15-----2,5-------2,5-2,5-2,5-2,5-2,5-------</v>
      </c>
      <c r="AL204" s="186">
        <f>VLOOKUP(AK204,Planilha1!B:C,2,0)</f>
        <v>159</v>
      </c>
      <c r="AM204" s="135" t="s">
        <v>3638</v>
      </c>
    </row>
    <row r="205" spans="1:40" x14ac:dyDescent="0.3">
      <c r="C205" s="43" t="s">
        <v>3164</v>
      </c>
      <c r="E205" s="43">
        <v>1.1000000000000001</v>
      </c>
      <c r="F205" s="43">
        <v>1.55</v>
      </c>
      <c r="G205" s="202">
        <v>2.65</v>
      </c>
      <c r="L205" s="43">
        <v>0.35</v>
      </c>
      <c r="M205" s="53">
        <v>0.75</v>
      </c>
      <c r="S205" s="43">
        <v>0.35</v>
      </c>
      <c r="T205" s="43">
        <v>0.35</v>
      </c>
      <c r="U205" s="53">
        <v>0.5</v>
      </c>
      <c r="V205" s="43">
        <v>0.35</v>
      </c>
      <c r="W205" s="43"/>
      <c r="X205" s="43"/>
      <c r="AF205" s="43" t="s">
        <v>3154</v>
      </c>
      <c r="AG205" s="43" t="s">
        <v>3154</v>
      </c>
      <c r="AI205" s="117">
        <v>16</v>
      </c>
      <c r="AJ205" s="117">
        <v>2026</v>
      </c>
      <c r="AK205" s="135" t="str">
        <f t="shared" si="3"/>
        <v>--E16725300-1,1-1,55-2,65-----0,35-0,75------0,35-0,35-0,5-0,35--------</v>
      </c>
      <c r="AL205" s="186">
        <f>VLOOKUP(AK205,Planilha1!B:C,2,0)</f>
        <v>160</v>
      </c>
      <c r="AM205" s="135" t="s">
        <v>3638</v>
      </c>
    </row>
    <row r="206" spans="1:40" x14ac:dyDescent="0.3">
      <c r="C206" s="43" t="s">
        <v>3164</v>
      </c>
      <c r="E206" s="43">
        <v>1.1000000000000001</v>
      </c>
      <c r="F206" s="43">
        <v>1.2</v>
      </c>
      <c r="G206" s="202">
        <v>2.2999999999999998</v>
      </c>
      <c r="L206" s="43">
        <v>0.35</v>
      </c>
      <c r="M206" s="53">
        <v>0.75</v>
      </c>
      <c r="N206" s="48"/>
      <c r="O206" s="48"/>
      <c r="P206" s="48"/>
      <c r="S206" s="43">
        <v>0.35</v>
      </c>
      <c r="T206" s="53">
        <v>0.5</v>
      </c>
      <c r="U206" s="43">
        <v>0.35</v>
      </c>
      <c r="V206" s="43"/>
      <c r="W206" s="43"/>
      <c r="X206" s="43"/>
      <c r="Z206" s="48"/>
      <c r="AF206" s="43" t="s">
        <v>3154</v>
      </c>
      <c r="AG206" s="43" t="s">
        <v>3154</v>
      </c>
      <c r="AI206" s="117">
        <v>16</v>
      </c>
      <c r="AJ206" s="117">
        <v>2026</v>
      </c>
      <c r="AK206" s="135" t="str">
        <f t="shared" si="3"/>
        <v>--E16725300-1,1-1,2-2,3-----0,35-0,75------0,35-0,5-0,35---------</v>
      </c>
      <c r="AL206" s="186">
        <f>VLOOKUP(AK206,Planilha1!B:C,2,0)</f>
        <v>161</v>
      </c>
      <c r="AM206" s="135" t="s">
        <v>3638</v>
      </c>
    </row>
    <row r="207" spans="1:40" x14ac:dyDescent="0.3">
      <c r="A207" s="236"/>
      <c r="C207" s="43" t="s">
        <v>3156</v>
      </c>
      <c r="E207" s="51">
        <v>0.7</v>
      </c>
      <c r="F207" s="51">
        <v>0</v>
      </c>
      <c r="G207" s="203">
        <v>0.7</v>
      </c>
      <c r="H207" s="234"/>
      <c r="I207" s="234"/>
      <c r="J207" s="234"/>
      <c r="K207" s="234"/>
      <c r="L207" s="51">
        <v>0.35</v>
      </c>
      <c r="M207" s="51">
        <v>0.35</v>
      </c>
      <c r="N207" s="48"/>
      <c r="O207" s="48"/>
      <c r="P207" s="48"/>
      <c r="Q207" s="48"/>
      <c r="S207" s="51"/>
      <c r="T207" s="51"/>
      <c r="U207" s="51"/>
      <c r="V207" s="51"/>
      <c r="W207" s="51"/>
      <c r="X207" s="51"/>
      <c r="AE207" s="234"/>
      <c r="AF207" s="43" t="s">
        <v>3154</v>
      </c>
      <c r="AG207" s="43" t="s">
        <v>3154</v>
      </c>
      <c r="AI207" s="117">
        <v>16</v>
      </c>
      <c r="AJ207" s="117">
        <v>2026</v>
      </c>
      <c r="AK207" s="135" t="str">
        <f t="shared" si="3"/>
        <v>--E16718500-0,7-0-0,7-----0,35-0,35-----------------</v>
      </c>
      <c r="AL207" s="186">
        <f>VLOOKUP(AK207,Planilha1!B:C,2,0)</f>
        <v>162</v>
      </c>
      <c r="AM207" s="135" t="s">
        <v>3638</v>
      </c>
    </row>
    <row r="208" spans="1:40" x14ac:dyDescent="0.3">
      <c r="A208" s="236"/>
      <c r="B208" s="48"/>
      <c r="C208" s="43" t="s">
        <v>3156</v>
      </c>
      <c r="E208" s="51">
        <v>0.35</v>
      </c>
      <c r="F208" s="51">
        <v>0</v>
      </c>
      <c r="G208" s="203">
        <v>0.35</v>
      </c>
      <c r="H208" s="234"/>
      <c r="I208" s="234"/>
      <c r="J208" s="234"/>
      <c r="K208" s="234"/>
      <c r="L208" s="51">
        <v>0.35</v>
      </c>
      <c r="M208" s="51"/>
      <c r="S208" s="51"/>
      <c r="T208" s="51"/>
      <c r="U208" s="51"/>
      <c r="V208" s="51"/>
      <c r="W208" s="51"/>
      <c r="X208" s="51"/>
      <c r="AE208" s="234"/>
      <c r="AF208" s="43" t="s">
        <v>3154</v>
      </c>
      <c r="AG208" s="43" t="s">
        <v>3154</v>
      </c>
      <c r="AI208" s="117">
        <v>16</v>
      </c>
      <c r="AJ208" s="117">
        <v>2026</v>
      </c>
      <c r="AK208" s="135" t="str">
        <f t="shared" si="3"/>
        <v>--E16718500-0,35-0-0,35-----0,35------------------</v>
      </c>
      <c r="AL208" s="186">
        <f>VLOOKUP(AK208,Planilha1!B:C,2,0)</f>
        <v>163</v>
      </c>
      <c r="AM208" s="135" t="s">
        <v>3638</v>
      </c>
    </row>
    <row r="209" spans="1:39" x14ac:dyDescent="0.3">
      <c r="A209" s="113" t="s">
        <v>1510</v>
      </c>
      <c r="C209" s="51"/>
      <c r="D209" s="48"/>
      <c r="E209" s="48"/>
      <c r="F209" s="48"/>
      <c r="G209" s="203">
        <f>SUM(H209:L209)</f>
        <v>0.7</v>
      </c>
      <c r="H209" s="43">
        <v>0.35</v>
      </c>
      <c r="I209" s="43">
        <v>0.35</v>
      </c>
      <c r="J209" s="234"/>
      <c r="K209" s="234"/>
      <c r="AH209" s="43" t="s">
        <v>3154</v>
      </c>
      <c r="AI209" s="117">
        <v>8</v>
      </c>
      <c r="AJ209" s="117">
        <v>2026</v>
      </c>
      <c r="AK209" s="135" t="str">
        <f t="shared" si="3"/>
        <v>32025Y3B8-----0,7-0,35-0,35---------------------</v>
      </c>
      <c r="AL209" s="186">
        <f>VLOOKUP(AK209,Planilha1!B:C,2,0)</f>
        <v>164</v>
      </c>
      <c r="AM209" s="135" t="s">
        <v>3638</v>
      </c>
    </row>
    <row r="210" spans="1:39" x14ac:dyDescent="0.3">
      <c r="A210" s="113" t="s">
        <v>3179</v>
      </c>
      <c r="C210" s="51"/>
      <c r="D210" s="48"/>
      <c r="E210" s="48"/>
      <c r="F210" s="48"/>
      <c r="G210" s="203">
        <f>SUM(H210:L210)</f>
        <v>0.7</v>
      </c>
      <c r="H210">
        <v>0.35</v>
      </c>
      <c r="I210">
        <v>0.35</v>
      </c>
      <c r="AH210" s="43" t="s">
        <v>3154</v>
      </c>
      <c r="AI210" s="117">
        <v>8</v>
      </c>
      <c r="AJ210" s="117">
        <v>2026</v>
      </c>
      <c r="AK210" s="135" t="str">
        <f t="shared" si="3"/>
        <v>3202585H5-----0,7-0,35-0,35---------------------</v>
      </c>
      <c r="AL210" s="186">
        <f>VLOOKUP(AK210,Planilha1!B:C,2,0)</f>
        <v>165</v>
      </c>
      <c r="AM210" s="135" t="s">
        <v>3638</v>
      </c>
    </row>
    <row r="211" spans="1:39" x14ac:dyDescent="0.3">
      <c r="A211" s="113" t="s">
        <v>3179</v>
      </c>
      <c r="D211" s="113" t="s">
        <v>3186</v>
      </c>
      <c r="G211" s="203">
        <v>0.35</v>
      </c>
      <c r="AH211" s="239" t="s">
        <v>3154</v>
      </c>
      <c r="AI211" s="117">
        <v>8</v>
      </c>
      <c r="AJ211" s="117">
        <v>2026</v>
      </c>
      <c r="AK211" s="135" t="str">
        <f t="shared" ref="AK211:AK232" si="4">CONCATENATE(A211,"-",B211,"-",C211,"-",E211,"-",F211,"-",G211,"-",H211,"-",I211,"-",J211,"-",K211,"-",L211,"-",M211,"-",N211,"-",O211,"-",P211,"-",Q211,"-",R211,"-",S211,"-",T211,"-",U211,"-",V211,"-",W211,"-",X211,"-",Y211,"-",Z211,"-",AA211,"-",AB211,"-",AC211,"-",AD211)</f>
        <v>3202585H5-----0,35-----------------------</v>
      </c>
      <c r="AL211" s="186">
        <f>VLOOKUP(AK211,Planilha1!B:C,2,0)</f>
        <v>53</v>
      </c>
      <c r="AM211" s="135" t="s">
        <v>3638</v>
      </c>
    </row>
    <row r="212" spans="1:39" x14ac:dyDescent="0.3">
      <c r="A212" s="113" t="s">
        <v>3179</v>
      </c>
      <c r="D212" s="113" t="s">
        <v>3805</v>
      </c>
      <c r="G212" s="203">
        <v>0.5</v>
      </c>
      <c r="AH212" s="239" t="s">
        <v>3154</v>
      </c>
      <c r="AI212" s="117">
        <v>8</v>
      </c>
      <c r="AJ212" s="117">
        <v>2026</v>
      </c>
      <c r="AK212" s="135" t="str">
        <f t="shared" si="4"/>
        <v>3202585H5-----0,5-----------------------</v>
      </c>
      <c r="AL212" s="186" t="e">
        <f>VLOOKUP(AK212,Planilha1!B:C,2,0)</f>
        <v>#N/A</v>
      </c>
      <c r="AM212" s="135" t="s">
        <v>3638</v>
      </c>
    </row>
    <row r="213" spans="1:39" x14ac:dyDescent="0.3">
      <c r="A213" s="254" t="s">
        <v>3179</v>
      </c>
      <c r="D213" s="113" t="s">
        <v>3808</v>
      </c>
      <c r="G213" s="203">
        <v>0.35</v>
      </c>
      <c r="AH213" s="239" t="s">
        <v>3154</v>
      </c>
      <c r="AI213" s="117">
        <v>8</v>
      </c>
      <c r="AJ213" s="117">
        <v>2026</v>
      </c>
      <c r="AK213" s="135" t="str">
        <f t="shared" si="4"/>
        <v>3202585H5-----0,35-----------------------</v>
      </c>
      <c r="AL213" s="186">
        <f>VLOOKUP(AK213,Planilha1!B:C,2,0)</f>
        <v>53</v>
      </c>
      <c r="AM213" s="135" t="s">
        <v>3638</v>
      </c>
    </row>
    <row r="214" spans="1:39" x14ac:dyDescent="0.3">
      <c r="A214" s="254" t="s">
        <v>3217</v>
      </c>
      <c r="D214" s="113" t="s">
        <v>3809</v>
      </c>
      <c r="G214" s="203">
        <v>0.35</v>
      </c>
      <c r="AH214" s="239" t="s">
        <v>3154</v>
      </c>
      <c r="AI214" s="117">
        <v>8</v>
      </c>
      <c r="AJ214" s="117">
        <v>2026</v>
      </c>
      <c r="AK214" s="135" t="e">
        <f>CONCATENATE(#REF!,"-",B214,"-",C214,"-",E214,"-",F214,"-",G214,"-",H214,"-",I214,"-",J214,"-",K214,"-",L214,"-",M214,"-",N214,"-",O214,"-",P214,"-",Q214,"-",R214,"-",S214,"-",T214,"-",U214,"-",V214,"-",W214,"-",X214,"-",Y214,"-",Z214,"-",AA214,"-",AB214,"-",AC214,"-",AD214)</f>
        <v>#REF!</v>
      </c>
      <c r="AL214" s="186" t="e">
        <f>VLOOKUP(AK214,Planilha1!B:C,2,0)</f>
        <v>#REF!</v>
      </c>
      <c r="AM214" s="135" t="s">
        <v>3638</v>
      </c>
    </row>
    <row r="215" spans="1:39" x14ac:dyDescent="0.3">
      <c r="A215" s="254" t="s">
        <v>3230</v>
      </c>
      <c r="D215" s="113" t="s">
        <v>3810</v>
      </c>
      <c r="G215" s="203">
        <v>0.5</v>
      </c>
      <c r="AH215" s="239" t="s">
        <v>3154</v>
      </c>
      <c r="AI215" s="117">
        <v>8</v>
      </c>
      <c r="AJ215" s="117">
        <v>2026</v>
      </c>
      <c r="AK215" s="135" t="str">
        <f>CONCATENATE(A214,"-",B215,"-",C215,"-",E215,"-",F215,"-",G215,"-",H215,"-",I215,"-",J215,"-",K215,"-",L215,"-",M215,"-",N215,"-",O215,"-",P215,"-",Q215,"-",R215,"-",S215,"-",T215,"-",U215,"-",V215,"-",W215,"-",X215,"-",Y215,"-",Z215,"-",AA215,"-",AB215,"-",AC215,"-",AD215)</f>
        <v>32025Y19G-----0,5-----------------------</v>
      </c>
      <c r="AL215" s="186" t="e">
        <f>VLOOKUP(AK215,Planilha1!B:C,2,0)</f>
        <v>#N/A</v>
      </c>
      <c r="AM215" s="135" t="s">
        <v>3638</v>
      </c>
    </row>
    <row r="216" spans="1:39" x14ac:dyDescent="0.3">
      <c r="A216" s="254" t="s">
        <v>1510</v>
      </c>
      <c r="D216" s="113" t="s">
        <v>3811</v>
      </c>
      <c r="G216" s="203">
        <v>0.35</v>
      </c>
      <c r="AH216" s="239" t="s">
        <v>3154</v>
      </c>
      <c r="AI216" s="117">
        <v>8</v>
      </c>
      <c r="AJ216" s="117">
        <v>2026</v>
      </c>
      <c r="AK216" s="135" t="e">
        <f>CONCATENATE(#REF!,"-",B216,"-",C216,"-",E216,"-",F216,"-",G216,"-",H216,"-",I216,"-",J216,"-",K216,"-",L216,"-",M216,"-",N216,"-",O216,"-",P216,"-",Q216,"-",R216,"-",S216,"-",T216,"-",U216,"-",V216,"-",W216,"-",X216,"-",Y216,"-",Z216,"-",AA216,"-",AB216,"-",AC216,"-",AD216)</f>
        <v>#REF!</v>
      </c>
      <c r="AL216" s="186" t="e">
        <f>VLOOKUP(AK216,Planilha1!B:C,2,0)</f>
        <v>#REF!</v>
      </c>
      <c r="AM216" s="135" t="s">
        <v>3638</v>
      </c>
    </row>
    <row r="217" spans="1:39" x14ac:dyDescent="0.3">
      <c r="A217" s="254">
        <v>320298243</v>
      </c>
      <c r="D217" s="113" t="s">
        <v>3812</v>
      </c>
      <c r="G217" s="203">
        <v>0.5</v>
      </c>
      <c r="AH217" s="239" t="s">
        <v>3154</v>
      </c>
      <c r="AI217" s="117">
        <v>8</v>
      </c>
      <c r="AJ217" s="117">
        <v>2026</v>
      </c>
      <c r="AK217" s="135" t="str">
        <f t="shared" ref="AK217:AK222" si="5">CONCATENATE(A215,"-",B217,"-",C217,"-",E217,"-",F217,"-",G217,"-",H217,"-",I217,"-",J217,"-",K217,"-",L217,"-",M217,"-",N217,"-",O217,"-",P217,"-",Q217,"-",R217,"-",S217,"-",T217,"-",U217,"-",V217,"-",W217,"-",X217,"-",Y217,"-",Z217,"-",AA217,"-",AB217,"-",AC217,"-",AD217)</f>
        <v>32025Y36A-----0,5-----------------------</v>
      </c>
      <c r="AL217" s="186" t="e">
        <f>VLOOKUP(AK217,Planilha1!B:C,2,0)</f>
        <v>#N/A</v>
      </c>
      <c r="AM217" s="135" t="s">
        <v>3638</v>
      </c>
    </row>
    <row r="218" spans="1:39" x14ac:dyDescent="0.3">
      <c r="A218" s="254" t="s">
        <v>3817</v>
      </c>
      <c r="D218" s="113" t="s">
        <v>3813</v>
      </c>
      <c r="G218" s="203">
        <v>0.35</v>
      </c>
      <c r="AH218" s="239" t="s">
        <v>3154</v>
      </c>
      <c r="AI218" s="117">
        <v>8</v>
      </c>
      <c r="AJ218" s="117">
        <v>2026</v>
      </c>
      <c r="AK218" s="135" t="str">
        <f t="shared" si="5"/>
        <v>32025Y3B8-----0,35-----------------------</v>
      </c>
      <c r="AL218" s="186" t="e">
        <f>VLOOKUP(AK218,Planilha1!B:C,2,0)</f>
        <v>#N/A</v>
      </c>
      <c r="AM218" s="135" t="s">
        <v>3638</v>
      </c>
    </row>
    <row r="219" spans="1:39" x14ac:dyDescent="0.3">
      <c r="A219" s="254" t="s">
        <v>3215</v>
      </c>
      <c r="D219" s="113" t="s">
        <v>3814</v>
      </c>
      <c r="G219" s="203">
        <v>2.5</v>
      </c>
      <c r="AH219" s="239" t="s">
        <v>3154</v>
      </c>
      <c r="AI219" s="117">
        <v>8</v>
      </c>
      <c r="AJ219" s="117">
        <v>2026</v>
      </c>
      <c r="AK219" s="135" t="str">
        <f t="shared" si="5"/>
        <v>320298243-----2,5-----------------------</v>
      </c>
      <c r="AL219" s="186" t="e">
        <f>VLOOKUP(AK219,Planilha1!B:C,2,0)</f>
        <v>#N/A</v>
      </c>
      <c r="AM219" s="135" t="s">
        <v>3638</v>
      </c>
    </row>
    <row r="220" spans="1:39" x14ac:dyDescent="0.3">
      <c r="A220" s="254" t="s">
        <v>3182</v>
      </c>
      <c r="D220" s="113" t="s">
        <v>3190</v>
      </c>
      <c r="G220" s="203">
        <v>0.5</v>
      </c>
      <c r="AH220" s="239" t="s">
        <v>3154</v>
      </c>
      <c r="AI220" s="117">
        <v>8</v>
      </c>
      <c r="AJ220" s="117">
        <v>2026</v>
      </c>
      <c r="AK220" s="135" t="str">
        <f t="shared" si="5"/>
        <v>E00031625-----0,5-----------------------</v>
      </c>
      <c r="AL220" s="186" t="e">
        <f>VLOOKUP(AK220,Planilha1!B:C,2,0)</f>
        <v>#N/A</v>
      </c>
      <c r="AM220" s="135" t="s">
        <v>3638</v>
      </c>
    </row>
    <row r="221" spans="1:39" x14ac:dyDescent="0.3">
      <c r="A221" s="254" t="s">
        <v>3181</v>
      </c>
      <c r="D221" s="113" t="s">
        <v>3815</v>
      </c>
      <c r="G221" s="203">
        <v>0.5</v>
      </c>
      <c r="AH221" s="239" t="s">
        <v>3154</v>
      </c>
      <c r="AI221" s="117">
        <v>8</v>
      </c>
      <c r="AJ221" s="117">
        <v>2026</v>
      </c>
      <c r="AK221" s="135" t="str">
        <f t="shared" si="5"/>
        <v>E01080600-----0,5-----------------------</v>
      </c>
      <c r="AL221" s="186" t="e">
        <f>VLOOKUP(AK221,Planilha1!B:C,2,0)</f>
        <v>#N/A</v>
      </c>
      <c r="AM221" s="135" t="s">
        <v>3638</v>
      </c>
    </row>
    <row r="222" spans="1:39" x14ac:dyDescent="0.3">
      <c r="A222" s="254" t="s">
        <v>3216</v>
      </c>
      <c r="D222" s="113" t="s">
        <v>3816</v>
      </c>
      <c r="G222" s="203">
        <v>0.35</v>
      </c>
      <c r="AH222" s="239" t="s">
        <v>3154</v>
      </c>
      <c r="AI222" s="117">
        <v>8</v>
      </c>
      <c r="AJ222" s="117">
        <v>2026</v>
      </c>
      <c r="AK222" s="135" t="str">
        <f t="shared" si="5"/>
        <v>E02719100-----0,35-----------------------</v>
      </c>
      <c r="AL222" s="186">
        <f>VLOOKUP(AK222,Planilha1!B:C,2,0)</f>
        <v>90</v>
      </c>
      <c r="AM222" s="135" t="s">
        <v>3638</v>
      </c>
    </row>
    <row r="223" spans="1:39" x14ac:dyDescent="0.3">
      <c r="C223" s="239" t="s">
        <v>3164</v>
      </c>
      <c r="E223" s="113" t="s">
        <v>3637</v>
      </c>
      <c r="F223" s="203">
        <v>6</v>
      </c>
      <c r="G223" s="203">
        <v>6</v>
      </c>
      <c r="S223" s="115">
        <v>1</v>
      </c>
      <c r="T223" s="115">
        <v>1</v>
      </c>
      <c r="U223" s="115">
        <v>1</v>
      </c>
      <c r="V223" s="115">
        <v>1</v>
      </c>
      <c r="W223" s="115">
        <v>1</v>
      </c>
      <c r="X223" s="115">
        <v>1</v>
      </c>
      <c r="AF223" s="47" t="s">
        <v>3154</v>
      </c>
      <c r="AG223" s="47" t="s">
        <v>3154</v>
      </c>
      <c r="AH223" s="47"/>
      <c r="AI223" s="117">
        <v>16</v>
      </c>
      <c r="AJ223" s="117">
        <v>2026</v>
      </c>
      <c r="AK223" s="135" t="str">
        <f t="shared" si="4"/>
        <v>--E16725300-0.000-6-6------------1-1-1-1-1-1------</v>
      </c>
      <c r="AL223" s="186" t="e">
        <f>VLOOKUP(AK223,Planilha1!B:C,2,0)</f>
        <v>#N/A</v>
      </c>
      <c r="AM223" s="135" t="s">
        <v>3818</v>
      </c>
    </row>
    <row r="224" spans="1:39" x14ac:dyDescent="0.3">
      <c r="A224" s="196" t="s">
        <v>3806</v>
      </c>
      <c r="D224" s="113" t="s">
        <v>3807</v>
      </c>
      <c r="F224" s="203"/>
      <c r="G224" s="203">
        <v>0.5</v>
      </c>
      <c r="AF224" s="47"/>
      <c r="AG224" s="47"/>
      <c r="AH224" s="47" t="s">
        <v>3154</v>
      </c>
      <c r="AI224" s="117">
        <v>8</v>
      </c>
      <c r="AJ224" s="117">
        <v>2026</v>
      </c>
      <c r="AK224" s="135" t="str">
        <f t="shared" si="4"/>
        <v>E21557000-----0,5-----------------------</v>
      </c>
      <c r="AL224" s="186" t="e">
        <f>VLOOKUP(AK224,Planilha1!B:C,2,0)</f>
        <v>#N/A</v>
      </c>
      <c r="AM224" s="135" t="s">
        <v>3818</v>
      </c>
    </row>
    <row r="225" spans="1:40" x14ac:dyDescent="0.3">
      <c r="C225" s="239" t="s">
        <v>3168</v>
      </c>
      <c r="E225" s="203">
        <v>1</v>
      </c>
      <c r="F225" s="203">
        <v>0.5</v>
      </c>
      <c r="G225" s="203">
        <v>1.5</v>
      </c>
      <c r="L225">
        <v>0.5</v>
      </c>
      <c r="M225">
        <v>0.5</v>
      </c>
      <c r="S225">
        <v>0.5</v>
      </c>
      <c r="AG225" t="s">
        <v>3154</v>
      </c>
      <c r="AH225" s="239" t="s">
        <v>3154</v>
      </c>
      <c r="AI225" s="117">
        <v>8</v>
      </c>
      <c r="AJ225" s="117">
        <v>2026</v>
      </c>
      <c r="AK225" s="135" t="str">
        <f t="shared" si="4"/>
        <v>--E02000700-1-0,5-1,5-----0,5-0,5------0,5-----------</v>
      </c>
      <c r="AL225" s="186">
        <f>VLOOKUP(AK225,Planilha1!B:C,2,0)</f>
        <v>29</v>
      </c>
      <c r="AM225" s="135" t="s">
        <v>2666</v>
      </c>
    </row>
    <row r="226" spans="1:40" x14ac:dyDescent="0.3">
      <c r="A226" s="196" t="s">
        <v>3819</v>
      </c>
      <c r="G226" s="203">
        <v>0.35</v>
      </c>
      <c r="AH226" s="257" t="s">
        <v>3154</v>
      </c>
      <c r="AI226" s="117">
        <v>8</v>
      </c>
      <c r="AJ226" s="117">
        <v>2026</v>
      </c>
      <c r="AK226" s="135" t="str">
        <f t="shared" si="4"/>
        <v>E15395600 -----0,35-----------------------</v>
      </c>
      <c r="AL226" s="186" t="e">
        <f>VLOOKUP(AK226,Planilha1!B:C,2,0)</f>
        <v>#N/A</v>
      </c>
      <c r="AM226" s="135" t="s">
        <v>3447</v>
      </c>
    </row>
    <row r="227" spans="1:40" x14ac:dyDescent="0.3">
      <c r="C227" s="113" t="s">
        <v>3156</v>
      </c>
      <c r="E227" s="113">
        <v>1.05</v>
      </c>
      <c r="F227" s="114">
        <v>1.55</v>
      </c>
      <c r="G227" s="203">
        <v>2.6</v>
      </c>
      <c r="L227">
        <v>0.35</v>
      </c>
      <c r="M227">
        <v>0.35</v>
      </c>
      <c r="N227">
        <v>0.35</v>
      </c>
      <c r="S227">
        <v>0.5</v>
      </c>
      <c r="T227">
        <v>0.35</v>
      </c>
      <c r="U227">
        <v>0.35</v>
      </c>
      <c r="V227">
        <v>0.35</v>
      </c>
      <c r="AG227" t="s">
        <v>3154</v>
      </c>
      <c r="AH227" s="257" t="s">
        <v>3154</v>
      </c>
      <c r="AI227" s="117">
        <v>16</v>
      </c>
      <c r="AJ227" s="117">
        <v>2026</v>
      </c>
      <c r="AK227" s="135" t="str">
        <f t="shared" si="4"/>
        <v>--E16718500-1,05-1,55-2,6-----0,35-0,35-0,35-----0,5-0,35-0,35-0,35--------</v>
      </c>
      <c r="AL227" s="186" t="e">
        <f>VLOOKUP(AK227,Planilha1!B:C,2,0)</f>
        <v>#N/A</v>
      </c>
      <c r="AM227" s="135" t="s">
        <v>3447</v>
      </c>
    </row>
    <row r="228" spans="1:40" x14ac:dyDescent="0.3">
      <c r="A228" s="113" t="s">
        <v>3302</v>
      </c>
      <c r="G228" s="203">
        <v>1</v>
      </c>
      <c r="H228">
        <v>0.5</v>
      </c>
      <c r="I228">
        <v>0.5</v>
      </c>
      <c r="AH228" s="257" t="s">
        <v>3154</v>
      </c>
      <c r="AI228" s="117">
        <v>8</v>
      </c>
      <c r="AJ228" s="117">
        <v>2026</v>
      </c>
      <c r="AK228" s="135" t="str">
        <f t="shared" si="4"/>
        <v>E10146200-----1-0,5-0,5---------------------</v>
      </c>
      <c r="AL228" s="186" t="e">
        <f>VLOOKUP(AK228,Planilha1!B:C,2,0)</f>
        <v>#N/A</v>
      </c>
      <c r="AM228" s="135" t="s">
        <v>3820</v>
      </c>
      <c r="AN228" t="s">
        <v>3821</v>
      </c>
    </row>
    <row r="229" spans="1:40" x14ac:dyDescent="0.3">
      <c r="A229" s="258" t="s">
        <v>3216</v>
      </c>
      <c r="D229" s="113" t="s">
        <v>3816</v>
      </c>
      <c r="AK229" s="135" t="str">
        <f t="shared" si="4"/>
        <v>E05869700----------------------------</v>
      </c>
      <c r="AL229" s="186" t="e">
        <f>VLOOKUP(AK229,Planilha1!B:C,2,0)</f>
        <v>#N/A</v>
      </c>
    </row>
    <row r="230" spans="1:40" x14ac:dyDescent="0.3">
      <c r="C230" s="113" t="s">
        <v>3164</v>
      </c>
      <c r="E230" s="113">
        <v>3</v>
      </c>
      <c r="F230" s="114">
        <v>2.5</v>
      </c>
      <c r="G230" s="259">
        <v>5.5</v>
      </c>
      <c r="L230" s="260">
        <v>2.5</v>
      </c>
      <c r="M230" s="260">
        <v>0.5</v>
      </c>
      <c r="N230" s="260"/>
      <c r="O230" s="260"/>
      <c r="P230" s="260"/>
      <c r="Q230" s="260"/>
      <c r="R230" s="260"/>
      <c r="S230" s="260">
        <v>2.5</v>
      </c>
      <c r="T230" s="260"/>
      <c r="U230" s="260"/>
      <c r="V230" s="260"/>
      <c r="AF230" t="s">
        <v>3154</v>
      </c>
      <c r="AG230" t="s">
        <v>3154</v>
      </c>
      <c r="AI230" s="117">
        <v>16</v>
      </c>
      <c r="AJ230" s="117">
        <v>2026</v>
      </c>
      <c r="AK230" s="135" t="str">
        <f t="shared" si="4"/>
        <v>--E16725300-3-2,5-5,5-----2,5-0,5------2,5-----------</v>
      </c>
      <c r="AL230" s="186" t="e">
        <f>VLOOKUP(AK230,Planilha1!B:C,2,0)</f>
        <v>#N/A</v>
      </c>
      <c r="AM230" s="261" t="s">
        <v>3854</v>
      </c>
    </row>
    <row r="231" spans="1:40" x14ac:dyDescent="0.3">
      <c r="C231" s="113" t="s">
        <v>3164</v>
      </c>
      <c r="E231" s="113">
        <v>0</v>
      </c>
      <c r="F231" s="114">
        <v>5.5</v>
      </c>
      <c r="G231" s="259">
        <v>5.5</v>
      </c>
      <c r="L231" s="260"/>
      <c r="M231" s="260"/>
      <c r="N231" s="260"/>
      <c r="O231" s="260"/>
      <c r="P231" s="260"/>
      <c r="Q231" s="260"/>
      <c r="R231" s="260"/>
      <c r="S231" s="260">
        <v>2.5</v>
      </c>
      <c r="T231" s="260">
        <v>2.5</v>
      </c>
      <c r="U231" s="260">
        <v>0.5</v>
      </c>
      <c r="V231" s="260"/>
      <c r="AF231" t="s">
        <v>3154</v>
      </c>
      <c r="AG231" t="s">
        <v>3154</v>
      </c>
      <c r="AI231" s="117">
        <v>16</v>
      </c>
      <c r="AJ231" s="117">
        <v>2026</v>
      </c>
      <c r="AK231" s="135" t="str">
        <f t="shared" si="4"/>
        <v>--E16725300-0-5,5-5,5------------2,5-2,5-0,5---------</v>
      </c>
      <c r="AL231" s="186" t="e">
        <f>VLOOKUP(AK231,Planilha1!B:C,2,0)</f>
        <v>#N/A</v>
      </c>
      <c r="AM231" s="261" t="s">
        <v>3854</v>
      </c>
    </row>
    <row r="232" spans="1:40" x14ac:dyDescent="0.3">
      <c r="C232" s="113" t="s">
        <v>3164</v>
      </c>
      <c r="E232" s="113">
        <v>0.5</v>
      </c>
      <c r="F232" s="114">
        <v>5.5</v>
      </c>
      <c r="G232" s="259">
        <v>6</v>
      </c>
      <c r="L232" s="260">
        <v>0.5</v>
      </c>
      <c r="M232" s="260"/>
      <c r="N232" s="260"/>
      <c r="O232" s="260"/>
      <c r="P232" s="260"/>
      <c r="Q232" s="260"/>
      <c r="R232" s="260"/>
      <c r="S232" s="260">
        <v>2.5</v>
      </c>
      <c r="T232" s="260">
        <v>2.5</v>
      </c>
      <c r="U232" s="260">
        <v>0.5</v>
      </c>
      <c r="V232" s="260"/>
      <c r="AF232" t="s">
        <v>3154</v>
      </c>
      <c r="AG232" t="s">
        <v>3154</v>
      </c>
      <c r="AI232" s="117">
        <v>16</v>
      </c>
      <c r="AJ232" s="117">
        <v>2026</v>
      </c>
      <c r="AK232" s="135" t="str">
        <f t="shared" si="4"/>
        <v>--E16725300-0,5-5,5-6-----0,5-------2,5-2,5-0,5---------</v>
      </c>
      <c r="AL232" s="186" t="e">
        <f>VLOOKUP(AK232,Planilha1!B:C,2,0)</f>
        <v>#N/A</v>
      </c>
      <c r="AM232" s="261" t="s">
        <v>3854</v>
      </c>
    </row>
  </sheetData>
  <autoFilter ref="A1:AN232" xr:uid="{DC41FDF1-9641-450E-B926-FE76BCB629E0}"/>
  <sortState xmlns:xlrd2="http://schemas.microsoft.com/office/spreadsheetml/2017/richdata2" ref="A2:AN210">
    <sortCondition ref="AL2:AL210"/>
  </sortState>
  <conditionalFormatting sqref="AK2:AK232">
    <cfRule type="duplicateValues" dxfId="3" priority="4"/>
  </conditionalFormatting>
  <conditionalFormatting sqref="AL1:AL1048576">
    <cfRule type="duplicateValues" dxfId="2" priority="3"/>
  </conditionalFormatting>
  <pageMargins left="0.511811024" right="0.511811024" top="0.78740157499999996" bottom="0.78740157499999996" header="0.31496062000000002" footer="0.31496062000000002"/>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8BE2-BF99-4D6F-99A3-6616996BCE6F}">
  <sheetPr codeName="Planilha7"/>
  <dimension ref="B1:O166"/>
  <sheetViews>
    <sheetView workbookViewId="0">
      <selection activeCell="H7" sqref="H7"/>
    </sheetView>
  </sheetViews>
  <sheetFormatPr defaultRowHeight="14.4" x14ac:dyDescent="0.3"/>
  <cols>
    <col min="2" max="2" width="64.21875" bestFit="1" customWidth="1"/>
    <col min="3" max="3" width="4" bestFit="1" customWidth="1"/>
    <col min="14" max="14" width="66.21875" bestFit="1" customWidth="1"/>
  </cols>
  <sheetData>
    <row r="1" spans="2:15" x14ac:dyDescent="0.3">
      <c r="B1" t="s">
        <v>3804</v>
      </c>
      <c r="C1" t="s">
        <v>3356</v>
      </c>
    </row>
    <row r="2" spans="2:15" x14ac:dyDescent="0.3">
      <c r="B2" s="135" t="s">
        <v>3639</v>
      </c>
      <c r="C2">
        <v>1</v>
      </c>
      <c r="N2" s="135" t="s">
        <v>3639</v>
      </c>
      <c r="O2">
        <v>1</v>
      </c>
    </row>
    <row r="3" spans="2:15" x14ac:dyDescent="0.3">
      <c r="B3" s="135" t="s">
        <v>3640</v>
      </c>
      <c r="C3">
        <v>2</v>
      </c>
      <c r="N3" s="135" t="s">
        <v>3640</v>
      </c>
      <c r="O3">
        <v>2</v>
      </c>
    </row>
    <row r="4" spans="2:15" x14ac:dyDescent="0.3">
      <c r="B4" s="135" t="s">
        <v>3641</v>
      </c>
      <c r="C4">
        <v>3</v>
      </c>
      <c r="N4" s="135" t="s">
        <v>3641</v>
      </c>
      <c r="O4">
        <v>3</v>
      </c>
    </row>
    <row r="5" spans="2:15" x14ac:dyDescent="0.3">
      <c r="B5" s="135" t="s">
        <v>3642</v>
      </c>
      <c r="C5">
        <v>4</v>
      </c>
      <c r="N5" s="135" t="s">
        <v>3642</v>
      </c>
      <c r="O5">
        <v>4</v>
      </c>
    </row>
    <row r="6" spans="2:15" x14ac:dyDescent="0.3">
      <c r="B6" s="135" t="s">
        <v>3643</v>
      </c>
      <c r="C6">
        <v>5</v>
      </c>
      <c r="N6" s="135" t="s">
        <v>3643</v>
      </c>
      <c r="O6">
        <v>5</v>
      </c>
    </row>
    <row r="7" spans="2:15" x14ac:dyDescent="0.3">
      <c r="B7" s="135" t="s">
        <v>3644</v>
      </c>
      <c r="C7">
        <v>6</v>
      </c>
      <c r="N7" s="135" t="s">
        <v>3644</v>
      </c>
      <c r="O7">
        <v>6</v>
      </c>
    </row>
    <row r="8" spans="2:15" x14ac:dyDescent="0.3">
      <c r="B8" s="135" t="s">
        <v>3645</v>
      </c>
      <c r="C8">
        <v>7</v>
      </c>
      <c r="N8" s="135" t="s">
        <v>3645</v>
      </c>
      <c r="O8">
        <v>7</v>
      </c>
    </row>
    <row r="9" spans="2:15" x14ac:dyDescent="0.3">
      <c r="B9" s="135" t="s">
        <v>3646</v>
      </c>
      <c r="C9">
        <v>8</v>
      </c>
      <c r="N9" s="135" t="s">
        <v>3646</v>
      </c>
      <c r="O9">
        <v>8</v>
      </c>
    </row>
    <row r="10" spans="2:15" x14ac:dyDescent="0.3">
      <c r="B10" s="135" t="s">
        <v>3647</v>
      </c>
      <c r="C10">
        <v>9</v>
      </c>
      <c r="N10" s="135" t="s">
        <v>3647</v>
      </c>
      <c r="O10">
        <v>9</v>
      </c>
    </row>
    <row r="11" spans="2:15" x14ac:dyDescent="0.3">
      <c r="B11" s="135" t="s">
        <v>3648</v>
      </c>
      <c r="C11">
        <v>10</v>
      </c>
      <c r="N11" s="135" t="s">
        <v>3648</v>
      </c>
      <c r="O11">
        <v>10</v>
      </c>
    </row>
    <row r="12" spans="2:15" x14ac:dyDescent="0.3">
      <c r="B12" s="135" t="s">
        <v>3649</v>
      </c>
      <c r="C12">
        <v>11</v>
      </c>
      <c r="N12" s="135" t="s">
        <v>3649</v>
      </c>
      <c r="O12">
        <v>11</v>
      </c>
    </row>
    <row r="13" spans="2:15" x14ac:dyDescent="0.3">
      <c r="B13" s="135" t="s">
        <v>3650</v>
      </c>
      <c r="C13">
        <v>12</v>
      </c>
      <c r="N13" s="135" t="s">
        <v>3650</v>
      </c>
      <c r="O13">
        <v>12</v>
      </c>
    </row>
    <row r="14" spans="2:15" x14ac:dyDescent="0.3">
      <c r="B14" s="135" t="s">
        <v>3651</v>
      </c>
      <c r="C14">
        <v>13</v>
      </c>
      <c r="N14" s="135" t="s">
        <v>3651</v>
      </c>
      <c r="O14">
        <v>13</v>
      </c>
    </row>
    <row r="15" spans="2:15" x14ac:dyDescent="0.3">
      <c r="B15" s="135" t="s">
        <v>3652</v>
      </c>
      <c r="C15">
        <v>14</v>
      </c>
      <c r="N15" s="135" t="s">
        <v>3652</v>
      </c>
      <c r="O15">
        <v>14</v>
      </c>
    </row>
    <row r="16" spans="2:15" x14ac:dyDescent="0.3">
      <c r="B16" s="135" t="s">
        <v>3653</v>
      </c>
      <c r="C16">
        <v>15</v>
      </c>
      <c r="N16" s="135" t="s">
        <v>3653</v>
      </c>
      <c r="O16">
        <v>15</v>
      </c>
    </row>
    <row r="17" spans="2:15" x14ac:dyDescent="0.3">
      <c r="B17" s="135" t="s">
        <v>3654</v>
      </c>
      <c r="C17">
        <v>16</v>
      </c>
      <c r="N17" s="135" t="s">
        <v>3654</v>
      </c>
      <c r="O17">
        <v>16</v>
      </c>
    </row>
    <row r="18" spans="2:15" x14ac:dyDescent="0.3">
      <c r="B18" s="135" t="s">
        <v>3655</v>
      </c>
      <c r="C18">
        <v>17</v>
      </c>
      <c r="N18" s="135" t="s">
        <v>3655</v>
      </c>
      <c r="O18">
        <v>17</v>
      </c>
    </row>
    <row r="19" spans="2:15" x14ac:dyDescent="0.3">
      <c r="B19" s="135" t="s">
        <v>3656</v>
      </c>
      <c r="C19">
        <v>18</v>
      </c>
      <c r="N19" s="135" t="s">
        <v>3656</v>
      </c>
      <c r="O19">
        <v>18</v>
      </c>
    </row>
    <row r="20" spans="2:15" x14ac:dyDescent="0.3">
      <c r="B20" s="135" t="s">
        <v>3657</v>
      </c>
      <c r="C20">
        <v>19</v>
      </c>
      <c r="N20" s="135" t="s">
        <v>3657</v>
      </c>
      <c r="O20">
        <v>19</v>
      </c>
    </row>
    <row r="21" spans="2:15" x14ac:dyDescent="0.3">
      <c r="B21" s="135" t="s">
        <v>3658</v>
      </c>
      <c r="C21">
        <v>20</v>
      </c>
      <c r="N21" s="135" t="s">
        <v>3658</v>
      </c>
      <c r="O21">
        <v>20</v>
      </c>
    </row>
    <row r="22" spans="2:15" x14ac:dyDescent="0.3">
      <c r="B22" s="135" t="s">
        <v>3659</v>
      </c>
      <c r="C22">
        <v>21</v>
      </c>
      <c r="N22" s="135" t="s">
        <v>3659</v>
      </c>
      <c r="O22">
        <v>21</v>
      </c>
    </row>
    <row r="23" spans="2:15" x14ac:dyDescent="0.3">
      <c r="B23" s="135" t="s">
        <v>3660</v>
      </c>
      <c r="C23">
        <v>22</v>
      </c>
      <c r="N23" s="135" t="s">
        <v>3660</v>
      </c>
      <c r="O23">
        <v>22</v>
      </c>
    </row>
    <row r="24" spans="2:15" x14ac:dyDescent="0.3">
      <c r="B24" s="135" t="s">
        <v>3661</v>
      </c>
      <c r="C24">
        <v>23</v>
      </c>
      <c r="N24" s="135" t="s">
        <v>3661</v>
      </c>
      <c r="O24">
        <v>23</v>
      </c>
    </row>
    <row r="25" spans="2:15" x14ac:dyDescent="0.3">
      <c r="B25" s="135" t="s">
        <v>3662</v>
      </c>
      <c r="C25">
        <v>24</v>
      </c>
      <c r="N25" s="135" t="s">
        <v>3662</v>
      </c>
      <c r="O25">
        <v>24</v>
      </c>
    </row>
    <row r="26" spans="2:15" x14ac:dyDescent="0.3">
      <c r="B26" s="135" t="s">
        <v>3663</v>
      </c>
      <c r="C26">
        <v>25</v>
      </c>
      <c r="N26" s="135" t="s">
        <v>3663</v>
      </c>
      <c r="O26">
        <v>25</v>
      </c>
    </row>
    <row r="27" spans="2:15" x14ac:dyDescent="0.3">
      <c r="B27" s="135" t="s">
        <v>3664</v>
      </c>
      <c r="C27">
        <v>26</v>
      </c>
      <c r="N27" s="135" t="s">
        <v>3664</v>
      </c>
      <c r="O27">
        <v>26</v>
      </c>
    </row>
    <row r="28" spans="2:15" x14ac:dyDescent="0.3">
      <c r="B28" s="135" t="s">
        <v>3665</v>
      </c>
      <c r="C28">
        <v>27</v>
      </c>
      <c r="N28" s="135" t="s">
        <v>3665</v>
      </c>
      <c r="O28">
        <v>27</v>
      </c>
    </row>
    <row r="29" spans="2:15" x14ac:dyDescent="0.3">
      <c r="B29" s="135" t="s">
        <v>3666</v>
      </c>
      <c r="C29">
        <v>28</v>
      </c>
      <c r="N29" s="135" t="s">
        <v>3666</v>
      </c>
      <c r="O29">
        <v>28</v>
      </c>
    </row>
    <row r="30" spans="2:15" x14ac:dyDescent="0.3">
      <c r="B30" s="135" t="s">
        <v>3667</v>
      </c>
      <c r="C30">
        <v>29</v>
      </c>
      <c r="N30" s="135" t="s">
        <v>3667</v>
      </c>
      <c r="O30">
        <v>29</v>
      </c>
    </row>
    <row r="31" spans="2:15" x14ac:dyDescent="0.3">
      <c r="B31" s="135" t="s">
        <v>3668</v>
      </c>
      <c r="C31">
        <v>30</v>
      </c>
      <c r="N31" s="135" t="s">
        <v>3668</v>
      </c>
      <c r="O31">
        <v>30</v>
      </c>
    </row>
    <row r="32" spans="2:15" x14ac:dyDescent="0.3">
      <c r="B32" s="135" t="s">
        <v>3669</v>
      </c>
      <c r="C32">
        <v>31</v>
      </c>
      <c r="N32" s="135" t="s">
        <v>3669</v>
      </c>
      <c r="O32">
        <v>31</v>
      </c>
    </row>
    <row r="33" spans="2:15" x14ac:dyDescent="0.3">
      <c r="B33" s="135" t="s">
        <v>3670</v>
      </c>
      <c r="C33">
        <v>32</v>
      </c>
      <c r="N33" s="135" t="s">
        <v>3670</v>
      </c>
      <c r="O33">
        <v>32</v>
      </c>
    </row>
    <row r="34" spans="2:15" x14ac:dyDescent="0.3">
      <c r="B34" s="135" t="s">
        <v>3671</v>
      </c>
      <c r="C34">
        <v>33</v>
      </c>
      <c r="N34" s="135" t="s">
        <v>3671</v>
      </c>
      <c r="O34">
        <v>33</v>
      </c>
    </row>
    <row r="35" spans="2:15" x14ac:dyDescent="0.3">
      <c r="B35" s="135" t="s">
        <v>3672</v>
      </c>
      <c r="C35">
        <v>34</v>
      </c>
      <c r="N35" s="135" t="s">
        <v>3672</v>
      </c>
      <c r="O35">
        <v>34</v>
      </c>
    </row>
    <row r="36" spans="2:15" x14ac:dyDescent="0.3">
      <c r="B36" s="135" t="s">
        <v>3673</v>
      </c>
      <c r="C36">
        <v>35</v>
      </c>
      <c r="N36" s="135" t="s">
        <v>3673</v>
      </c>
      <c r="O36">
        <v>35</v>
      </c>
    </row>
    <row r="37" spans="2:15" x14ac:dyDescent="0.3">
      <c r="B37" s="135" t="s">
        <v>3674</v>
      </c>
      <c r="C37">
        <v>36</v>
      </c>
      <c r="N37" s="135" t="s">
        <v>3674</v>
      </c>
      <c r="O37">
        <v>36</v>
      </c>
    </row>
    <row r="38" spans="2:15" x14ac:dyDescent="0.3">
      <c r="B38" s="135" t="s">
        <v>3675</v>
      </c>
      <c r="C38">
        <v>37</v>
      </c>
      <c r="N38" s="135" t="s">
        <v>3675</v>
      </c>
      <c r="O38">
        <v>37</v>
      </c>
    </row>
    <row r="39" spans="2:15" x14ac:dyDescent="0.3">
      <c r="B39" s="135" t="s">
        <v>3676</v>
      </c>
      <c r="C39">
        <v>38</v>
      </c>
      <c r="N39" s="135" t="s">
        <v>3676</v>
      </c>
      <c r="O39">
        <v>38</v>
      </c>
    </row>
    <row r="40" spans="2:15" x14ac:dyDescent="0.3">
      <c r="B40" s="135" t="s">
        <v>3677</v>
      </c>
      <c r="C40">
        <v>39</v>
      </c>
      <c r="N40" s="135" t="s">
        <v>3677</v>
      </c>
      <c r="O40">
        <v>39</v>
      </c>
    </row>
    <row r="41" spans="2:15" x14ac:dyDescent="0.3">
      <c r="B41" s="135" t="s">
        <v>3678</v>
      </c>
      <c r="C41">
        <v>40</v>
      </c>
      <c r="N41" s="135" t="s">
        <v>3678</v>
      </c>
      <c r="O41">
        <v>40</v>
      </c>
    </row>
    <row r="42" spans="2:15" x14ac:dyDescent="0.3">
      <c r="B42" s="135" t="s">
        <v>3679</v>
      </c>
      <c r="C42">
        <v>41</v>
      </c>
      <c r="N42" s="135" t="s">
        <v>3679</v>
      </c>
      <c r="O42">
        <v>41</v>
      </c>
    </row>
    <row r="43" spans="2:15" x14ac:dyDescent="0.3">
      <c r="B43" s="135" t="s">
        <v>3680</v>
      </c>
      <c r="C43">
        <v>42</v>
      </c>
      <c r="N43" s="135" t="s">
        <v>3680</v>
      </c>
      <c r="O43">
        <v>42</v>
      </c>
    </row>
    <row r="44" spans="2:15" x14ac:dyDescent="0.3">
      <c r="B44" s="135" t="s">
        <v>3681</v>
      </c>
      <c r="C44">
        <v>43</v>
      </c>
      <c r="N44" s="135" t="s">
        <v>3681</v>
      </c>
      <c r="O44">
        <v>43</v>
      </c>
    </row>
    <row r="45" spans="2:15" x14ac:dyDescent="0.3">
      <c r="B45" s="135" t="s">
        <v>3682</v>
      </c>
      <c r="C45">
        <v>44</v>
      </c>
      <c r="N45" s="135" t="s">
        <v>3682</v>
      </c>
      <c r="O45">
        <v>44</v>
      </c>
    </row>
    <row r="46" spans="2:15" x14ac:dyDescent="0.3">
      <c r="B46" s="135" t="s">
        <v>3683</v>
      </c>
      <c r="C46">
        <v>45</v>
      </c>
      <c r="N46" s="135" t="s">
        <v>3683</v>
      </c>
      <c r="O46">
        <v>45</v>
      </c>
    </row>
    <row r="47" spans="2:15" x14ac:dyDescent="0.3">
      <c r="B47" s="135" t="s">
        <v>3684</v>
      </c>
      <c r="C47">
        <v>46</v>
      </c>
      <c r="N47" s="135" t="s">
        <v>3684</v>
      </c>
      <c r="O47">
        <v>46</v>
      </c>
    </row>
    <row r="48" spans="2:15" x14ac:dyDescent="0.3">
      <c r="B48" s="135" t="s">
        <v>3685</v>
      </c>
      <c r="C48">
        <v>47</v>
      </c>
      <c r="N48" s="135" t="s">
        <v>3685</v>
      </c>
      <c r="O48">
        <v>47</v>
      </c>
    </row>
    <row r="49" spans="2:15" x14ac:dyDescent="0.3">
      <c r="B49" s="135" t="s">
        <v>3686</v>
      </c>
      <c r="C49">
        <v>48</v>
      </c>
      <c r="N49" s="135" t="s">
        <v>3686</v>
      </c>
      <c r="O49">
        <v>48</v>
      </c>
    </row>
    <row r="50" spans="2:15" x14ac:dyDescent="0.3">
      <c r="B50" s="135" t="s">
        <v>3687</v>
      </c>
      <c r="C50">
        <v>49</v>
      </c>
      <c r="N50" s="135" t="s">
        <v>3687</v>
      </c>
      <c r="O50">
        <v>49</v>
      </c>
    </row>
    <row r="51" spans="2:15" x14ac:dyDescent="0.3">
      <c r="B51" s="135" t="s">
        <v>3688</v>
      </c>
      <c r="C51">
        <v>50</v>
      </c>
      <c r="N51" s="135" t="s">
        <v>3688</v>
      </c>
      <c r="O51">
        <v>50</v>
      </c>
    </row>
    <row r="52" spans="2:15" x14ac:dyDescent="0.3">
      <c r="B52" s="135" t="s">
        <v>3689</v>
      </c>
      <c r="C52">
        <v>51</v>
      </c>
      <c r="N52" s="135" t="s">
        <v>3689</v>
      </c>
      <c r="O52">
        <v>51</v>
      </c>
    </row>
    <row r="53" spans="2:15" x14ac:dyDescent="0.3">
      <c r="B53" s="135" t="s">
        <v>3690</v>
      </c>
      <c r="C53">
        <v>52</v>
      </c>
      <c r="N53" s="135" t="s">
        <v>3690</v>
      </c>
      <c r="O53">
        <v>52</v>
      </c>
    </row>
    <row r="54" spans="2:15" x14ac:dyDescent="0.3">
      <c r="B54" s="135" t="s">
        <v>3691</v>
      </c>
      <c r="C54">
        <v>53</v>
      </c>
      <c r="N54" s="135" t="s">
        <v>3691</v>
      </c>
      <c r="O54">
        <v>53</v>
      </c>
    </row>
    <row r="55" spans="2:15" x14ac:dyDescent="0.3">
      <c r="B55" s="135" t="s">
        <v>3692</v>
      </c>
      <c r="C55">
        <v>54</v>
      </c>
      <c r="N55" s="135" t="s">
        <v>3692</v>
      </c>
      <c r="O55">
        <v>54</v>
      </c>
    </row>
    <row r="56" spans="2:15" x14ac:dyDescent="0.3">
      <c r="B56" s="135" t="s">
        <v>3693</v>
      </c>
      <c r="C56">
        <v>55</v>
      </c>
      <c r="N56" s="135" t="s">
        <v>3693</v>
      </c>
      <c r="O56">
        <v>55</v>
      </c>
    </row>
    <row r="57" spans="2:15" x14ac:dyDescent="0.3">
      <c r="B57" s="135" t="s">
        <v>3694</v>
      </c>
      <c r="C57">
        <v>56</v>
      </c>
      <c r="N57" s="135" t="s">
        <v>3694</v>
      </c>
      <c r="O57">
        <v>56</v>
      </c>
    </row>
    <row r="58" spans="2:15" x14ac:dyDescent="0.3">
      <c r="B58" s="135" t="s">
        <v>3695</v>
      </c>
      <c r="C58">
        <v>57</v>
      </c>
      <c r="N58" s="135" t="s">
        <v>3695</v>
      </c>
      <c r="O58">
        <v>57</v>
      </c>
    </row>
    <row r="59" spans="2:15" x14ac:dyDescent="0.3">
      <c r="B59" s="135" t="s">
        <v>3696</v>
      </c>
      <c r="C59">
        <v>58</v>
      </c>
      <c r="N59" s="135" t="s">
        <v>3696</v>
      </c>
      <c r="O59">
        <v>58</v>
      </c>
    </row>
    <row r="60" spans="2:15" x14ac:dyDescent="0.3">
      <c r="B60" s="135" t="s">
        <v>3697</v>
      </c>
      <c r="C60">
        <v>59</v>
      </c>
      <c r="N60" s="135" t="s">
        <v>3697</v>
      </c>
      <c r="O60">
        <v>59</v>
      </c>
    </row>
    <row r="61" spans="2:15" x14ac:dyDescent="0.3">
      <c r="B61" s="135" t="s">
        <v>3698</v>
      </c>
      <c r="C61">
        <v>60</v>
      </c>
      <c r="N61" s="135" t="s">
        <v>3698</v>
      </c>
      <c r="O61">
        <v>60</v>
      </c>
    </row>
    <row r="62" spans="2:15" x14ac:dyDescent="0.3">
      <c r="B62" s="135" t="s">
        <v>3699</v>
      </c>
      <c r="C62">
        <v>61</v>
      </c>
      <c r="N62" s="135" t="s">
        <v>3699</v>
      </c>
      <c r="O62">
        <v>61</v>
      </c>
    </row>
    <row r="63" spans="2:15" x14ac:dyDescent="0.3">
      <c r="B63" s="135" t="s">
        <v>3700</v>
      </c>
      <c r="C63">
        <v>62</v>
      </c>
      <c r="N63" s="135" t="s">
        <v>3700</v>
      </c>
      <c r="O63">
        <v>62</v>
      </c>
    </row>
    <row r="64" spans="2:15" x14ac:dyDescent="0.3">
      <c r="B64" s="135" t="s">
        <v>3701</v>
      </c>
      <c r="C64">
        <v>63</v>
      </c>
      <c r="N64" s="135" t="s">
        <v>3701</v>
      </c>
      <c r="O64">
        <v>63</v>
      </c>
    </row>
    <row r="65" spans="2:15" x14ac:dyDescent="0.3">
      <c r="B65" s="135" t="s">
        <v>3702</v>
      </c>
      <c r="C65">
        <v>64</v>
      </c>
      <c r="N65" s="135" t="s">
        <v>3702</v>
      </c>
      <c r="O65">
        <v>64</v>
      </c>
    </row>
    <row r="66" spans="2:15" x14ac:dyDescent="0.3">
      <c r="B66" s="135" t="s">
        <v>3703</v>
      </c>
      <c r="C66">
        <v>65</v>
      </c>
      <c r="N66" s="135" t="s">
        <v>3703</v>
      </c>
      <c r="O66">
        <v>65</v>
      </c>
    </row>
    <row r="67" spans="2:15" x14ac:dyDescent="0.3">
      <c r="B67" s="135" t="s">
        <v>3704</v>
      </c>
      <c r="C67">
        <v>66</v>
      </c>
      <c r="N67" s="135" t="s">
        <v>3704</v>
      </c>
      <c r="O67">
        <v>66</v>
      </c>
    </row>
    <row r="68" spans="2:15" x14ac:dyDescent="0.3">
      <c r="B68" s="135" t="s">
        <v>3705</v>
      </c>
      <c r="C68">
        <v>67</v>
      </c>
      <c r="N68" s="135" t="s">
        <v>3705</v>
      </c>
      <c r="O68">
        <v>67</v>
      </c>
    </row>
    <row r="69" spans="2:15" x14ac:dyDescent="0.3">
      <c r="B69" s="135" t="s">
        <v>3706</v>
      </c>
      <c r="C69">
        <v>68</v>
      </c>
      <c r="N69" s="135" t="s">
        <v>3706</v>
      </c>
      <c r="O69">
        <v>68</v>
      </c>
    </row>
    <row r="70" spans="2:15" x14ac:dyDescent="0.3">
      <c r="B70" s="135" t="s">
        <v>3707</v>
      </c>
      <c r="C70">
        <v>69</v>
      </c>
      <c r="N70" s="135" t="s">
        <v>3707</v>
      </c>
      <c r="O70">
        <v>69</v>
      </c>
    </row>
    <row r="71" spans="2:15" x14ac:dyDescent="0.3">
      <c r="B71" s="135" t="s">
        <v>3708</v>
      </c>
      <c r="C71">
        <v>70</v>
      </c>
      <c r="N71" s="135" t="s">
        <v>3708</v>
      </c>
      <c r="O71">
        <v>70</v>
      </c>
    </row>
    <row r="72" spans="2:15" x14ac:dyDescent="0.3">
      <c r="B72" s="135" t="s">
        <v>3709</v>
      </c>
      <c r="C72">
        <v>71</v>
      </c>
      <c r="N72" s="135" t="s">
        <v>3709</v>
      </c>
      <c r="O72">
        <v>71</v>
      </c>
    </row>
    <row r="73" spans="2:15" x14ac:dyDescent="0.3">
      <c r="B73" s="135" t="s">
        <v>3710</v>
      </c>
      <c r="C73">
        <v>72</v>
      </c>
      <c r="N73" s="135" t="s">
        <v>3710</v>
      </c>
      <c r="O73">
        <v>72</v>
      </c>
    </row>
    <row r="74" spans="2:15" x14ac:dyDescent="0.3">
      <c r="B74" s="135" t="s">
        <v>3711</v>
      </c>
      <c r="C74">
        <v>73</v>
      </c>
      <c r="N74" s="135" t="s">
        <v>3711</v>
      </c>
      <c r="O74">
        <v>73</v>
      </c>
    </row>
    <row r="75" spans="2:15" x14ac:dyDescent="0.3">
      <c r="B75" s="135" t="s">
        <v>3712</v>
      </c>
      <c r="C75">
        <v>74</v>
      </c>
      <c r="N75" s="135" t="s">
        <v>3712</v>
      </c>
      <c r="O75">
        <v>74</v>
      </c>
    </row>
    <row r="76" spans="2:15" x14ac:dyDescent="0.3">
      <c r="B76" s="135" t="s">
        <v>3713</v>
      </c>
      <c r="C76">
        <v>75</v>
      </c>
      <c r="N76" s="135" t="s">
        <v>3713</v>
      </c>
      <c r="O76">
        <v>75</v>
      </c>
    </row>
    <row r="77" spans="2:15" x14ac:dyDescent="0.3">
      <c r="B77" s="135" t="s">
        <v>3714</v>
      </c>
      <c r="C77">
        <v>76</v>
      </c>
      <c r="N77" s="135" t="s">
        <v>3714</v>
      </c>
      <c r="O77">
        <v>76</v>
      </c>
    </row>
    <row r="78" spans="2:15" x14ac:dyDescent="0.3">
      <c r="B78" s="135" t="s">
        <v>3715</v>
      </c>
      <c r="C78">
        <v>77</v>
      </c>
      <c r="N78" s="135" t="s">
        <v>3715</v>
      </c>
      <c r="O78">
        <v>77</v>
      </c>
    </row>
    <row r="79" spans="2:15" x14ac:dyDescent="0.3">
      <c r="B79" s="135" t="s">
        <v>3716</v>
      </c>
      <c r="C79">
        <v>78</v>
      </c>
      <c r="N79" s="135" t="s">
        <v>3716</v>
      </c>
      <c r="O79">
        <v>78</v>
      </c>
    </row>
    <row r="80" spans="2:15" x14ac:dyDescent="0.3">
      <c r="B80" s="135" t="s">
        <v>3717</v>
      </c>
      <c r="C80">
        <v>79</v>
      </c>
      <c r="N80" s="135" t="s">
        <v>3717</v>
      </c>
      <c r="O80">
        <v>79</v>
      </c>
    </row>
    <row r="81" spans="2:15" x14ac:dyDescent="0.3">
      <c r="B81" s="135" t="s">
        <v>3718</v>
      </c>
      <c r="C81">
        <v>80</v>
      </c>
      <c r="N81" s="135" t="s">
        <v>3718</v>
      </c>
      <c r="O81">
        <v>80</v>
      </c>
    </row>
    <row r="82" spans="2:15" x14ac:dyDescent="0.3">
      <c r="B82" s="135" t="s">
        <v>3719</v>
      </c>
      <c r="C82">
        <v>81</v>
      </c>
      <c r="N82" s="135" t="s">
        <v>3719</v>
      </c>
      <c r="O82">
        <v>81</v>
      </c>
    </row>
    <row r="83" spans="2:15" x14ac:dyDescent="0.3">
      <c r="B83" s="135" t="s">
        <v>3720</v>
      </c>
      <c r="C83">
        <v>82</v>
      </c>
      <c r="N83" s="135" t="s">
        <v>3720</v>
      </c>
      <c r="O83">
        <v>82</v>
      </c>
    </row>
    <row r="84" spans="2:15" x14ac:dyDescent="0.3">
      <c r="B84" s="135" t="s">
        <v>3721</v>
      </c>
      <c r="C84">
        <v>83</v>
      </c>
      <c r="N84" s="135" t="s">
        <v>3721</v>
      </c>
      <c r="O84">
        <v>83</v>
      </c>
    </row>
    <row r="85" spans="2:15" x14ac:dyDescent="0.3">
      <c r="B85" s="135" t="s">
        <v>3722</v>
      </c>
      <c r="C85">
        <v>84</v>
      </c>
      <c r="N85" s="135" t="s">
        <v>3722</v>
      </c>
      <c r="O85">
        <v>84</v>
      </c>
    </row>
    <row r="86" spans="2:15" x14ac:dyDescent="0.3">
      <c r="B86" s="135" t="s">
        <v>3723</v>
      </c>
      <c r="C86">
        <v>85</v>
      </c>
      <c r="N86" s="135" t="s">
        <v>3723</v>
      </c>
      <c r="O86">
        <v>85</v>
      </c>
    </row>
    <row r="87" spans="2:15" x14ac:dyDescent="0.3">
      <c r="B87" s="135" t="s">
        <v>3724</v>
      </c>
      <c r="C87">
        <v>86</v>
      </c>
      <c r="N87" s="135" t="s">
        <v>3724</v>
      </c>
      <c r="O87">
        <v>86</v>
      </c>
    </row>
    <row r="88" spans="2:15" x14ac:dyDescent="0.3">
      <c r="B88" s="135" t="s">
        <v>3725</v>
      </c>
      <c r="C88">
        <v>87</v>
      </c>
      <c r="N88" s="135" t="s">
        <v>3725</v>
      </c>
      <c r="O88">
        <v>87</v>
      </c>
    </row>
    <row r="89" spans="2:15" x14ac:dyDescent="0.3">
      <c r="B89" s="135" t="s">
        <v>3726</v>
      </c>
      <c r="C89">
        <v>88</v>
      </c>
      <c r="N89" s="135" t="s">
        <v>3726</v>
      </c>
      <c r="O89">
        <v>88</v>
      </c>
    </row>
    <row r="90" spans="2:15" x14ac:dyDescent="0.3">
      <c r="B90" s="135" t="s">
        <v>3727</v>
      </c>
      <c r="C90">
        <v>89</v>
      </c>
      <c r="N90" s="135" t="s">
        <v>3727</v>
      </c>
      <c r="O90">
        <v>89</v>
      </c>
    </row>
    <row r="91" spans="2:15" x14ac:dyDescent="0.3">
      <c r="B91" s="135" t="s">
        <v>3728</v>
      </c>
      <c r="C91">
        <v>90</v>
      </c>
      <c r="N91" s="135" t="s">
        <v>3728</v>
      </c>
      <c r="O91">
        <v>90</v>
      </c>
    </row>
    <row r="92" spans="2:15" x14ac:dyDescent="0.3">
      <c r="B92" s="135" t="s">
        <v>3729</v>
      </c>
      <c r="C92">
        <v>91</v>
      </c>
      <c r="N92" s="135" t="s">
        <v>3729</v>
      </c>
      <c r="O92">
        <v>91</v>
      </c>
    </row>
    <row r="93" spans="2:15" x14ac:dyDescent="0.3">
      <c r="B93" s="135" t="s">
        <v>3730</v>
      </c>
      <c r="C93">
        <v>92</v>
      </c>
      <c r="N93" s="135" t="s">
        <v>3730</v>
      </c>
      <c r="O93">
        <v>92</v>
      </c>
    </row>
    <row r="94" spans="2:15" x14ac:dyDescent="0.3">
      <c r="B94" s="135" t="s">
        <v>3731</v>
      </c>
      <c r="C94">
        <v>93</v>
      </c>
      <c r="N94" s="135" t="s">
        <v>3731</v>
      </c>
      <c r="O94">
        <v>93</v>
      </c>
    </row>
    <row r="95" spans="2:15" x14ac:dyDescent="0.3">
      <c r="B95" s="135" t="s">
        <v>3732</v>
      </c>
      <c r="C95">
        <v>94</v>
      </c>
      <c r="N95" s="135" t="s">
        <v>3732</v>
      </c>
      <c r="O95">
        <v>94</v>
      </c>
    </row>
    <row r="96" spans="2:15" x14ac:dyDescent="0.3">
      <c r="B96" s="135" t="s">
        <v>3733</v>
      </c>
      <c r="C96">
        <v>95</v>
      </c>
      <c r="N96" s="135" t="s">
        <v>3733</v>
      </c>
      <c r="O96">
        <v>95</v>
      </c>
    </row>
    <row r="97" spans="2:15" x14ac:dyDescent="0.3">
      <c r="B97" s="135" t="s">
        <v>3734</v>
      </c>
      <c r="C97">
        <v>96</v>
      </c>
      <c r="N97" s="135" t="s">
        <v>3734</v>
      </c>
      <c r="O97">
        <v>96</v>
      </c>
    </row>
    <row r="98" spans="2:15" x14ac:dyDescent="0.3">
      <c r="B98" s="135" t="s">
        <v>3735</v>
      </c>
      <c r="C98">
        <v>97</v>
      </c>
      <c r="N98" s="135" t="s">
        <v>3735</v>
      </c>
      <c r="O98">
        <v>97</v>
      </c>
    </row>
    <row r="99" spans="2:15" x14ac:dyDescent="0.3">
      <c r="B99" s="135" t="s">
        <v>3736</v>
      </c>
      <c r="C99">
        <v>98</v>
      </c>
      <c r="N99" s="135" t="s">
        <v>3736</v>
      </c>
      <c r="O99">
        <v>98</v>
      </c>
    </row>
    <row r="100" spans="2:15" x14ac:dyDescent="0.3">
      <c r="B100" s="135" t="s">
        <v>3737</v>
      </c>
      <c r="C100">
        <v>99</v>
      </c>
      <c r="N100" s="135" t="s">
        <v>3737</v>
      </c>
      <c r="O100">
        <v>99</v>
      </c>
    </row>
    <row r="101" spans="2:15" x14ac:dyDescent="0.3">
      <c r="B101" s="135" t="s">
        <v>3738</v>
      </c>
      <c r="C101">
        <v>100</v>
      </c>
      <c r="N101" s="135" t="s">
        <v>3738</v>
      </c>
      <c r="O101">
        <v>100</v>
      </c>
    </row>
    <row r="102" spans="2:15" x14ac:dyDescent="0.3">
      <c r="B102" s="135" t="s">
        <v>3739</v>
      </c>
      <c r="C102">
        <v>101</v>
      </c>
      <c r="N102" s="135" t="s">
        <v>3739</v>
      </c>
      <c r="O102">
        <v>101</v>
      </c>
    </row>
    <row r="103" spans="2:15" x14ac:dyDescent="0.3">
      <c r="B103" s="135" t="s">
        <v>3740</v>
      </c>
      <c r="C103">
        <v>102</v>
      </c>
      <c r="N103" s="135" t="s">
        <v>3740</v>
      </c>
      <c r="O103">
        <v>102</v>
      </c>
    </row>
    <row r="104" spans="2:15" x14ac:dyDescent="0.3">
      <c r="B104" s="135" t="s">
        <v>3741</v>
      </c>
      <c r="C104">
        <v>103</v>
      </c>
      <c r="N104" s="135" t="s">
        <v>3741</v>
      </c>
      <c r="O104">
        <v>103</v>
      </c>
    </row>
    <row r="105" spans="2:15" x14ac:dyDescent="0.3">
      <c r="B105" s="135" t="s">
        <v>3742</v>
      </c>
      <c r="C105">
        <v>104</v>
      </c>
      <c r="N105" s="135" t="s">
        <v>3742</v>
      </c>
      <c r="O105">
        <v>104</v>
      </c>
    </row>
    <row r="106" spans="2:15" x14ac:dyDescent="0.3">
      <c r="B106" s="135" t="s">
        <v>3743</v>
      </c>
      <c r="C106">
        <v>105</v>
      </c>
      <c r="N106" s="135" t="s">
        <v>3743</v>
      </c>
      <c r="O106">
        <v>105</v>
      </c>
    </row>
    <row r="107" spans="2:15" x14ac:dyDescent="0.3">
      <c r="B107" s="135" t="s">
        <v>3744</v>
      </c>
      <c r="C107">
        <v>106</v>
      </c>
      <c r="N107" s="135" t="s">
        <v>3744</v>
      </c>
      <c r="O107">
        <v>106</v>
      </c>
    </row>
    <row r="108" spans="2:15" x14ac:dyDescent="0.3">
      <c r="B108" s="135" t="s">
        <v>3745</v>
      </c>
      <c r="C108">
        <v>107</v>
      </c>
      <c r="N108" s="135" t="s">
        <v>3745</v>
      </c>
      <c r="O108">
        <v>107</v>
      </c>
    </row>
    <row r="109" spans="2:15" x14ac:dyDescent="0.3">
      <c r="B109" s="135" t="s">
        <v>3746</v>
      </c>
      <c r="C109">
        <v>108</v>
      </c>
      <c r="N109" s="135" t="s">
        <v>3746</v>
      </c>
      <c r="O109">
        <v>108</v>
      </c>
    </row>
    <row r="110" spans="2:15" x14ac:dyDescent="0.3">
      <c r="B110" s="135" t="s">
        <v>3747</v>
      </c>
      <c r="C110">
        <v>109</v>
      </c>
      <c r="N110" s="135" t="s">
        <v>3747</v>
      </c>
      <c r="O110">
        <v>109</v>
      </c>
    </row>
    <row r="111" spans="2:15" x14ac:dyDescent="0.3">
      <c r="B111" s="135" t="s">
        <v>3748</v>
      </c>
      <c r="C111">
        <v>110</v>
      </c>
      <c r="N111" s="135" t="s">
        <v>3748</v>
      </c>
      <c r="O111">
        <v>110</v>
      </c>
    </row>
    <row r="112" spans="2:15" x14ac:dyDescent="0.3">
      <c r="B112" s="135" t="s">
        <v>3749</v>
      </c>
      <c r="C112">
        <v>111</v>
      </c>
      <c r="N112" s="135" t="s">
        <v>3749</v>
      </c>
      <c r="O112">
        <v>111</v>
      </c>
    </row>
    <row r="113" spans="2:15" x14ac:dyDescent="0.3">
      <c r="B113" s="135" t="s">
        <v>3750</v>
      </c>
      <c r="C113">
        <v>112</v>
      </c>
      <c r="N113" s="135" t="s">
        <v>3750</v>
      </c>
      <c r="O113">
        <v>112</v>
      </c>
    </row>
    <row r="114" spans="2:15" x14ac:dyDescent="0.3">
      <c r="B114" s="135" t="s">
        <v>3751</v>
      </c>
      <c r="C114">
        <v>113</v>
      </c>
      <c r="N114" s="135" t="s">
        <v>3751</v>
      </c>
      <c r="O114">
        <v>113</v>
      </c>
    </row>
    <row r="115" spans="2:15" x14ac:dyDescent="0.3">
      <c r="B115" s="135" t="s">
        <v>3752</v>
      </c>
      <c r="C115">
        <v>114</v>
      </c>
      <c r="N115" s="135" t="s">
        <v>3752</v>
      </c>
      <c r="O115">
        <v>114</v>
      </c>
    </row>
    <row r="116" spans="2:15" x14ac:dyDescent="0.3">
      <c r="B116" s="135" t="s">
        <v>3753</v>
      </c>
      <c r="C116">
        <v>115</v>
      </c>
      <c r="N116" s="135" t="s">
        <v>3753</v>
      </c>
      <c r="O116">
        <v>115</v>
      </c>
    </row>
    <row r="117" spans="2:15" x14ac:dyDescent="0.3">
      <c r="B117" s="135" t="s">
        <v>3754</v>
      </c>
      <c r="C117">
        <v>116</v>
      </c>
      <c r="N117" s="135" t="s">
        <v>3754</v>
      </c>
      <c r="O117">
        <v>116</v>
      </c>
    </row>
    <row r="118" spans="2:15" x14ac:dyDescent="0.3">
      <c r="B118" s="135" t="s">
        <v>3755</v>
      </c>
      <c r="C118">
        <v>117</v>
      </c>
      <c r="N118" s="135" t="s">
        <v>3755</v>
      </c>
      <c r="O118">
        <v>117</v>
      </c>
    </row>
    <row r="119" spans="2:15" x14ac:dyDescent="0.3">
      <c r="B119" s="135" t="s">
        <v>3756</v>
      </c>
      <c r="C119">
        <v>118</v>
      </c>
      <c r="N119" s="135" t="s">
        <v>3756</v>
      </c>
      <c r="O119">
        <v>118</v>
      </c>
    </row>
    <row r="120" spans="2:15" x14ac:dyDescent="0.3">
      <c r="B120" s="135" t="s">
        <v>3757</v>
      </c>
      <c r="C120">
        <v>119</v>
      </c>
      <c r="N120" s="135" t="s">
        <v>3757</v>
      </c>
      <c r="O120">
        <v>119</v>
      </c>
    </row>
    <row r="121" spans="2:15" x14ac:dyDescent="0.3">
      <c r="B121" s="135" t="s">
        <v>3758</v>
      </c>
      <c r="C121">
        <v>120</v>
      </c>
      <c r="N121" s="135" t="s">
        <v>3758</v>
      </c>
      <c r="O121">
        <v>120</v>
      </c>
    </row>
    <row r="122" spans="2:15" x14ac:dyDescent="0.3">
      <c r="B122" s="135" t="s">
        <v>3759</v>
      </c>
      <c r="C122">
        <v>121</v>
      </c>
      <c r="N122" s="135" t="s">
        <v>3759</v>
      </c>
      <c r="O122">
        <v>121</v>
      </c>
    </row>
    <row r="123" spans="2:15" x14ac:dyDescent="0.3">
      <c r="B123" s="135" t="s">
        <v>3760</v>
      </c>
      <c r="C123">
        <v>122</v>
      </c>
      <c r="N123" s="135" t="s">
        <v>3760</v>
      </c>
      <c r="O123">
        <v>122</v>
      </c>
    </row>
    <row r="124" spans="2:15" x14ac:dyDescent="0.3">
      <c r="B124" s="135" t="s">
        <v>3761</v>
      </c>
      <c r="C124">
        <v>123</v>
      </c>
      <c r="N124" s="135" t="s">
        <v>3761</v>
      </c>
      <c r="O124">
        <v>123</v>
      </c>
    </row>
    <row r="125" spans="2:15" x14ac:dyDescent="0.3">
      <c r="B125" s="135" t="s">
        <v>3762</v>
      </c>
      <c r="C125">
        <v>124</v>
      </c>
      <c r="N125" s="135" t="s">
        <v>3762</v>
      </c>
      <c r="O125">
        <v>124</v>
      </c>
    </row>
    <row r="126" spans="2:15" x14ac:dyDescent="0.3">
      <c r="B126" s="135" t="s">
        <v>3763</v>
      </c>
      <c r="C126">
        <v>125</v>
      </c>
      <c r="N126" s="135" t="s">
        <v>3763</v>
      </c>
      <c r="O126">
        <v>125</v>
      </c>
    </row>
    <row r="127" spans="2:15" x14ac:dyDescent="0.3">
      <c r="B127" s="135" t="s">
        <v>3764</v>
      </c>
      <c r="C127">
        <v>126</v>
      </c>
      <c r="N127" s="135" t="s">
        <v>3764</v>
      </c>
      <c r="O127">
        <v>126</v>
      </c>
    </row>
    <row r="128" spans="2:15" x14ac:dyDescent="0.3">
      <c r="B128" s="135" t="s">
        <v>3765</v>
      </c>
      <c r="C128">
        <v>127</v>
      </c>
      <c r="N128" s="135" t="s">
        <v>3765</v>
      </c>
      <c r="O128">
        <v>127</v>
      </c>
    </row>
    <row r="129" spans="2:15" x14ac:dyDescent="0.3">
      <c r="B129" s="135" t="s">
        <v>3766</v>
      </c>
      <c r="C129">
        <v>128</v>
      </c>
      <c r="N129" s="135" t="s">
        <v>3766</v>
      </c>
      <c r="O129">
        <v>128</v>
      </c>
    </row>
    <row r="130" spans="2:15" x14ac:dyDescent="0.3">
      <c r="B130" s="135" t="s">
        <v>3767</v>
      </c>
      <c r="C130">
        <v>129</v>
      </c>
      <c r="N130" s="135" t="s">
        <v>3767</v>
      </c>
      <c r="O130">
        <v>129</v>
      </c>
    </row>
    <row r="131" spans="2:15" x14ac:dyDescent="0.3">
      <c r="B131" s="135" t="s">
        <v>3768</v>
      </c>
      <c r="C131">
        <v>130</v>
      </c>
      <c r="N131" s="135" t="s">
        <v>3768</v>
      </c>
      <c r="O131">
        <v>130</v>
      </c>
    </row>
    <row r="132" spans="2:15" x14ac:dyDescent="0.3">
      <c r="B132" s="135" t="s">
        <v>3769</v>
      </c>
      <c r="C132">
        <v>131</v>
      </c>
      <c r="N132" s="135" t="s">
        <v>3769</v>
      </c>
      <c r="O132">
        <v>131</v>
      </c>
    </row>
    <row r="133" spans="2:15" x14ac:dyDescent="0.3">
      <c r="B133" s="135" t="s">
        <v>3770</v>
      </c>
      <c r="C133">
        <v>132</v>
      </c>
      <c r="N133" s="135" t="s">
        <v>3770</v>
      </c>
      <c r="O133">
        <v>132</v>
      </c>
    </row>
    <row r="134" spans="2:15" x14ac:dyDescent="0.3">
      <c r="B134" s="135" t="s">
        <v>3771</v>
      </c>
      <c r="C134">
        <v>133</v>
      </c>
      <c r="N134" s="135" t="s">
        <v>3771</v>
      </c>
      <c r="O134">
        <v>133</v>
      </c>
    </row>
    <row r="135" spans="2:15" x14ac:dyDescent="0.3">
      <c r="B135" s="135" t="s">
        <v>3772</v>
      </c>
      <c r="C135">
        <v>134</v>
      </c>
      <c r="N135" s="135" t="s">
        <v>3772</v>
      </c>
      <c r="O135">
        <v>134</v>
      </c>
    </row>
    <row r="136" spans="2:15" x14ac:dyDescent="0.3">
      <c r="B136" s="135" t="s">
        <v>3773</v>
      </c>
      <c r="C136">
        <v>135</v>
      </c>
      <c r="N136" s="135" t="s">
        <v>3773</v>
      </c>
      <c r="O136">
        <v>135</v>
      </c>
    </row>
    <row r="137" spans="2:15" x14ac:dyDescent="0.3">
      <c r="B137" s="135" t="s">
        <v>3774</v>
      </c>
      <c r="C137">
        <v>136</v>
      </c>
      <c r="N137" s="135" t="s">
        <v>3774</v>
      </c>
      <c r="O137">
        <v>136</v>
      </c>
    </row>
    <row r="138" spans="2:15" x14ac:dyDescent="0.3">
      <c r="B138" s="135" t="s">
        <v>3775</v>
      </c>
      <c r="C138">
        <v>137</v>
      </c>
      <c r="N138" s="135" t="s">
        <v>3775</v>
      </c>
      <c r="O138">
        <v>137</v>
      </c>
    </row>
    <row r="139" spans="2:15" x14ac:dyDescent="0.3">
      <c r="B139" s="135" t="s">
        <v>3776</v>
      </c>
      <c r="C139">
        <v>138</v>
      </c>
      <c r="N139" s="135" t="s">
        <v>3776</v>
      </c>
      <c r="O139">
        <v>138</v>
      </c>
    </row>
    <row r="140" spans="2:15" x14ac:dyDescent="0.3">
      <c r="B140" s="135" t="s">
        <v>3777</v>
      </c>
      <c r="C140">
        <v>139</v>
      </c>
      <c r="N140" s="135" t="s">
        <v>3777</v>
      </c>
      <c r="O140">
        <v>139</v>
      </c>
    </row>
    <row r="141" spans="2:15" x14ac:dyDescent="0.3">
      <c r="B141" s="135" t="s">
        <v>3778</v>
      </c>
      <c r="C141">
        <v>140</v>
      </c>
      <c r="N141" s="135" t="s">
        <v>3778</v>
      </c>
      <c r="O141">
        <v>140</v>
      </c>
    </row>
    <row r="142" spans="2:15" x14ac:dyDescent="0.3">
      <c r="B142" s="135" t="s">
        <v>3779</v>
      </c>
      <c r="C142">
        <v>141</v>
      </c>
      <c r="N142" s="135" t="s">
        <v>3779</v>
      </c>
      <c r="O142">
        <v>141</v>
      </c>
    </row>
    <row r="143" spans="2:15" x14ac:dyDescent="0.3">
      <c r="B143" s="135" t="s">
        <v>3780</v>
      </c>
      <c r="C143">
        <v>142</v>
      </c>
      <c r="N143" s="135" t="s">
        <v>3780</v>
      </c>
      <c r="O143">
        <v>142</v>
      </c>
    </row>
    <row r="144" spans="2:15" x14ac:dyDescent="0.3">
      <c r="B144" s="135" t="s">
        <v>3781</v>
      </c>
      <c r="C144">
        <v>143</v>
      </c>
      <c r="N144" s="135" t="s">
        <v>3781</v>
      </c>
      <c r="O144">
        <v>143</v>
      </c>
    </row>
    <row r="145" spans="2:15" x14ac:dyDescent="0.3">
      <c r="B145" s="135" t="s">
        <v>3782</v>
      </c>
      <c r="C145">
        <v>144</v>
      </c>
      <c r="N145" s="135" t="s">
        <v>3782</v>
      </c>
      <c r="O145">
        <v>144</v>
      </c>
    </row>
    <row r="146" spans="2:15" x14ac:dyDescent="0.3">
      <c r="B146" s="135" t="s">
        <v>3783</v>
      </c>
      <c r="C146">
        <v>145</v>
      </c>
      <c r="N146" s="135" t="s">
        <v>3783</v>
      </c>
      <c r="O146">
        <v>145</v>
      </c>
    </row>
    <row r="147" spans="2:15" x14ac:dyDescent="0.3">
      <c r="B147" s="135" t="s">
        <v>3784</v>
      </c>
      <c r="C147">
        <v>146</v>
      </c>
      <c r="N147" s="135" t="s">
        <v>3784</v>
      </c>
      <c r="O147">
        <v>146</v>
      </c>
    </row>
    <row r="148" spans="2:15" x14ac:dyDescent="0.3">
      <c r="B148" s="135" t="s">
        <v>3785</v>
      </c>
      <c r="C148">
        <v>147</v>
      </c>
      <c r="N148" s="135" t="s">
        <v>3785</v>
      </c>
      <c r="O148">
        <v>147</v>
      </c>
    </row>
    <row r="149" spans="2:15" x14ac:dyDescent="0.3">
      <c r="B149" s="135" t="s">
        <v>3786</v>
      </c>
      <c r="C149">
        <v>148</v>
      </c>
      <c r="N149" s="135" t="s">
        <v>3786</v>
      </c>
      <c r="O149">
        <v>148</v>
      </c>
    </row>
    <row r="150" spans="2:15" x14ac:dyDescent="0.3">
      <c r="B150" s="135" t="s">
        <v>3787</v>
      </c>
      <c r="C150">
        <v>149</v>
      </c>
      <c r="N150" s="135" t="s">
        <v>3787</v>
      </c>
      <c r="O150">
        <v>149</v>
      </c>
    </row>
    <row r="151" spans="2:15" x14ac:dyDescent="0.3">
      <c r="B151" s="135" t="s">
        <v>3788</v>
      </c>
      <c r="C151">
        <v>150</v>
      </c>
      <c r="N151" s="135" t="s">
        <v>3788</v>
      </c>
      <c r="O151">
        <v>150</v>
      </c>
    </row>
    <row r="152" spans="2:15" x14ac:dyDescent="0.3">
      <c r="B152" s="135" t="s">
        <v>3789</v>
      </c>
      <c r="C152">
        <v>151</v>
      </c>
      <c r="N152" s="135" t="s">
        <v>3789</v>
      </c>
      <c r="O152">
        <v>151</v>
      </c>
    </row>
    <row r="153" spans="2:15" x14ac:dyDescent="0.3">
      <c r="B153" s="135" t="s">
        <v>3790</v>
      </c>
      <c r="C153">
        <v>152</v>
      </c>
      <c r="N153" s="135" t="s">
        <v>3790</v>
      </c>
      <c r="O153">
        <v>152</v>
      </c>
    </row>
    <row r="154" spans="2:15" x14ac:dyDescent="0.3">
      <c r="B154" s="135" t="s">
        <v>3791</v>
      </c>
      <c r="C154">
        <v>153</v>
      </c>
      <c r="N154" s="135" t="s">
        <v>3791</v>
      </c>
      <c r="O154">
        <v>153</v>
      </c>
    </row>
    <row r="155" spans="2:15" x14ac:dyDescent="0.3">
      <c r="B155" s="135" t="s">
        <v>3792</v>
      </c>
      <c r="C155">
        <v>154</v>
      </c>
      <c r="N155" s="135" t="s">
        <v>3792</v>
      </c>
      <c r="O155">
        <v>154</v>
      </c>
    </row>
    <row r="156" spans="2:15" x14ac:dyDescent="0.3">
      <c r="B156" s="135" t="s">
        <v>3793</v>
      </c>
      <c r="C156">
        <v>155</v>
      </c>
      <c r="N156" s="135" t="s">
        <v>3793</v>
      </c>
      <c r="O156">
        <v>155</v>
      </c>
    </row>
    <row r="157" spans="2:15" x14ac:dyDescent="0.3">
      <c r="B157" s="135" t="s">
        <v>3794</v>
      </c>
      <c r="C157">
        <v>156</v>
      </c>
      <c r="N157" s="135" t="s">
        <v>3794</v>
      </c>
      <c r="O157">
        <v>156</v>
      </c>
    </row>
    <row r="158" spans="2:15" x14ac:dyDescent="0.3">
      <c r="B158" s="135" t="s">
        <v>3795</v>
      </c>
      <c r="C158">
        <v>157</v>
      </c>
      <c r="N158" s="135" t="s">
        <v>3795</v>
      </c>
      <c r="O158">
        <v>157</v>
      </c>
    </row>
    <row r="159" spans="2:15" x14ac:dyDescent="0.3">
      <c r="B159" s="135" t="s">
        <v>3796</v>
      </c>
      <c r="C159">
        <v>158</v>
      </c>
      <c r="N159" s="135" t="s">
        <v>3796</v>
      </c>
      <c r="O159">
        <v>158</v>
      </c>
    </row>
    <row r="160" spans="2:15" x14ac:dyDescent="0.3">
      <c r="B160" s="135" t="s">
        <v>3797</v>
      </c>
      <c r="C160">
        <v>159</v>
      </c>
      <c r="N160" s="135" t="s">
        <v>3797</v>
      </c>
      <c r="O160">
        <v>159</v>
      </c>
    </row>
    <row r="161" spans="2:15" x14ac:dyDescent="0.3">
      <c r="B161" s="135" t="s">
        <v>3798</v>
      </c>
      <c r="C161">
        <v>160</v>
      </c>
      <c r="N161" s="135" t="s">
        <v>3798</v>
      </c>
      <c r="O161">
        <v>160</v>
      </c>
    </row>
    <row r="162" spans="2:15" x14ac:dyDescent="0.3">
      <c r="B162" s="135" t="s">
        <v>3799</v>
      </c>
      <c r="C162">
        <v>161</v>
      </c>
      <c r="N162" s="135" t="s">
        <v>3799</v>
      </c>
      <c r="O162">
        <v>161</v>
      </c>
    </row>
    <row r="163" spans="2:15" x14ac:dyDescent="0.3">
      <c r="B163" s="135" t="s">
        <v>3800</v>
      </c>
      <c r="C163">
        <v>162</v>
      </c>
      <c r="N163" s="135" t="s">
        <v>3800</v>
      </c>
      <c r="O163">
        <v>162</v>
      </c>
    </row>
    <row r="164" spans="2:15" x14ac:dyDescent="0.3">
      <c r="B164" s="135" t="s">
        <v>3801</v>
      </c>
      <c r="C164">
        <v>163</v>
      </c>
      <c r="N164" s="135" t="s">
        <v>3801</v>
      </c>
      <c r="O164">
        <v>163</v>
      </c>
    </row>
    <row r="165" spans="2:15" x14ac:dyDescent="0.3">
      <c r="B165" s="135" t="s">
        <v>3802</v>
      </c>
      <c r="C165">
        <v>164</v>
      </c>
      <c r="N165" s="135" t="s">
        <v>3802</v>
      </c>
      <c r="O165">
        <v>164</v>
      </c>
    </row>
    <row r="166" spans="2:15" x14ac:dyDescent="0.3">
      <c r="B166" s="135" t="s">
        <v>3803</v>
      </c>
      <c r="C166">
        <v>165</v>
      </c>
      <c r="N166" s="135" t="s">
        <v>3803</v>
      </c>
      <c r="O166">
        <v>165</v>
      </c>
    </row>
  </sheetData>
  <sortState xmlns:xlrd2="http://schemas.microsoft.com/office/spreadsheetml/2017/richdata2" ref="B2:C111">
    <sortCondition ref="B2:B111"/>
  </sortState>
  <conditionalFormatting sqref="N2:N166">
    <cfRule type="duplicateValues" dxfId="1" priority="2"/>
  </conditionalFormatting>
  <conditionalFormatting sqref="B2:B166">
    <cfRule type="duplicateValues" dxfId="0" priority="1"/>
  </conditionalFormatting>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F9187-FFC3-4C6D-925B-58894794250D}">
  <sheetPr codeName="Planilha8"/>
  <dimension ref="C2:L49"/>
  <sheetViews>
    <sheetView workbookViewId="0">
      <selection activeCell="G11" sqref="G11"/>
    </sheetView>
  </sheetViews>
  <sheetFormatPr defaultRowHeight="14.4" x14ac:dyDescent="0.3"/>
  <cols>
    <col min="3" max="3" width="23.44140625" customWidth="1"/>
    <col min="4" max="4" width="19.21875" customWidth="1"/>
    <col min="5" max="5" width="19.5546875" customWidth="1"/>
    <col min="6" max="6" width="15.77734375" style="47" customWidth="1"/>
    <col min="7" max="7" width="22.44140625" customWidth="1"/>
    <col min="9" max="9" width="11.21875" customWidth="1"/>
    <col min="12" max="12" width="10.44140625" bestFit="1" customWidth="1"/>
  </cols>
  <sheetData>
    <row r="2" spans="3:12" x14ac:dyDescent="0.3">
      <c r="C2" s="19"/>
      <c r="D2" s="19"/>
    </row>
    <row r="3" spans="3:12" x14ac:dyDescent="0.3">
      <c r="C3" s="19"/>
      <c r="D3" s="19"/>
      <c r="L3" s="264">
        <v>45458</v>
      </c>
    </row>
    <row r="4" spans="3:12" x14ac:dyDescent="0.3">
      <c r="C4" s="19"/>
      <c r="D4" s="19"/>
      <c r="L4">
        <f>COUNTIF(I:I,L3)</f>
        <v>23</v>
      </c>
    </row>
    <row r="5" spans="3:12" x14ac:dyDescent="0.3">
      <c r="C5" s="19"/>
      <c r="D5" s="19"/>
    </row>
    <row r="6" spans="3:12" x14ac:dyDescent="0.3">
      <c r="C6" s="45" t="s">
        <v>4045</v>
      </c>
      <c r="D6" s="45" t="s">
        <v>4046</v>
      </c>
      <c r="E6" s="45" t="s">
        <v>4047</v>
      </c>
      <c r="F6" s="42" t="s">
        <v>4048</v>
      </c>
      <c r="G6" s="45" t="s">
        <v>4049</v>
      </c>
      <c r="L6" s="264"/>
    </row>
    <row r="7" spans="3:12" x14ac:dyDescent="0.3">
      <c r="C7" s="19">
        <v>0</v>
      </c>
      <c r="D7" s="265" t="s">
        <v>3998</v>
      </c>
      <c r="E7" s="19" t="s">
        <v>3999</v>
      </c>
      <c r="F7" s="21">
        <v>4683765</v>
      </c>
      <c r="G7" s="19" t="s">
        <v>4000</v>
      </c>
      <c r="H7" s="19" t="s">
        <v>4001</v>
      </c>
      <c r="I7" s="264">
        <f>VLOOKUP(D7,'Controle de CR'!E:L,8,0)</f>
        <v>45458</v>
      </c>
    </row>
    <row r="8" spans="3:12" x14ac:dyDescent="0.3">
      <c r="C8" s="19">
        <v>0</v>
      </c>
      <c r="D8" s="19" t="s">
        <v>4002</v>
      </c>
      <c r="E8" s="19" t="s">
        <v>3999</v>
      </c>
      <c r="F8" s="21">
        <v>4677205</v>
      </c>
      <c r="G8" s="19" t="s">
        <v>4000</v>
      </c>
      <c r="H8" s="19" t="s">
        <v>4001</v>
      </c>
      <c r="I8" s="264" t="e">
        <f>VLOOKUP(D8,'Controle de CR'!E:L,8,0)</f>
        <v>#N/A</v>
      </c>
    </row>
    <row r="9" spans="3:12" x14ac:dyDescent="0.3">
      <c r="C9" s="19">
        <v>0</v>
      </c>
      <c r="D9" s="265" t="s">
        <v>4003</v>
      </c>
      <c r="E9" s="19" t="s">
        <v>3999</v>
      </c>
      <c r="F9" s="21">
        <v>4677205</v>
      </c>
      <c r="G9" s="19" t="s">
        <v>4000</v>
      </c>
      <c r="H9" s="19" t="s">
        <v>4001</v>
      </c>
      <c r="I9" s="264">
        <f>VLOOKUP(D9,'Controle de CR'!E:L,8,0)</f>
        <v>45458</v>
      </c>
    </row>
    <row r="10" spans="3:12" x14ac:dyDescent="0.3">
      <c r="C10" s="19">
        <v>0</v>
      </c>
      <c r="D10" s="265" t="s">
        <v>4004</v>
      </c>
      <c r="E10" s="19" t="s">
        <v>3999</v>
      </c>
      <c r="F10" s="21">
        <v>4677205</v>
      </c>
      <c r="G10" s="19" t="s">
        <v>4000</v>
      </c>
      <c r="H10" s="19" t="s">
        <v>4001</v>
      </c>
      <c r="I10" s="264">
        <f>VLOOKUP(D10,'Controle de CR'!E:L,8,0)</f>
        <v>45458</v>
      </c>
    </row>
    <row r="11" spans="3:12" x14ac:dyDescent="0.3">
      <c r="C11" s="19">
        <v>0</v>
      </c>
      <c r="D11" s="19" t="s">
        <v>4005</v>
      </c>
      <c r="E11" s="19" t="s">
        <v>3999</v>
      </c>
      <c r="F11" s="21">
        <v>4677205</v>
      </c>
      <c r="G11" s="19" t="s">
        <v>4000</v>
      </c>
      <c r="H11" s="19" t="s">
        <v>4001</v>
      </c>
      <c r="I11" s="264">
        <f>VLOOKUP(D11,'Controle de CR'!E:L,8,0)</f>
        <v>45458</v>
      </c>
    </row>
    <row r="12" spans="3:12" x14ac:dyDescent="0.3">
      <c r="C12" s="19">
        <v>0</v>
      </c>
      <c r="D12" s="265" t="s">
        <v>4006</v>
      </c>
      <c r="E12" s="19" t="s">
        <v>3999</v>
      </c>
      <c r="F12" s="21">
        <v>4677205</v>
      </c>
      <c r="G12" s="19" t="s">
        <v>4000</v>
      </c>
      <c r="H12" s="19" t="s">
        <v>4001</v>
      </c>
      <c r="I12" s="264">
        <f>VLOOKUP(D12,'Controle de CR'!E:L,8,0)</f>
        <v>45458</v>
      </c>
    </row>
    <row r="13" spans="3:12" x14ac:dyDescent="0.3">
      <c r="C13" s="19">
        <v>0</v>
      </c>
      <c r="D13" s="19" t="s">
        <v>4007</v>
      </c>
      <c r="E13" s="19" t="s">
        <v>3999</v>
      </c>
      <c r="F13" s="21">
        <v>4677205</v>
      </c>
      <c r="G13" s="19" t="s">
        <v>4000</v>
      </c>
      <c r="H13" s="19" t="s">
        <v>4001</v>
      </c>
      <c r="I13" s="264">
        <f>VLOOKUP(D13,'Controle de CR'!E:L,8,0)</f>
        <v>45458</v>
      </c>
    </row>
    <row r="14" spans="3:12" x14ac:dyDescent="0.3">
      <c r="C14" s="19">
        <v>0</v>
      </c>
      <c r="D14" s="265" t="s">
        <v>4008</v>
      </c>
      <c r="E14" s="19" t="s">
        <v>3999</v>
      </c>
      <c r="F14" s="21">
        <v>4677205</v>
      </c>
      <c r="G14" s="19" t="s">
        <v>4000</v>
      </c>
      <c r="H14" s="19" t="s">
        <v>4001</v>
      </c>
      <c r="I14" s="264">
        <f>VLOOKUP(D14,'Controle de CR'!E:L,8,0)</f>
        <v>45458</v>
      </c>
    </row>
    <row r="15" spans="3:12" x14ac:dyDescent="0.3">
      <c r="C15" s="19">
        <v>0</v>
      </c>
      <c r="D15" s="19" t="s">
        <v>4009</v>
      </c>
      <c r="E15" s="19" t="s">
        <v>3999</v>
      </c>
      <c r="F15" s="21">
        <v>4677205</v>
      </c>
      <c r="G15" s="19" t="s">
        <v>4000</v>
      </c>
      <c r="H15" s="19" t="s">
        <v>4001</v>
      </c>
      <c r="I15" s="264">
        <f>VLOOKUP(D15,'Controle de CR'!E:L,8,0)</f>
        <v>45460</v>
      </c>
    </row>
    <row r="16" spans="3:12" x14ac:dyDescent="0.3">
      <c r="C16" s="19">
        <v>0</v>
      </c>
      <c r="D16" s="265" t="s">
        <v>4010</v>
      </c>
      <c r="E16" s="19" t="s">
        <v>3999</v>
      </c>
      <c r="F16" s="21">
        <v>4677205</v>
      </c>
      <c r="G16" s="19" t="s">
        <v>4000</v>
      </c>
      <c r="H16" s="19" t="s">
        <v>4001</v>
      </c>
      <c r="I16" s="264">
        <f>VLOOKUP(D16,'Controle de CR'!E:L,8,0)</f>
        <v>45458</v>
      </c>
    </row>
    <row r="17" spans="3:9" x14ac:dyDescent="0.3">
      <c r="C17" s="19">
        <v>0</v>
      </c>
      <c r="D17" s="19" t="s">
        <v>4011</v>
      </c>
      <c r="E17" s="19" t="s">
        <v>3999</v>
      </c>
      <c r="F17" s="21">
        <v>4677205</v>
      </c>
      <c r="G17" s="19" t="s">
        <v>4000</v>
      </c>
      <c r="H17" s="19" t="s">
        <v>4001</v>
      </c>
      <c r="I17" s="264">
        <f>VLOOKUP(D17,'Controle de CR'!E:L,8,0)</f>
        <v>45458</v>
      </c>
    </row>
    <row r="18" spans="3:9" x14ac:dyDescent="0.3">
      <c r="C18" s="19">
        <v>0</v>
      </c>
      <c r="D18" s="19" t="s">
        <v>4012</v>
      </c>
      <c r="E18" s="19" t="s">
        <v>3999</v>
      </c>
      <c r="F18" s="21">
        <v>4677205</v>
      </c>
      <c r="G18" s="19" t="s">
        <v>4000</v>
      </c>
      <c r="H18" s="19" t="s">
        <v>4001</v>
      </c>
      <c r="I18" s="264">
        <f>VLOOKUP(D18,'Controle de CR'!E:L,8,0)</f>
        <v>45458</v>
      </c>
    </row>
    <row r="19" spans="3:9" x14ac:dyDescent="0.3">
      <c r="C19" s="19">
        <v>0</v>
      </c>
      <c r="D19" s="265" t="s">
        <v>4013</v>
      </c>
      <c r="E19" s="19" t="s">
        <v>3999</v>
      </c>
      <c r="F19" s="21">
        <v>4677205</v>
      </c>
      <c r="G19" s="19" t="s">
        <v>4000</v>
      </c>
      <c r="H19" s="19" t="s">
        <v>4001</v>
      </c>
      <c r="I19" s="264">
        <f>VLOOKUP(D19,'Controle de CR'!E:L,8,0)</f>
        <v>45458</v>
      </c>
    </row>
    <row r="20" spans="3:9" x14ac:dyDescent="0.3">
      <c r="C20" s="19">
        <v>0</v>
      </c>
      <c r="D20" s="19" t="s">
        <v>4014</v>
      </c>
      <c r="E20" s="19" t="s">
        <v>3999</v>
      </c>
      <c r="F20" s="21">
        <v>4677249</v>
      </c>
      <c r="G20" s="19" t="s">
        <v>4000</v>
      </c>
      <c r="H20" s="19" t="s">
        <v>4001</v>
      </c>
      <c r="I20" s="264">
        <f>VLOOKUP(D20,'Controle de CR'!E:L,8,0)</f>
        <v>45460</v>
      </c>
    </row>
    <row r="21" spans="3:9" x14ac:dyDescent="0.3">
      <c r="C21" s="19">
        <v>0</v>
      </c>
      <c r="D21" s="19" t="s">
        <v>4015</v>
      </c>
      <c r="E21" s="19" t="s">
        <v>3999</v>
      </c>
      <c r="F21" s="21">
        <v>4691075</v>
      </c>
      <c r="G21" s="19" t="s">
        <v>4000</v>
      </c>
      <c r="H21" s="19" t="s">
        <v>4001</v>
      </c>
      <c r="I21" s="264" t="e">
        <f>VLOOKUP(D21,'Controle de CR'!E:L,8,0)</f>
        <v>#N/A</v>
      </c>
    </row>
    <row r="22" spans="3:9" x14ac:dyDescent="0.3">
      <c r="C22" s="19">
        <v>0</v>
      </c>
      <c r="D22" s="265" t="s">
        <v>3987</v>
      </c>
      <c r="E22" s="19" t="s">
        <v>3999</v>
      </c>
      <c r="F22" s="21">
        <v>4691075</v>
      </c>
      <c r="G22" s="19" t="s">
        <v>4000</v>
      </c>
      <c r="H22" s="19" t="s">
        <v>4001</v>
      </c>
      <c r="I22" s="264">
        <f>VLOOKUP(D22,'Controle de CR'!E:L,8,0)</f>
        <v>45457</v>
      </c>
    </row>
    <row r="23" spans="3:9" x14ac:dyDescent="0.3">
      <c r="C23" s="19">
        <v>0</v>
      </c>
      <c r="D23" s="265" t="s">
        <v>4016</v>
      </c>
      <c r="E23" s="19" t="s">
        <v>3999</v>
      </c>
      <c r="F23" s="21">
        <v>4691075</v>
      </c>
      <c r="G23" s="19" t="s">
        <v>4000</v>
      </c>
      <c r="H23" s="19" t="s">
        <v>4001</v>
      </c>
      <c r="I23" s="264">
        <f>VLOOKUP(D23,'Controle de CR'!E:L,8,0)</f>
        <v>45458</v>
      </c>
    </row>
    <row r="24" spans="3:9" x14ac:dyDescent="0.3">
      <c r="C24" s="19">
        <v>0</v>
      </c>
      <c r="D24" s="19" t="s">
        <v>4017</v>
      </c>
      <c r="E24" s="19" t="s">
        <v>3999</v>
      </c>
      <c r="F24" s="21">
        <v>4677208</v>
      </c>
      <c r="G24" s="19" t="s">
        <v>4000</v>
      </c>
      <c r="H24" s="19" t="s">
        <v>4018</v>
      </c>
      <c r="I24" s="264" t="e">
        <f>VLOOKUP(D24,'Controle de CR'!E:L,8,0)</f>
        <v>#N/A</v>
      </c>
    </row>
    <row r="25" spans="3:9" x14ac:dyDescent="0.3">
      <c r="C25" s="19">
        <v>0</v>
      </c>
      <c r="D25" s="265" t="s">
        <v>4019</v>
      </c>
      <c r="E25" s="19" t="s">
        <v>3999</v>
      </c>
      <c r="F25" s="21">
        <v>4677211</v>
      </c>
      <c r="G25" s="19" t="s">
        <v>4000</v>
      </c>
      <c r="H25" s="19" t="s">
        <v>4001</v>
      </c>
      <c r="I25" s="264">
        <f>VLOOKUP(D25,'Controle de CR'!E:L,8,0)</f>
        <v>45458</v>
      </c>
    </row>
    <row r="26" spans="3:9" x14ac:dyDescent="0.3">
      <c r="C26" s="19">
        <v>0</v>
      </c>
      <c r="D26" s="265" t="s">
        <v>4020</v>
      </c>
      <c r="E26" s="19" t="s">
        <v>3999</v>
      </c>
      <c r="F26" s="21">
        <v>4677211</v>
      </c>
      <c r="G26" s="19" t="s">
        <v>4000</v>
      </c>
      <c r="H26" s="19" t="s">
        <v>4001</v>
      </c>
      <c r="I26" s="264">
        <f>VLOOKUP(D26,'Controle de CR'!E:L,8,0)</f>
        <v>45458</v>
      </c>
    </row>
    <row r="27" spans="3:9" x14ac:dyDescent="0.3">
      <c r="C27" s="19">
        <v>0</v>
      </c>
      <c r="D27" s="265" t="s">
        <v>4021</v>
      </c>
      <c r="E27" s="19" t="s">
        <v>3999</v>
      </c>
      <c r="F27" s="21">
        <v>4677211</v>
      </c>
      <c r="G27" s="19" t="s">
        <v>4000</v>
      </c>
      <c r="H27" s="19" t="s">
        <v>4001</v>
      </c>
      <c r="I27" s="264">
        <f>VLOOKUP(D27,'Controle de CR'!E:L,8,0)</f>
        <v>45458</v>
      </c>
    </row>
    <row r="28" spans="3:9" x14ac:dyDescent="0.3">
      <c r="C28" s="19">
        <v>0</v>
      </c>
      <c r="D28" s="19" t="s">
        <v>4022</v>
      </c>
      <c r="E28" s="19" t="s">
        <v>3999</v>
      </c>
      <c r="F28" s="21">
        <v>4677211</v>
      </c>
      <c r="G28" s="19" t="s">
        <v>4000</v>
      </c>
      <c r="H28" s="19" t="s">
        <v>4001</v>
      </c>
      <c r="I28" s="264" t="e">
        <f>VLOOKUP(D28,'Controle de CR'!E:L,8,0)</f>
        <v>#N/A</v>
      </c>
    </row>
    <row r="29" spans="3:9" x14ac:dyDescent="0.3">
      <c r="C29" s="19">
        <v>0</v>
      </c>
      <c r="D29" s="265" t="s">
        <v>4023</v>
      </c>
      <c r="E29" s="19" t="s">
        <v>3999</v>
      </c>
      <c r="F29" s="21">
        <v>4677211</v>
      </c>
      <c r="G29" s="19" t="s">
        <v>4000</v>
      </c>
      <c r="H29" s="19" t="s">
        <v>4001</v>
      </c>
      <c r="I29" s="264">
        <f>VLOOKUP(D29,'Controle de CR'!E:L,8,0)</f>
        <v>45458</v>
      </c>
    </row>
    <row r="30" spans="3:9" x14ac:dyDescent="0.3">
      <c r="C30" s="19">
        <v>0</v>
      </c>
      <c r="D30" s="265" t="s">
        <v>3993</v>
      </c>
      <c r="E30" s="19" t="s">
        <v>3999</v>
      </c>
      <c r="F30" s="21">
        <v>4677211</v>
      </c>
      <c r="G30" s="19" t="s">
        <v>4000</v>
      </c>
      <c r="H30" s="19" t="s">
        <v>4001</v>
      </c>
      <c r="I30" s="264">
        <f>VLOOKUP(D30,'Controle de CR'!E:L,8,0)</f>
        <v>45457</v>
      </c>
    </row>
    <row r="31" spans="3:9" x14ac:dyDescent="0.3">
      <c r="C31" s="19">
        <v>0</v>
      </c>
      <c r="D31" s="19" t="s">
        <v>4024</v>
      </c>
      <c r="E31" s="19" t="s">
        <v>3999</v>
      </c>
      <c r="F31" s="21">
        <v>4677211</v>
      </c>
      <c r="G31" s="19" t="s">
        <v>4000</v>
      </c>
      <c r="H31" s="19" t="s">
        <v>4001</v>
      </c>
      <c r="I31" s="264" t="e">
        <f>VLOOKUP(D31,'Controle de CR'!E:L,8,0)</f>
        <v>#N/A</v>
      </c>
    </row>
    <row r="32" spans="3:9" x14ac:dyDescent="0.3">
      <c r="C32" s="19">
        <v>0</v>
      </c>
      <c r="D32" s="265" t="s">
        <v>3991</v>
      </c>
      <c r="E32" s="19" t="s">
        <v>3999</v>
      </c>
      <c r="F32" s="21">
        <v>4677211</v>
      </c>
      <c r="G32" s="19" t="s">
        <v>4000</v>
      </c>
      <c r="H32" s="19" t="s">
        <v>4001</v>
      </c>
      <c r="I32" s="264">
        <f>VLOOKUP(D32,'Controle de CR'!E:L,8,0)</f>
        <v>45457</v>
      </c>
    </row>
    <row r="33" spans="3:9" x14ac:dyDescent="0.3">
      <c r="C33" s="19">
        <v>0</v>
      </c>
      <c r="D33" s="265" t="s">
        <v>4025</v>
      </c>
      <c r="E33" s="19" t="s">
        <v>3999</v>
      </c>
      <c r="F33" s="21">
        <v>4677211</v>
      </c>
      <c r="G33" s="19" t="s">
        <v>4000</v>
      </c>
      <c r="H33" s="19" t="s">
        <v>4001</v>
      </c>
      <c r="I33" s="264">
        <f>VLOOKUP(D33,'Controle de CR'!E:L,8,0)</f>
        <v>45458</v>
      </c>
    </row>
    <row r="34" spans="3:9" x14ac:dyDescent="0.3">
      <c r="C34" s="19">
        <v>0</v>
      </c>
      <c r="D34" s="265" t="s">
        <v>4026</v>
      </c>
      <c r="E34" s="19" t="s">
        <v>3999</v>
      </c>
      <c r="F34" s="21">
        <v>4677211</v>
      </c>
      <c r="G34" s="19" t="s">
        <v>4000</v>
      </c>
      <c r="H34" s="19" t="s">
        <v>4001</v>
      </c>
      <c r="I34" s="264">
        <f>VLOOKUP(D34,'Controle de CR'!E:L,8,0)</f>
        <v>45458</v>
      </c>
    </row>
    <row r="35" spans="3:9" x14ac:dyDescent="0.3">
      <c r="C35" s="19">
        <v>0</v>
      </c>
      <c r="D35" s="265" t="s">
        <v>4027</v>
      </c>
      <c r="E35" s="19" t="s">
        <v>3999</v>
      </c>
      <c r="F35" s="21">
        <v>4677211</v>
      </c>
      <c r="G35" s="19" t="s">
        <v>4000</v>
      </c>
      <c r="H35" s="19" t="s">
        <v>4001</v>
      </c>
      <c r="I35" s="264">
        <f>VLOOKUP(D35,'Controle de CR'!E:L,8,0)</f>
        <v>45458</v>
      </c>
    </row>
    <row r="36" spans="3:9" x14ac:dyDescent="0.3">
      <c r="C36" s="19">
        <v>0</v>
      </c>
      <c r="D36" s="265" t="s">
        <v>3996</v>
      </c>
      <c r="E36" s="19" t="s">
        <v>3999</v>
      </c>
      <c r="F36" s="21">
        <v>4677211</v>
      </c>
      <c r="G36" s="19" t="s">
        <v>4000</v>
      </c>
      <c r="H36" s="19" t="s">
        <v>4001</v>
      </c>
      <c r="I36" s="264">
        <f>VLOOKUP(D36,'Controle de CR'!E:L,8,0)</f>
        <v>45457</v>
      </c>
    </row>
    <row r="37" spans="3:9" x14ac:dyDescent="0.3">
      <c r="C37" s="19">
        <v>0</v>
      </c>
      <c r="D37" s="19" t="s">
        <v>4028</v>
      </c>
      <c r="E37" s="19" t="s">
        <v>3999</v>
      </c>
      <c r="F37" s="21" t="s">
        <v>4029</v>
      </c>
      <c r="G37" s="19" t="s">
        <v>4000</v>
      </c>
      <c r="H37" s="19" t="s">
        <v>4001</v>
      </c>
      <c r="I37" s="264">
        <f>VLOOKUP(D37,'Controle de CR'!E:L,8,0)</f>
        <v>45462</v>
      </c>
    </row>
    <row r="38" spans="3:9" x14ac:dyDescent="0.3">
      <c r="C38" s="19">
        <v>0</v>
      </c>
      <c r="D38" s="19" t="s">
        <v>4030</v>
      </c>
      <c r="E38" s="19" t="s">
        <v>3999</v>
      </c>
      <c r="F38" s="21" t="s">
        <v>4029</v>
      </c>
      <c r="G38" s="19" t="s">
        <v>4000</v>
      </c>
      <c r="H38" s="19" t="s">
        <v>4001</v>
      </c>
      <c r="I38" s="264">
        <f>VLOOKUP(D38,'Controle de CR'!E:L,8,0)</f>
        <v>45462</v>
      </c>
    </row>
    <row r="39" spans="3:9" x14ac:dyDescent="0.3">
      <c r="C39" s="19">
        <v>0</v>
      </c>
      <c r="D39" s="19" t="s">
        <v>4031</v>
      </c>
      <c r="E39" s="19" t="s">
        <v>3999</v>
      </c>
      <c r="F39" s="21" t="s">
        <v>4029</v>
      </c>
      <c r="G39" s="19" t="s">
        <v>4000</v>
      </c>
      <c r="H39" s="19" t="s">
        <v>4001</v>
      </c>
      <c r="I39" s="264">
        <f>VLOOKUP(D39,'Controle de CR'!E:L,8,0)</f>
        <v>45458</v>
      </c>
    </row>
    <row r="40" spans="3:9" x14ac:dyDescent="0.3">
      <c r="C40" s="19">
        <v>0</v>
      </c>
      <c r="D40" s="19" t="s">
        <v>4032</v>
      </c>
      <c r="E40" s="19" t="s">
        <v>3999</v>
      </c>
      <c r="F40" s="21" t="s">
        <v>4029</v>
      </c>
      <c r="G40" s="19" t="s">
        <v>4000</v>
      </c>
      <c r="H40" s="19" t="s">
        <v>4001</v>
      </c>
      <c r="I40" s="264">
        <f>VLOOKUP(D40,'Controle de CR'!E:L,8,0)</f>
        <v>45462</v>
      </c>
    </row>
    <row r="41" spans="3:9" x14ac:dyDescent="0.3">
      <c r="C41" s="19">
        <v>0</v>
      </c>
      <c r="D41" s="19" t="s">
        <v>4033</v>
      </c>
      <c r="E41" s="19" t="s">
        <v>4034</v>
      </c>
      <c r="F41" s="21">
        <v>4704121</v>
      </c>
      <c r="G41" s="19" t="s">
        <v>4000</v>
      </c>
      <c r="H41" s="19" t="s">
        <v>4035</v>
      </c>
      <c r="I41" s="264">
        <f>VLOOKUP(D41,'Controle de CR'!E:L,8,0)</f>
        <v>45464</v>
      </c>
    </row>
    <row r="42" spans="3:9" x14ac:dyDescent="0.3">
      <c r="C42" s="19">
        <v>0</v>
      </c>
      <c r="D42" s="19" t="s">
        <v>4036</v>
      </c>
      <c r="E42" s="19" t="s">
        <v>4034</v>
      </c>
      <c r="F42" s="21">
        <v>4704121</v>
      </c>
      <c r="G42" s="19" t="s">
        <v>4000</v>
      </c>
      <c r="H42" s="19" t="s">
        <v>4018</v>
      </c>
      <c r="I42" s="264">
        <f>VLOOKUP(D42,'Controle de CR'!E:L,8,0)</f>
        <v>45458</v>
      </c>
    </row>
    <row r="43" spans="3:9" x14ac:dyDescent="0.3">
      <c r="C43" s="19">
        <v>1</v>
      </c>
      <c r="D43" s="19" t="s">
        <v>4037</v>
      </c>
      <c r="E43" s="19" t="s">
        <v>3999</v>
      </c>
      <c r="F43" s="21" t="s">
        <v>4038</v>
      </c>
      <c r="G43" s="19" t="s">
        <v>4000</v>
      </c>
      <c r="H43" s="19" t="s">
        <v>4001</v>
      </c>
      <c r="I43" s="264" t="e">
        <f>VLOOKUP(D43,'Controle de CR'!E:L,8,0)</f>
        <v>#N/A</v>
      </c>
    </row>
    <row r="44" spans="3:9" x14ac:dyDescent="0.3">
      <c r="C44" s="19">
        <v>1</v>
      </c>
      <c r="D44" s="19" t="s">
        <v>4039</v>
      </c>
      <c r="E44" s="19" t="s">
        <v>4034</v>
      </c>
      <c r="F44" s="21">
        <v>281397</v>
      </c>
      <c r="G44" s="19" t="s">
        <v>4000</v>
      </c>
      <c r="H44" s="19" t="s">
        <v>4001</v>
      </c>
      <c r="I44" s="264">
        <f>VLOOKUP(D44,'Controle de CR'!E:L,8,0)</f>
        <v>45472</v>
      </c>
    </row>
    <row r="45" spans="3:9" x14ac:dyDescent="0.3">
      <c r="C45" s="19">
        <v>1</v>
      </c>
      <c r="D45" s="19" t="s">
        <v>4040</v>
      </c>
      <c r="E45" s="19" t="s">
        <v>4034</v>
      </c>
      <c r="F45" s="21">
        <v>282624</v>
      </c>
      <c r="G45" s="19" t="s">
        <v>4000</v>
      </c>
      <c r="H45" s="19" t="s">
        <v>4001</v>
      </c>
      <c r="I45" s="264">
        <f>VLOOKUP(D45,'Controle de CR'!E:L,8,0)</f>
        <v>45472</v>
      </c>
    </row>
    <row r="46" spans="3:9" x14ac:dyDescent="0.3">
      <c r="C46" s="19">
        <v>1</v>
      </c>
      <c r="D46" s="265" t="s">
        <v>4041</v>
      </c>
      <c r="E46" s="19" t="s">
        <v>4034</v>
      </c>
      <c r="F46" s="21">
        <v>4632694</v>
      </c>
      <c r="G46" s="19" t="s">
        <v>4000</v>
      </c>
      <c r="H46" s="19" t="s">
        <v>4001</v>
      </c>
      <c r="I46" s="264">
        <f>VLOOKUP(D46,'Controle de CR'!E:L,8,0)</f>
        <v>45458</v>
      </c>
    </row>
    <row r="47" spans="3:9" x14ac:dyDescent="0.3">
      <c r="C47" s="19">
        <v>1</v>
      </c>
      <c r="D47" s="265" t="s">
        <v>3933</v>
      </c>
      <c r="E47" s="19" t="s">
        <v>4034</v>
      </c>
      <c r="F47" s="21">
        <v>4677753</v>
      </c>
      <c r="G47" s="19" t="s">
        <v>4000</v>
      </c>
      <c r="H47" s="19" t="s">
        <v>4001</v>
      </c>
      <c r="I47" s="264">
        <f>VLOOKUP(D47,'Controle de CR'!E:L,8,0)</f>
        <v>45427.379861111112</v>
      </c>
    </row>
    <row r="48" spans="3:9" x14ac:dyDescent="0.3">
      <c r="C48" s="19">
        <v>1</v>
      </c>
      <c r="D48" s="19" t="s">
        <v>4042</v>
      </c>
      <c r="E48" s="19" t="s">
        <v>4034</v>
      </c>
      <c r="F48" s="21">
        <v>4677753</v>
      </c>
      <c r="G48" s="19" t="s">
        <v>4000</v>
      </c>
      <c r="H48" s="19" t="s">
        <v>4001</v>
      </c>
      <c r="I48" s="264" t="e">
        <f>VLOOKUP(D48,'Controle de CR'!E:L,8,0)</f>
        <v>#N/A</v>
      </c>
    </row>
    <row r="49" spans="3:9" ht="28.8" x14ac:dyDescent="0.3">
      <c r="C49" s="19">
        <v>1</v>
      </c>
      <c r="D49" s="265" t="s">
        <v>4043</v>
      </c>
      <c r="E49" s="19" t="s">
        <v>4034</v>
      </c>
      <c r="F49" s="21" t="s">
        <v>4044</v>
      </c>
      <c r="G49" s="19" t="s">
        <v>4000</v>
      </c>
      <c r="H49" s="19" t="s">
        <v>4001</v>
      </c>
      <c r="I49" s="264">
        <f>VLOOKUP(D49,'Controle de CR'!E:L,8,0)</f>
        <v>45458</v>
      </c>
    </row>
  </sheetData>
  <autoFilter ref="C6:I49" xr:uid="{DA7F9187-FFC3-4C6D-925B-58894794250D}"/>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9</vt:i4>
      </vt:variant>
    </vt:vector>
  </HeadingPairs>
  <TitlesOfParts>
    <vt:vector size="9" baseType="lpstr">
      <vt:lpstr>Acompanhamento</vt:lpstr>
      <vt:lpstr>Controle de CR</vt:lpstr>
      <vt:lpstr>Prioridades resposta</vt:lpstr>
      <vt:lpstr>My23.2Vs30</vt:lpstr>
      <vt:lpstr>Aplicadores MY26</vt:lpstr>
      <vt:lpstr>CR MY26</vt:lpstr>
      <vt:lpstr>MY26 Validações Uscar e GMW</vt:lpstr>
      <vt:lpstr>Planilha1</vt:lpstr>
      <vt:lpstr>Planilha2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Paulo</dc:creator>
  <cp:lastModifiedBy>Godoi, Thiago Mantoan DE</cp:lastModifiedBy>
  <cp:lastPrinted>2023-01-25T12:48:39Z</cp:lastPrinted>
  <dcterms:created xsi:type="dcterms:W3CDTF">2021-09-08T15:40:42Z</dcterms:created>
  <dcterms:modified xsi:type="dcterms:W3CDTF">2024-12-10T19:48:34Z</dcterms:modified>
</cp:coreProperties>
</file>