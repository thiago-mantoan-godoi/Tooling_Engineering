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godoi01\Documents\2025\9. Set\16-09-2025\Cadastro P&amp;A\"/>
    </mc:Choice>
  </mc:AlternateContent>
  <xr:revisionPtr revIDLastSave="0" documentId="13_ncr:1_{791C0469-AADD-4232-A18C-9BADAE16E8D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Sheet1!$A$1:$CR$80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0" i="1" l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7" i="1"/>
  <c r="D46" i="1"/>
  <c r="D45" i="1"/>
  <c r="D44" i="1"/>
  <c r="D43" i="1"/>
  <c r="D42" i="1"/>
  <c r="D41" i="1"/>
  <c r="D40" i="1"/>
  <c r="D39" i="1"/>
  <c r="D38" i="1"/>
  <c r="D37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3" i="1"/>
  <c r="D12" i="1"/>
  <c r="D11" i="1"/>
  <c r="D10" i="1"/>
  <c r="D7" i="1"/>
  <c r="D6" i="1"/>
  <c r="D5" i="1"/>
  <c r="D4" i="1"/>
  <c r="D3" i="1"/>
  <c r="D2" i="1"/>
  <c r="D49" i="1"/>
  <c r="D48" i="1"/>
  <c r="D36" i="1"/>
  <c r="D35" i="1"/>
  <c r="D34" i="1"/>
  <c r="D33" i="1"/>
  <c r="D15" i="1"/>
  <c r="D14" i="1"/>
  <c r="D9" i="1"/>
  <c r="D8" i="1"/>
</calcChain>
</file>

<file path=xl/sharedStrings.xml><?xml version="1.0" encoding="utf-8"?>
<sst xmlns="http://schemas.openxmlformats.org/spreadsheetml/2006/main" count="1081" uniqueCount="259">
  <si>
    <t>Família</t>
  </si>
  <si>
    <t>Fam_UCS</t>
  </si>
  <si>
    <t>Wire Nb</t>
  </si>
  <si>
    <t>Maco</t>
  </si>
  <si>
    <t>Rate</t>
  </si>
  <si>
    <t>P. Vision</t>
  </si>
  <si>
    <t>Severidade</t>
  </si>
  <si>
    <t>Multicore</t>
  </si>
  <si>
    <t>T</t>
  </si>
  <si>
    <t>Length</t>
  </si>
  <si>
    <t>Comp_TW</t>
  </si>
  <si>
    <t>C1</t>
  </si>
  <si>
    <t>C2</t>
  </si>
  <si>
    <t>C3</t>
  </si>
  <si>
    <t>Int.PN</t>
  </si>
  <si>
    <t>CSA</t>
  </si>
  <si>
    <t>Term. 1</t>
  </si>
  <si>
    <t>Strip 1</t>
  </si>
  <si>
    <t>Seal 1</t>
  </si>
  <si>
    <t>Node 1</t>
  </si>
  <si>
    <t>Joint 1</t>
  </si>
  <si>
    <t>T_1</t>
  </si>
  <si>
    <t>Note 1</t>
  </si>
  <si>
    <t>Term. 2</t>
  </si>
  <si>
    <t>Strip 2</t>
  </si>
  <si>
    <t>Seal 2</t>
  </si>
  <si>
    <t>Node 2</t>
  </si>
  <si>
    <t>Joint 2</t>
  </si>
  <si>
    <t>T_2</t>
  </si>
  <si>
    <t>Note 2</t>
  </si>
  <si>
    <t>Processo_A</t>
  </si>
  <si>
    <t>Processo_B</t>
  </si>
  <si>
    <t>Nome do arquivo</t>
  </si>
  <si>
    <t>Sequencia</t>
  </si>
  <si>
    <t>Leadset</t>
  </si>
  <si>
    <t>CKT PAI</t>
  </si>
  <si>
    <t>Alocações</t>
  </si>
  <si>
    <t>Volume</t>
  </si>
  <si>
    <t>Vol/dia</t>
  </si>
  <si>
    <t>Vol/Lote</t>
  </si>
  <si>
    <t>Estoque/Dias</t>
  </si>
  <si>
    <t>Tipos</t>
  </si>
  <si>
    <t>Bundle count</t>
  </si>
  <si>
    <t>Elastic</t>
  </si>
  <si>
    <t>Protect Cup</t>
  </si>
  <si>
    <t>Hangers</t>
  </si>
  <si>
    <t>Número de Kanbans</t>
  </si>
  <si>
    <t>Branco (Operacional)</t>
  </si>
  <si>
    <t>Amarelo (Alerta)</t>
  </si>
  <si>
    <t>Laranja (Segurança)</t>
  </si>
  <si>
    <t>Processo</t>
  </si>
  <si>
    <t>Lclass</t>
  </si>
  <si>
    <t>Conveyor Length</t>
  </si>
  <si>
    <t>Máquina</t>
  </si>
  <si>
    <t>Mch</t>
  </si>
  <si>
    <t>IDMch</t>
  </si>
  <si>
    <t>Runtime</t>
  </si>
  <si>
    <t>Time Batch</t>
  </si>
  <si>
    <t>Tempo de setup/hs</t>
  </si>
  <si>
    <t>Tempo de setup/min</t>
  </si>
  <si>
    <t>Tempo total / dia</t>
  </si>
  <si>
    <t>Open ends</t>
  </si>
  <si>
    <t>Sub-Assembly</t>
  </si>
  <si>
    <t>FAM EX</t>
  </si>
  <si>
    <t>QTD</t>
  </si>
  <si>
    <t>Deriv1</t>
  </si>
  <si>
    <t>Deriv2</t>
  </si>
  <si>
    <t>Deriv3</t>
  </si>
  <si>
    <t>Deriv4</t>
  </si>
  <si>
    <t>Deriv5</t>
  </si>
  <si>
    <t>Deriv6</t>
  </si>
  <si>
    <t>Deriv7</t>
  </si>
  <si>
    <t>Deriv8</t>
  </si>
  <si>
    <t>Deriv9</t>
  </si>
  <si>
    <t>Deriv10</t>
  </si>
  <si>
    <t>Deriv11</t>
  </si>
  <si>
    <t>Deriv12</t>
  </si>
  <si>
    <t>Deriv13</t>
  </si>
  <si>
    <t>Deriv14</t>
  </si>
  <si>
    <t>Deriv1.1</t>
  </si>
  <si>
    <t>Deriv2.1</t>
  </si>
  <si>
    <t>Deriv3.1</t>
  </si>
  <si>
    <t>Deriv4.1</t>
  </si>
  <si>
    <t>Deriv5.1</t>
  </si>
  <si>
    <t>Deriv6.1</t>
  </si>
  <si>
    <t>Deriv7.1</t>
  </si>
  <si>
    <t>Deriv8.1</t>
  </si>
  <si>
    <t>Deriv9.1</t>
  </si>
  <si>
    <t>Deriv10.1</t>
  </si>
  <si>
    <t>Deriv11.1</t>
  </si>
  <si>
    <t>Deriv12.1</t>
  </si>
  <si>
    <t>Deriv13.1</t>
  </si>
  <si>
    <t>Deriv14.1</t>
  </si>
  <si>
    <t>TOTAL</t>
  </si>
  <si>
    <t>N</t>
  </si>
  <si>
    <t>GY</t>
  </si>
  <si>
    <t>BK</t>
  </si>
  <si>
    <t>WH</t>
  </si>
  <si>
    <t>BU</t>
  </si>
  <si>
    <t>W</t>
  </si>
  <si>
    <t>E00120500</t>
  </si>
  <si>
    <t>Corte</t>
  </si>
  <si>
    <t>XDF_CABLAGE ADDITIONNEL AR_OCIH413422</t>
  </si>
  <si>
    <t>66B6</t>
  </si>
  <si>
    <t>TT</t>
  </si>
  <si>
    <t>CC64TT2</t>
  </si>
  <si>
    <t>OCIH413422</t>
  </si>
  <si>
    <t>1.0</t>
  </si>
  <si>
    <t>nan</t>
  </si>
  <si>
    <t>241576489R</t>
  </si>
  <si>
    <t>Splice</t>
  </si>
  <si>
    <t>M19</t>
  </si>
  <si>
    <t>30.0</t>
  </si>
  <si>
    <t>J - 19</t>
  </si>
  <si>
    <t>G24</t>
  </si>
  <si>
    <t>G14</t>
  </si>
  <si>
    <t>G05</t>
  </si>
  <si>
    <t>G09</t>
  </si>
  <si>
    <t>G10</t>
  </si>
  <si>
    <t>350A</t>
  </si>
  <si>
    <t>350B</t>
  </si>
  <si>
    <t>350C</t>
  </si>
  <si>
    <t>350F</t>
  </si>
  <si>
    <t>2375A</t>
  </si>
  <si>
    <t>3350E</t>
  </si>
  <si>
    <t>2374A</t>
  </si>
  <si>
    <t>2374E</t>
  </si>
  <si>
    <t>2374I</t>
  </si>
  <si>
    <t>2374C</t>
  </si>
  <si>
    <t>2374F</t>
  </si>
  <si>
    <t>2374H</t>
  </si>
  <si>
    <t>6974A</t>
  </si>
  <si>
    <t>6974B</t>
  </si>
  <si>
    <t>117</t>
  </si>
  <si>
    <t>200</t>
  </si>
  <si>
    <t>3397</t>
  </si>
  <si>
    <t>3396</t>
  </si>
  <si>
    <t>3398</t>
  </si>
  <si>
    <t>3250E</t>
  </si>
  <si>
    <t>3388</t>
  </si>
  <si>
    <t>3387</t>
  </si>
  <si>
    <t>5870</t>
  </si>
  <si>
    <t>3386</t>
  </si>
  <si>
    <t>294</t>
  </si>
  <si>
    <t>295</t>
  </si>
  <si>
    <t>746</t>
  </si>
  <si>
    <t>3150A</t>
  </si>
  <si>
    <t>3150B</t>
  </si>
  <si>
    <t>3150C</t>
  </si>
  <si>
    <t>3150D</t>
  </si>
  <si>
    <t>3150E</t>
  </si>
  <si>
    <t>3150F</t>
  </si>
  <si>
    <t>6817A</t>
  </si>
  <si>
    <t>6817B</t>
  </si>
  <si>
    <t>6817C</t>
  </si>
  <si>
    <t>GEM</t>
  </si>
  <si>
    <t>16AC01010</t>
  </si>
  <si>
    <t>16AC53010</t>
  </si>
  <si>
    <t>16ACX6050</t>
  </si>
  <si>
    <t>E01937800</t>
  </si>
  <si>
    <t>16AC86020</t>
  </si>
  <si>
    <t>E25183500</t>
  </si>
  <si>
    <t>16AC01060</t>
  </si>
  <si>
    <t>16AC15060</t>
  </si>
  <si>
    <t>16AC61010</t>
  </si>
  <si>
    <t>16AC38010</t>
  </si>
  <si>
    <t>169AX2010</t>
  </si>
  <si>
    <t>16AC26010</t>
  </si>
  <si>
    <t>16BNX6010</t>
  </si>
  <si>
    <t>16AC40040</t>
  </si>
  <si>
    <t>E25183200</t>
  </si>
  <si>
    <t>16ACX3040</t>
  </si>
  <si>
    <t>E01577500</t>
  </si>
  <si>
    <t>E25182600</t>
  </si>
  <si>
    <t>169A42010</t>
  </si>
  <si>
    <t>1251XK010</t>
  </si>
  <si>
    <t>E07965100</t>
  </si>
  <si>
    <t>E25181100</t>
  </si>
  <si>
    <t>E06991700</t>
  </si>
  <si>
    <t>16ACX0020</t>
  </si>
  <si>
    <t>E25180000</t>
  </si>
  <si>
    <t>169A86010</t>
  </si>
  <si>
    <t>16AC01070</t>
  </si>
  <si>
    <t>16AC83070</t>
  </si>
  <si>
    <t>E25182500</t>
  </si>
  <si>
    <t>16AC41020</t>
  </si>
  <si>
    <t>16ACX1020</t>
  </si>
  <si>
    <t>16AC12010</t>
  </si>
  <si>
    <t>16AC25010</t>
  </si>
  <si>
    <t>169AX8010</t>
  </si>
  <si>
    <t>16AC83050</t>
  </si>
  <si>
    <t>16AC05050</t>
  </si>
  <si>
    <t>16AC46010</t>
  </si>
  <si>
    <t>16AC51010</t>
  </si>
  <si>
    <t>16AC04010</t>
  </si>
  <si>
    <t>16AC05010</t>
  </si>
  <si>
    <t>169A82010</t>
  </si>
  <si>
    <t>E00008262</t>
  </si>
  <si>
    <t>16ACX3010</t>
  </si>
  <si>
    <t>16AC10010</t>
  </si>
  <si>
    <t>16AC06010</t>
  </si>
  <si>
    <t>16AC85010</t>
  </si>
  <si>
    <t>16AC81010</t>
  </si>
  <si>
    <t>YE</t>
  </si>
  <si>
    <t>VT</t>
  </si>
  <si>
    <t>GN</t>
  </si>
  <si>
    <t/>
  </si>
  <si>
    <t>BN</t>
  </si>
  <si>
    <t>BARE</t>
  </si>
  <si>
    <t>RD</t>
  </si>
  <si>
    <t>E05650100</t>
  </si>
  <si>
    <t>3202570E8</t>
  </si>
  <si>
    <t>3202539B5</t>
  </si>
  <si>
    <t>E03355600</t>
  </si>
  <si>
    <t>3202585A0</t>
  </si>
  <si>
    <t>32025Y2CX</t>
  </si>
  <si>
    <t>E15834400</t>
  </si>
  <si>
    <t>E09349200</t>
  </si>
  <si>
    <t>E04004100</t>
  </si>
  <si>
    <t>3202570F6</t>
  </si>
  <si>
    <t>E00734600</t>
  </si>
  <si>
    <t>3202584Y6</t>
  </si>
  <si>
    <t>3202585Y5</t>
  </si>
  <si>
    <t>32025Y1PG</t>
  </si>
  <si>
    <t>3202539J7</t>
  </si>
  <si>
    <t>3202539K5</t>
  </si>
  <si>
    <t>E16318300</t>
  </si>
  <si>
    <t>E15395600</t>
  </si>
  <si>
    <t>E04322000</t>
  </si>
  <si>
    <t>E10690000</t>
  </si>
  <si>
    <t>3204509J9</t>
  </si>
  <si>
    <t>SPLICE</t>
  </si>
  <si>
    <t>320257AA6</t>
  </si>
  <si>
    <t>320257WX8</t>
  </si>
  <si>
    <t>320257WZ4</t>
  </si>
  <si>
    <t>955</t>
  </si>
  <si>
    <t>1690</t>
  </si>
  <si>
    <t>1695</t>
  </si>
  <si>
    <t>1380</t>
  </si>
  <si>
    <t>945</t>
  </si>
  <si>
    <t>1265</t>
  </si>
  <si>
    <t>1260</t>
  </si>
  <si>
    <t>1360</t>
  </si>
  <si>
    <t>1365</t>
  </si>
  <si>
    <t>0.35</t>
  </si>
  <si>
    <t>1.00</t>
  </si>
  <si>
    <t>2.50</t>
  </si>
  <si>
    <t>0.50</t>
  </si>
  <si>
    <t>1.50</t>
  </si>
  <si>
    <t>0.75</t>
  </si>
  <si>
    <t>2.00</t>
  </si>
  <si>
    <t>TW116_1</t>
  </si>
  <si>
    <t>TW3564_1</t>
  </si>
  <si>
    <t>TW6972_1</t>
  </si>
  <si>
    <t>TW117_1</t>
  </si>
  <si>
    <t>TW118_1</t>
  </si>
  <si>
    <t>X</t>
  </si>
  <si>
    <t>Prensa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</si>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</sst>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1" fontId="0" fillId="0" borderId="3" xfId="0" quotePrefix="1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180"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theme="5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rgb="FF7030A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33C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theme="5" tint="-0.499984740745262"/>
        </patternFill>
      </fill>
    </dxf>
    <dxf>
      <fill>
        <patternFill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80"/>
  <sheetViews>
    <sheetView tabSelected="1" topLeftCell="J1" zoomScale="80" zoomScaleNormal="80" workbookViewId="0">
      <selection activeCell="D2" sqref="D2:D80"/>
    </sheetView>
  </sheetViews>
  <sheetFormatPr defaultRowHeight="15" x14ac:dyDescent="0.25"/>
  <cols>
    <col min="1" max="1" width="11.5703125" style="4" bestFit="1" customWidth="1"/>
    <col min="2" max="2" width="13.42578125" style="4" bestFit="1" customWidth="1"/>
    <col min="3" max="3" width="12.5703125" style="4" customWidth="1"/>
    <col min="4" max="4" width="14.42578125" style="4" bestFit="1" customWidth="1"/>
    <col min="5" max="5" width="10.140625" style="4" bestFit="1" customWidth="1"/>
    <col min="6" max="6" width="9.28515625" style="4" bestFit="1" customWidth="1"/>
    <col min="7" max="7" width="12.85546875" style="4" bestFit="1" customWidth="1"/>
    <col min="8" max="8" width="15" style="4" bestFit="1" customWidth="1"/>
    <col min="9" max="9" width="36.42578125" style="4" bestFit="1" customWidth="1"/>
    <col min="10" max="10" width="6.42578125" style="4" bestFit="1" customWidth="1"/>
    <col min="11" max="11" width="11.140625" style="4" customWidth="1"/>
    <col min="12" max="12" width="14.140625" style="4" bestFit="1" customWidth="1"/>
    <col min="13" max="15" width="7.42578125" style="4" bestFit="1" customWidth="1"/>
    <col min="16" max="16" width="12.28515625" style="4" bestFit="1" customWidth="1"/>
    <col min="17" max="17" width="8.7109375" style="4" bestFit="1" customWidth="1"/>
    <col min="18" max="18" width="18.85546875" style="4" bestFit="1" customWidth="1"/>
    <col min="19" max="19" width="10.7109375" style="4" bestFit="1" customWidth="1"/>
    <col min="20" max="20" width="10.85546875" style="4" bestFit="1" customWidth="1"/>
    <col min="21" max="21" width="11.42578125" style="4" bestFit="1" customWidth="1"/>
    <col min="22" max="22" width="10.85546875" style="4" bestFit="1" customWidth="1"/>
    <col min="23" max="23" width="8.42578125" style="4" bestFit="1" customWidth="1"/>
    <col min="24" max="24" width="19.85546875" style="4" bestFit="1" customWidth="1"/>
    <col min="25" max="25" width="11.7109375" style="4" bestFit="1" customWidth="1"/>
    <col min="26" max="26" width="10.7109375" style="4" bestFit="1" customWidth="1"/>
    <col min="27" max="27" width="10.85546875" style="4" bestFit="1" customWidth="1"/>
    <col min="28" max="28" width="11.42578125" style="4" bestFit="1" customWidth="1"/>
    <col min="29" max="29" width="10.85546875" style="4" bestFit="1" customWidth="1"/>
    <col min="30" max="30" width="8.42578125" style="4" bestFit="1" customWidth="1"/>
    <col min="31" max="31" width="11" style="4" bestFit="1" customWidth="1"/>
    <col min="32" max="32" width="15.140625" style="4" bestFit="1" customWidth="1"/>
    <col min="33" max="33" width="17" style="4" bestFit="1" customWidth="1"/>
    <col min="34" max="34" width="17" style="4" customWidth="1"/>
    <col min="35" max="35" width="57.5703125" style="4" bestFit="1" customWidth="1"/>
    <col min="36" max="36" width="14.140625" style="4" bestFit="1" customWidth="1"/>
    <col min="37" max="37" width="12" style="4" bestFit="1" customWidth="1"/>
    <col min="38" max="38" width="11.85546875" style="4" bestFit="1" customWidth="1"/>
    <col min="39" max="39" width="13.85546875" style="4" bestFit="1" customWidth="1"/>
    <col min="40" max="40" width="12.140625" style="4" bestFit="1" customWidth="1"/>
    <col min="41" max="41" width="11.7109375" style="4" bestFit="1" customWidth="1"/>
    <col min="42" max="42" width="12.85546875" style="4" bestFit="1" customWidth="1"/>
    <col min="43" max="43" width="16.5703125" style="4" bestFit="1" customWidth="1"/>
    <col min="44" max="44" width="9.85546875" style="4" bestFit="1" customWidth="1"/>
    <col min="45" max="45" width="16.5703125" style="4" bestFit="1" customWidth="1"/>
    <col min="46" max="46" width="10.7109375" style="4" bestFit="1" customWidth="1"/>
    <col min="47" max="47" width="15.28515625" style="4" bestFit="1" customWidth="1"/>
    <col min="48" max="48" width="12.28515625" style="4" bestFit="1" customWidth="1"/>
    <col min="49" max="49" width="22.7109375" style="2" bestFit="1" customWidth="1"/>
    <col min="50" max="50" width="23.42578125" style="2" bestFit="1" customWidth="1"/>
    <col min="51" max="51" width="19.7109375" style="2" bestFit="1" customWidth="1"/>
    <col min="52" max="52" width="22.140625" style="2" bestFit="1" customWidth="1"/>
    <col min="53" max="53" width="12.85546875" style="2" bestFit="1" customWidth="1"/>
    <col min="54" max="54" width="10.140625" style="2" bestFit="1" customWidth="1"/>
    <col min="55" max="55" width="19.7109375" style="2" bestFit="1" customWidth="1"/>
    <col min="56" max="56" width="12.85546875" style="2" bestFit="1" customWidth="1"/>
    <col min="57" max="57" width="15" style="2" bestFit="1" customWidth="1"/>
    <col min="58" max="58" width="18.5703125" style="2" bestFit="1" customWidth="1"/>
    <col min="59" max="59" width="12.5703125" style="2" bestFit="1" customWidth="1"/>
    <col min="60" max="60" width="14.7109375" style="2" bestFit="1" customWidth="1"/>
    <col min="61" max="61" width="22.140625" style="2" bestFit="1" customWidth="1"/>
    <col min="62" max="62" width="23.42578125" style="2" bestFit="1" customWidth="1"/>
    <col min="63" max="63" width="20" style="2" bestFit="1" customWidth="1"/>
    <col min="64" max="64" width="14.5703125" style="2" bestFit="1" customWidth="1"/>
    <col min="65" max="65" width="17.5703125" style="2" bestFit="1" customWidth="1"/>
    <col min="66" max="66" width="13.7109375" style="2" bestFit="1" customWidth="1"/>
    <col min="67" max="67" width="8.7109375" style="2"/>
    <col min="68" max="68" width="13.7109375" style="2" customWidth="1"/>
    <col min="69" max="81" width="10.85546875" style="2" bestFit="1" customWidth="1"/>
    <col min="82" max="90" width="7.85546875" style="2" bestFit="1" customWidth="1"/>
    <col min="91" max="95" width="8.85546875" style="2" bestFit="1" customWidth="1"/>
    <col min="96" max="96" width="6.28515625" style="2" bestFit="1" customWidth="1"/>
    <col min="97" max="16384" width="9.140625" style="2"/>
  </cols>
  <sheetData>
    <row r="1" spans="1:96" x14ac:dyDescent="0.25">
      <c r="A1" s="3" t="s">
        <v>0</v>
      </c>
      <c r="B1" s="3" t="s">
        <v>1</v>
      </c>
      <c r="C1" s="3" t="s">
        <v>2</v>
      </c>
      <c r="D1" s="3" t="s">
        <v>34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258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</row>
    <row r="2" spans="1:96" x14ac:dyDescent="0.25">
      <c r="A2" s="5" t="s">
        <v>155</v>
      </c>
      <c r="B2" s="6" t="s">
        <v>114</v>
      </c>
      <c r="C2" s="20">
        <v>5797</v>
      </c>
      <c r="D2" s="4" t="str">
        <f>B2&amp;C2</f>
        <v>G245797</v>
      </c>
      <c r="E2" s="28">
        <v>15</v>
      </c>
      <c r="F2" s="4">
        <v>2400</v>
      </c>
      <c r="J2" s="4" t="s">
        <v>94</v>
      </c>
      <c r="K2" s="21">
        <v>1705</v>
      </c>
      <c r="L2" s="17"/>
      <c r="M2" s="10" t="s">
        <v>203</v>
      </c>
      <c r="N2" s="10" t="s">
        <v>98</v>
      </c>
      <c r="P2" s="8" t="s">
        <v>156</v>
      </c>
      <c r="Q2" s="13" t="s">
        <v>244</v>
      </c>
      <c r="R2" s="13" t="s">
        <v>210</v>
      </c>
      <c r="S2" s="4">
        <v>4.5</v>
      </c>
      <c r="T2" s="8" t="s">
        <v>229</v>
      </c>
      <c r="W2" s="4" t="s">
        <v>99</v>
      </c>
      <c r="Y2" s="8">
        <v>320264716</v>
      </c>
      <c r="Z2" s="4">
        <v>4.5</v>
      </c>
      <c r="AA2" s="8"/>
      <c r="AD2" s="4" t="s">
        <v>94</v>
      </c>
      <c r="AF2" s="4" t="s">
        <v>110</v>
      </c>
      <c r="AG2" s="4" t="s">
        <v>101</v>
      </c>
      <c r="AH2" s="28">
        <v>15</v>
      </c>
      <c r="AI2" s="4" t="s">
        <v>102</v>
      </c>
      <c r="AJ2" s="4">
        <v>1288</v>
      </c>
      <c r="AK2" s="4" t="s">
        <v>103</v>
      </c>
      <c r="AM2" s="4" t="s">
        <v>113</v>
      </c>
      <c r="AN2" s="4">
        <v>100</v>
      </c>
      <c r="AO2" s="4">
        <v>100</v>
      </c>
      <c r="AP2" s="4">
        <v>2000</v>
      </c>
      <c r="AQ2" s="4">
        <v>20</v>
      </c>
      <c r="AR2" s="4">
        <v>0.05</v>
      </c>
      <c r="AS2" s="4">
        <v>20</v>
      </c>
      <c r="AT2" s="4">
        <v>60</v>
      </c>
      <c r="AU2" s="4">
        <v>40</v>
      </c>
      <c r="AV2" s="4">
        <v>6.666666666666667</v>
      </c>
      <c r="AW2" s="2">
        <v>24</v>
      </c>
      <c r="AX2" s="2">
        <v>18</v>
      </c>
      <c r="AY2" s="2">
        <v>2</v>
      </c>
      <c r="AZ2" s="2">
        <v>4</v>
      </c>
      <c r="BA2" s="2" t="s">
        <v>104</v>
      </c>
      <c r="BB2" s="2">
        <v>2</v>
      </c>
      <c r="BC2" s="2">
        <v>4</v>
      </c>
      <c r="BD2" s="2" t="s">
        <v>111</v>
      </c>
      <c r="BF2" s="2" t="s">
        <v>105</v>
      </c>
      <c r="BG2" s="2">
        <v>2.614379084967321E-2</v>
      </c>
      <c r="BH2" s="2">
        <v>8.3333333333333339E-4</v>
      </c>
      <c r="BI2" s="2">
        <v>6.5000000000000006E-3</v>
      </c>
      <c r="BJ2" s="2">
        <v>7.8</v>
      </c>
      <c r="BK2" s="2">
        <v>3.3477124183006537E-2</v>
      </c>
      <c r="BN2" s="2" t="s">
        <v>106</v>
      </c>
      <c r="BO2" s="2" t="s">
        <v>107</v>
      </c>
      <c r="BP2" s="2" t="s">
        <v>109</v>
      </c>
      <c r="BQ2" s="2" t="s">
        <v>108</v>
      </c>
      <c r="BR2" s="2" t="s">
        <v>108</v>
      </c>
      <c r="BS2" s="2" t="s">
        <v>108</v>
      </c>
      <c r="BT2" s="2" t="s">
        <v>108</v>
      </c>
      <c r="BU2" s="2" t="s">
        <v>108</v>
      </c>
      <c r="BV2" s="2" t="s">
        <v>108</v>
      </c>
      <c r="BW2" s="2" t="s">
        <v>108</v>
      </c>
      <c r="BX2" s="2" t="s">
        <v>108</v>
      </c>
      <c r="BY2" s="2" t="s">
        <v>108</v>
      </c>
      <c r="BZ2" s="2" t="s">
        <v>108</v>
      </c>
      <c r="CA2" s="2" t="s">
        <v>108</v>
      </c>
      <c r="CB2" s="2" t="s">
        <v>108</v>
      </c>
      <c r="CC2" s="2" t="s">
        <v>108</v>
      </c>
      <c r="CD2" s="2" t="s">
        <v>112</v>
      </c>
      <c r="CE2" s="2" t="s">
        <v>108</v>
      </c>
      <c r="CF2" s="2" t="s">
        <v>108</v>
      </c>
      <c r="CG2" s="2" t="s">
        <v>108</v>
      </c>
      <c r="CH2" s="2" t="s">
        <v>108</v>
      </c>
      <c r="CI2" s="2" t="s">
        <v>108</v>
      </c>
      <c r="CJ2" s="2" t="s">
        <v>108</v>
      </c>
      <c r="CK2" s="2" t="s">
        <v>108</v>
      </c>
      <c r="CL2" s="2" t="s">
        <v>108</v>
      </c>
      <c r="CM2" s="2" t="s">
        <v>108</v>
      </c>
      <c r="CN2" s="2" t="s">
        <v>108</v>
      </c>
      <c r="CO2" s="2" t="s">
        <v>108</v>
      </c>
      <c r="CP2" s="2" t="s">
        <v>108</v>
      </c>
      <c r="CQ2" s="2" t="s">
        <v>108</v>
      </c>
      <c r="CR2" s="2">
        <v>30</v>
      </c>
    </row>
    <row r="3" spans="1:96" x14ac:dyDescent="0.25">
      <c r="A3" s="5" t="s">
        <v>155</v>
      </c>
      <c r="B3" s="6" t="s">
        <v>114</v>
      </c>
      <c r="C3" s="20">
        <v>1303</v>
      </c>
      <c r="D3" s="4" t="str">
        <f t="shared" ref="D3:D7" si="0">B3&amp;C3</f>
        <v>G241303</v>
      </c>
      <c r="E3" s="28">
        <v>15</v>
      </c>
      <c r="F3" s="4">
        <v>2400</v>
      </c>
      <c r="J3" s="4" t="s">
        <v>94</v>
      </c>
      <c r="K3" s="22">
        <v>1725</v>
      </c>
      <c r="L3" s="18"/>
      <c r="M3" s="10" t="s">
        <v>204</v>
      </c>
      <c r="N3" s="10" t="s">
        <v>95</v>
      </c>
      <c r="P3" s="9" t="s">
        <v>157</v>
      </c>
      <c r="Q3" s="16" t="s">
        <v>244</v>
      </c>
      <c r="R3" s="14" t="s">
        <v>211</v>
      </c>
      <c r="S3" s="4">
        <v>4.5</v>
      </c>
      <c r="T3" s="9"/>
      <c r="Y3" s="8">
        <v>320264716</v>
      </c>
      <c r="Z3" s="4">
        <v>4.5</v>
      </c>
      <c r="AA3" s="9"/>
      <c r="AF3" s="4" t="s">
        <v>101</v>
      </c>
      <c r="AG3" s="4" t="s">
        <v>101</v>
      </c>
      <c r="AH3" s="28">
        <v>15</v>
      </c>
    </row>
    <row r="4" spans="1:96" x14ac:dyDescent="0.25">
      <c r="A4" s="5" t="s">
        <v>155</v>
      </c>
      <c r="B4" s="6" t="s">
        <v>114</v>
      </c>
      <c r="C4" s="20" t="s">
        <v>119</v>
      </c>
      <c r="D4" s="4" t="str">
        <f t="shared" si="0"/>
        <v>G24350A</v>
      </c>
      <c r="E4" s="28">
        <v>20</v>
      </c>
      <c r="F4" s="4">
        <v>2400</v>
      </c>
      <c r="J4" s="4" t="s">
        <v>94</v>
      </c>
      <c r="K4" s="22">
        <v>305</v>
      </c>
      <c r="L4" s="18"/>
      <c r="M4" s="10" t="s">
        <v>96</v>
      </c>
      <c r="N4" s="9"/>
      <c r="P4" s="9" t="s">
        <v>158</v>
      </c>
      <c r="Q4" s="16" t="s">
        <v>245</v>
      </c>
      <c r="R4" s="8">
        <v>320298250</v>
      </c>
      <c r="S4" s="4">
        <v>4.5</v>
      </c>
      <c r="T4" s="8"/>
      <c r="Y4" s="8" t="s">
        <v>231</v>
      </c>
      <c r="Z4" s="8">
        <v>13</v>
      </c>
      <c r="AA4" s="8"/>
      <c r="AF4" s="4" t="s">
        <v>101</v>
      </c>
      <c r="AG4" s="4" t="s">
        <v>110</v>
      </c>
      <c r="AH4" s="28">
        <v>20</v>
      </c>
    </row>
    <row r="5" spans="1:96" x14ac:dyDescent="0.25">
      <c r="A5" s="5" t="s">
        <v>155</v>
      </c>
      <c r="B5" s="7" t="s">
        <v>114</v>
      </c>
      <c r="C5" s="23" t="s">
        <v>120</v>
      </c>
      <c r="D5" s="4" t="str">
        <f t="shared" si="0"/>
        <v>G24350B</v>
      </c>
      <c r="E5" s="28">
        <v>20</v>
      </c>
      <c r="F5" s="4">
        <v>2400</v>
      </c>
      <c r="J5" s="4" t="s">
        <v>94</v>
      </c>
      <c r="K5" s="22">
        <v>825</v>
      </c>
      <c r="L5" s="18"/>
      <c r="M5" s="10" t="s">
        <v>96</v>
      </c>
      <c r="N5" s="9"/>
      <c r="P5" s="9">
        <v>163306087</v>
      </c>
      <c r="Q5" s="16" t="s">
        <v>246</v>
      </c>
      <c r="R5" s="9" t="s">
        <v>212</v>
      </c>
      <c r="S5" s="4">
        <v>4.5</v>
      </c>
      <c r="T5" s="9"/>
      <c r="Y5" s="8" t="s">
        <v>231</v>
      </c>
      <c r="Z5" s="8">
        <v>13</v>
      </c>
      <c r="AA5" s="9"/>
      <c r="AF5" s="4" t="s">
        <v>101</v>
      </c>
      <c r="AG5" s="4" t="s">
        <v>110</v>
      </c>
      <c r="AH5" s="28">
        <v>20</v>
      </c>
    </row>
    <row r="6" spans="1:96" x14ac:dyDescent="0.25">
      <c r="A6" s="5" t="s">
        <v>155</v>
      </c>
      <c r="B6" s="7" t="s">
        <v>114</v>
      </c>
      <c r="C6" s="23" t="s">
        <v>121</v>
      </c>
      <c r="D6" s="4" t="str">
        <f t="shared" si="0"/>
        <v>G24350C</v>
      </c>
      <c r="E6" s="28">
        <v>20</v>
      </c>
      <c r="F6" s="4">
        <v>2400</v>
      </c>
      <c r="J6" s="4" t="s">
        <v>94</v>
      </c>
      <c r="K6" s="21">
        <v>1355</v>
      </c>
      <c r="L6" s="17"/>
      <c r="M6" s="10" t="s">
        <v>96</v>
      </c>
      <c r="N6" s="9"/>
      <c r="P6" s="8" t="s">
        <v>159</v>
      </c>
      <c r="Q6" s="13" t="s">
        <v>247</v>
      </c>
      <c r="R6" s="8" t="s">
        <v>213</v>
      </c>
      <c r="S6" s="4">
        <v>4.5</v>
      </c>
      <c r="T6" s="8">
        <v>329983100</v>
      </c>
      <c r="Y6" s="8" t="s">
        <v>231</v>
      </c>
      <c r="Z6" s="8">
        <v>13</v>
      </c>
      <c r="AA6" s="8"/>
      <c r="AF6" s="4" t="s">
        <v>101</v>
      </c>
      <c r="AG6" s="4" t="s">
        <v>110</v>
      </c>
      <c r="AH6" s="28">
        <v>20</v>
      </c>
    </row>
    <row r="7" spans="1:96" x14ac:dyDescent="0.25">
      <c r="A7" s="5" t="s">
        <v>155</v>
      </c>
      <c r="B7" s="7" t="s">
        <v>114</v>
      </c>
      <c r="C7" s="23" t="s">
        <v>122</v>
      </c>
      <c r="D7" s="4" t="str">
        <f t="shared" si="0"/>
        <v>G24350F</v>
      </c>
      <c r="E7" s="28">
        <v>20</v>
      </c>
      <c r="F7" s="4">
        <v>2400</v>
      </c>
      <c r="J7" s="4" t="s">
        <v>94</v>
      </c>
      <c r="K7" s="22">
        <v>1390</v>
      </c>
      <c r="L7" s="17"/>
      <c r="M7" s="10" t="s">
        <v>96</v>
      </c>
      <c r="N7" s="8"/>
      <c r="P7" s="9">
        <v>163306087</v>
      </c>
      <c r="Q7" s="13" t="s">
        <v>246</v>
      </c>
      <c r="R7" s="9" t="s">
        <v>214</v>
      </c>
      <c r="S7" s="4">
        <v>4.5</v>
      </c>
      <c r="T7" s="9"/>
      <c r="Y7" s="8" t="s">
        <v>231</v>
      </c>
      <c r="Z7" s="8">
        <v>13</v>
      </c>
      <c r="AA7" s="9"/>
      <c r="AF7" s="4" t="s">
        <v>101</v>
      </c>
      <c r="AG7" s="4" t="s">
        <v>110</v>
      </c>
      <c r="AH7" s="28">
        <v>20</v>
      </c>
    </row>
    <row r="8" spans="1:96" x14ac:dyDescent="0.25">
      <c r="A8" s="5" t="s">
        <v>155</v>
      </c>
      <c r="B8" s="7" t="s">
        <v>115</v>
      </c>
      <c r="C8" s="24">
        <v>116</v>
      </c>
      <c r="D8" s="4" t="str">
        <f>B8&amp;L8</f>
        <v>G14TW116_1</v>
      </c>
      <c r="E8" s="28">
        <v>30</v>
      </c>
      <c r="F8" s="4">
        <v>800</v>
      </c>
      <c r="J8" s="4" t="s">
        <v>256</v>
      </c>
      <c r="K8" s="15">
        <v>850</v>
      </c>
      <c r="L8" s="15" t="s">
        <v>251</v>
      </c>
      <c r="M8" s="10" t="s">
        <v>205</v>
      </c>
      <c r="N8" s="10" t="s">
        <v>96</v>
      </c>
      <c r="P8" s="15" t="s">
        <v>160</v>
      </c>
      <c r="Q8" s="15" t="s">
        <v>247</v>
      </c>
      <c r="R8" s="15" t="s">
        <v>215</v>
      </c>
      <c r="S8" s="4">
        <v>4.5</v>
      </c>
      <c r="T8" s="15" t="s">
        <v>230</v>
      </c>
      <c r="Y8" s="14" t="s">
        <v>211</v>
      </c>
      <c r="Z8" s="4">
        <v>4.5</v>
      </c>
      <c r="AA8" s="15" t="s">
        <v>206</v>
      </c>
      <c r="AF8" s="4" t="s">
        <v>101</v>
      </c>
      <c r="AG8" s="4" t="s">
        <v>101</v>
      </c>
      <c r="AH8" s="28">
        <v>30</v>
      </c>
    </row>
    <row r="9" spans="1:96" x14ac:dyDescent="0.25">
      <c r="A9" s="5" t="s">
        <v>155</v>
      </c>
      <c r="B9" s="7" t="s">
        <v>115</v>
      </c>
      <c r="C9" s="24">
        <v>199</v>
      </c>
      <c r="D9" s="4" t="str">
        <f t="shared" ref="D9" si="1">B9&amp;L9</f>
        <v>G14TW116_1</v>
      </c>
      <c r="E9" s="28">
        <v>30</v>
      </c>
      <c r="F9" s="4">
        <v>800</v>
      </c>
      <c r="J9" s="4" t="s">
        <v>256</v>
      </c>
      <c r="K9" s="15">
        <v>850</v>
      </c>
      <c r="L9" s="15" t="s">
        <v>251</v>
      </c>
      <c r="M9" s="10" t="s">
        <v>205</v>
      </c>
      <c r="N9" s="10" t="s">
        <v>206</v>
      </c>
      <c r="P9" s="15" t="s">
        <v>161</v>
      </c>
      <c r="Q9" s="15" t="s">
        <v>247</v>
      </c>
      <c r="R9" s="15" t="s">
        <v>215</v>
      </c>
      <c r="S9" s="4">
        <v>4.5</v>
      </c>
      <c r="T9" s="15" t="s">
        <v>230</v>
      </c>
      <c r="Y9" s="14" t="s">
        <v>211</v>
      </c>
      <c r="Z9" s="4">
        <v>4.5</v>
      </c>
      <c r="AA9" s="15" t="s">
        <v>206</v>
      </c>
      <c r="AF9" s="4" t="s">
        <v>101</v>
      </c>
      <c r="AG9" s="4" t="s">
        <v>101</v>
      </c>
      <c r="AH9" s="28">
        <v>30</v>
      </c>
    </row>
    <row r="10" spans="1:96" x14ac:dyDescent="0.25">
      <c r="A10" s="5" t="s">
        <v>155</v>
      </c>
      <c r="B10" s="7" t="s">
        <v>115</v>
      </c>
      <c r="C10" s="24">
        <v>669</v>
      </c>
      <c r="D10" s="4" t="str">
        <f t="shared" ref="D10:D13" si="2">B10&amp;C10</f>
        <v>G14669</v>
      </c>
      <c r="E10" s="28">
        <v>30</v>
      </c>
      <c r="F10" s="4">
        <v>2400</v>
      </c>
      <c r="J10" s="4" t="s">
        <v>94</v>
      </c>
      <c r="K10" s="15">
        <v>875</v>
      </c>
      <c r="L10" s="15" t="s">
        <v>206</v>
      </c>
      <c r="M10" s="10" t="s">
        <v>203</v>
      </c>
      <c r="N10" s="10" t="s">
        <v>98</v>
      </c>
      <c r="P10" s="15" t="s">
        <v>162</v>
      </c>
      <c r="Q10" s="15" t="s">
        <v>248</v>
      </c>
      <c r="R10" s="15" t="s">
        <v>216</v>
      </c>
      <c r="S10" s="4">
        <v>4.5</v>
      </c>
      <c r="T10" s="15" t="s">
        <v>206</v>
      </c>
      <c r="Y10" s="15" t="s">
        <v>232</v>
      </c>
      <c r="Z10" s="4">
        <v>4.5</v>
      </c>
      <c r="AA10" s="15" t="s">
        <v>206</v>
      </c>
      <c r="AF10" s="4" t="s">
        <v>101</v>
      </c>
      <c r="AG10" s="4" t="s">
        <v>101</v>
      </c>
      <c r="AH10" s="28">
        <v>30</v>
      </c>
    </row>
    <row r="11" spans="1:96" x14ac:dyDescent="0.25">
      <c r="A11" s="5" t="s">
        <v>155</v>
      </c>
      <c r="B11" s="7" t="s">
        <v>115</v>
      </c>
      <c r="C11" s="24">
        <v>668</v>
      </c>
      <c r="D11" s="4" t="str">
        <f t="shared" si="2"/>
        <v>G14668</v>
      </c>
      <c r="E11" s="28">
        <v>30</v>
      </c>
      <c r="F11" s="4">
        <v>2400</v>
      </c>
      <c r="J11" s="4" t="s">
        <v>94</v>
      </c>
      <c r="K11" s="15">
        <v>875</v>
      </c>
      <c r="L11" s="15" t="s">
        <v>206</v>
      </c>
      <c r="M11" s="10" t="s">
        <v>98</v>
      </c>
      <c r="N11" s="10" t="s">
        <v>204</v>
      </c>
      <c r="P11" s="15" t="s">
        <v>163</v>
      </c>
      <c r="Q11" s="15" t="s">
        <v>248</v>
      </c>
      <c r="R11" s="15" t="s">
        <v>216</v>
      </c>
      <c r="S11" s="4">
        <v>4.5</v>
      </c>
      <c r="T11" s="15" t="s">
        <v>206</v>
      </c>
      <c r="Y11" s="15" t="s">
        <v>232</v>
      </c>
      <c r="Z11" s="4">
        <v>4.5</v>
      </c>
      <c r="AA11" s="15" t="s">
        <v>206</v>
      </c>
      <c r="AF11" s="4" t="s">
        <v>101</v>
      </c>
      <c r="AG11" s="4" t="s">
        <v>101</v>
      </c>
      <c r="AH11" s="28">
        <v>30</v>
      </c>
    </row>
    <row r="12" spans="1:96" x14ac:dyDescent="0.25">
      <c r="A12" s="5" t="s">
        <v>155</v>
      </c>
      <c r="B12" s="7" t="s">
        <v>115</v>
      </c>
      <c r="C12" s="24">
        <v>5870</v>
      </c>
      <c r="D12" s="4" t="str">
        <f t="shared" si="2"/>
        <v>G145870</v>
      </c>
      <c r="E12" s="28">
        <v>30</v>
      </c>
      <c r="F12" s="4">
        <v>2400</v>
      </c>
      <c r="J12" s="4" t="s">
        <v>94</v>
      </c>
      <c r="K12" s="15">
        <v>1105</v>
      </c>
      <c r="L12" s="15" t="s">
        <v>206</v>
      </c>
      <c r="M12" s="10" t="s">
        <v>96</v>
      </c>
      <c r="N12" s="10" t="s">
        <v>98</v>
      </c>
      <c r="P12" s="15" t="s">
        <v>164</v>
      </c>
      <c r="Q12" s="15" t="s">
        <v>244</v>
      </c>
      <c r="R12" s="15" t="s">
        <v>217</v>
      </c>
      <c r="S12" s="4">
        <v>4.5</v>
      </c>
      <c r="T12" s="15" t="s">
        <v>206</v>
      </c>
      <c r="Y12" s="14" t="s">
        <v>211</v>
      </c>
      <c r="Z12" s="4">
        <v>4.5</v>
      </c>
      <c r="AA12" s="15" t="s">
        <v>206</v>
      </c>
      <c r="AF12" s="4" t="s">
        <v>101</v>
      </c>
      <c r="AG12" s="4" t="s">
        <v>101</v>
      </c>
      <c r="AH12" s="28">
        <v>30</v>
      </c>
    </row>
    <row r="13" spans="1:96" x14ac:dyDescent="0.25">
      <c r="A13" s="5" t="s">
        <v>155</v>
      </c>
      <c r="B13" s="7" t="s">
        <v>115</v>
      </c>
      <c r="C13" s="24">
        <v>5048</v>
      </c>
      <c r="D13" s="4" t="str">
        <f t="shared" si="2"/>
        <v>G145048</v>
      </c>
      <c r="E13" s="28">
        <v>30</v>
      </c>
      <c r="F13" s="4">
        <v>2400</v>
      </c>
      <c r="J13" s="4" t="s">
        <v>94</v>
      </c>
      <c r="K13" s="15">
        <v>1125</v>
      </c>
      <c r="L13" s="15" t="s">
        <v>206</v>
      </c>
      <c r="M13" s="10" t="s">
        <v>95</v>
      </c>
      <c r="N13" s="10" t="s">
        <v>205</v>
      </c>
      <c r="P13" s="15" t="s">
        <v>165</v>
      </c>
      <c r="Q13" s="15" t="s">
        <v>244</v>
      </c>
      <c r="R13" s="15" t="s">
        <v>217</v>
      </c>
      <c r="S13" s="4">
        <v>4.5</v>
      </c>
      <c r="T13" s="15" t="s">
        <v>206</v>
      </c>
      <c r="Y13" s="14" t="s">
        <v>211</v>
      </c>
      <c r="Z13" s="4">
        <v>4.5</v>
      </c>
      <c r="AA13" s="15" t="s">
        <v>206</v>
      </c>
      <c r="AF13" s="4" t="s">
        <v>101</v>
      </c>
      <c r="AG13" s="4" t="s">
        <v>101</v>
      </c>
      <c r="AH13" s="28">
        <v>30</v>
      </c>
    </row>
    <row r="14" spans="1:96" x14ac:dyDescent="0.25">
      <c r="A14" s="5" t="s">
        <v>155</v>
      </c>
      <c r="B14" s="7" t="s">
        <v>115</v>
      </c>
      <c r="C14" s="24">
        <v>3564</v>
      </c>
      <c r="D14" s="4" t="str">
        <f t="shared" ref="D14:D15" si="3">B14&amp;L14</f>
        <v>G14TW3564_1</v>
      </c>
      <c r="E14" s="28">
        <v>30</v>
      </c>
      <c r="F14" s="4">
        <v>800</v>
      </c>
      <c r="J14" s="4" t="s">
        <v>256</v>
      </c>
      <c r="K14" s="15">
        <v>1760</v>
      </c>
      <c r="L14" s="15" t="s">
        <v>252</v>
      </c>
      <c r="M14" s="10" t="s">
        <v>97</v>
      </c>
      <c r="N14" s="10" t="s">
        <v>206</v>
      </c>
      <c r="P14" s="15" t="s">
        <v>166</v>
      </c>
      <c r="Q14" s="15" t="s">
        <v>244</v>
      </c>
      <c r="R14" s="15" t="s">
        <v>218</v>
      </c>
      <c r="S14" s="4">
        <v>4.5</v>
      </c>
      <c r="T14" s="15">
        <v>329983118</v>
      </c>
      <c r="Y14" s="14" t="s">
        <v>211</v>
      </c>
      <c r="Z14" s="4">
        <v>4.5</v>
      </c>
      <c r="AA14" s="15" t="s">
        <v>206</v>
      </c>
      <c r="AF14" s="4" t="s">
        <v>101</v>
      </c>
      <c r="AG14" s="4" t="s">
        <v>101</v>
      </c>
      <c r="AH14" s="28">
        <v>30</v>
      </c>
    </row>
    <row r="15" spans="1:96" x14ac:dyDescent="0.25">
      <c r="A15" s="5" t="s">
        <v>155</v>
      </c>
      <c r="B15" s="7" t="s">
        <v>115</v>
      </c>
      <c r="C15" s="24">
        <v>3565</v>
      </c>
      <c r="D15" s="4" t="str">
        <f t="shared" si="3"/>
        <v>G14TW3564_1</v>
      </c>
      <c r="E15" s="28">
        <v>30</v>
      </c>
      <c r="F15" s="4">
        <v>800</v>
      </c>
      <c r="J15" s="4" t="s">
        <v>256</v>
      </c>
      <c r="K15" s="15">
        <v>1760</v>
      </c>
      <c r="L15" s="15" t="s">
        <v>252</v>
      </c>
      <c r="M15" s="10" t="s">
        <v>97</v>
      </c>
      <c r="N15" s="10" t="s">
        <v>96</v>
      </c>
      <c r="P15" s="15" t="s">
        <v>167</v>
      </c>
      <c r="Q15" s="15" t="s">
        <v>244</v>
      </c>
      <c r="R15" s="15" t="s">
        <v>218</v>
      </c>
      <c r="S15" s="4">
        <v>4.5</v>
      </c>
      <c r="T15" s="15">
        <v>329983118</v>
      </c>
      <c r="Y15" s="14" t="s">
        <v>211</v>
      </c>
      <c r="Z15" s="4">
        <v>4.5</v>
      </c>
      <c r="AA15" s="15" t="s">
        <v>206</v>
      </c>
      <c r="AF15" s="4" t="s">
        <v>101</v>
      </c>
      <c r="AG15" s="4" t="s">
        <v>101</v>
      </c>
      <c r="AH15" s="28">
        <v>30</v>
      </c>
    </row>
    <row r="16" spans="1:96" x14ac:dyDescent="0.25">
      <c r="A16" s="5" t="s">
        <v>155</v>
      </c>
      <c r="B16" s="7" t="s">
        <v>115</v>
      </c>
      <c r="C16" s="24">
        <v>3150</v>
      </c>
      <c r="D16" s="4" t="str">
        <f t="shared" ref="D16:D32" si="4">B16&amp;C16</f>
        <v>G143150</v>
      </c>
      <c r="E16" s="28">
        <v>30</v>
      </c>
      <c r="F16" s="4">
        <v>2400</v>
      </c>
      <c r="J16" s="4" t="s">
        <v>94</v>
      </c>
      <c r="K16" s="15">
        <v>1380</v>
      </c>
      <c r="L16" s="15" t="s">
        <v>206</v>
      </c>
      <c r="M16" s="10" t="s">
        <v>96</v>
      </c>
      <c r="N16" s="10" t="s">
        <v>206</v>
      </c>
      <c r="P16" s="15" t="s">
        <v>168</v>
      </c>
      <c r="Q16" s="15" t="s">
        <v>244</v>
      </c>
      <c r="R16" s="14" t="s">
        <v>211</v>
      </c>
      <c r="S16" s="4">
        <v>4.5</v>
      </c>
      <c r="T16" s="8"/>
      <c r="Y16" s="15" t="s">
        <v>227</v>
      </c>
      <c r="Z16" s="4">
        <v>4.5</v>
      </c>
      <c r="AA16" s="15" t="s">
        <v>206</v>
      </c>
      <c r="AF16" s="4" t="s">
        <v>101</v>
      </c>
      <c r="AG16" s="4" t="s">
        <v>101</v>
      </c>
      <c r="AH16" s="28">
        <v>30</v>
      </c>
    </row>
    <row r="17" spans="1:34" x14ac:dyDescent="0.25">
      <c r="A17" s="5" t="s">
        <v>155</v>
      </c>
      <c r="B17" s="7" t="s">
        <v>115</v>
      </c>
      <c r="C17" s="24">
        <v>294</v>
      </c>
      <c r="D17" s="4" t="str">
        <f t="shared" si="4"/>
        <v>G14294</v>
      </c>
      <c r="E17" s="28">
        <v>30</v>
      </c>
      <c r="F17" s="4">
        <v>2400</v>
      </c>
      <c r="J17" s="4" t="s">
        <v>94</v>
      </c>
      <c r="K17" s="15">
        <v>1345</v>
      </c>
      <c r="L17" s="15" t="s">
        <v>206</v>
      </c>
      <c r="M17" s="10" t="s">
        <v>207</v>
      </c>
      <c r="N17" s="10" t="s">
        <v>203</v>
      </c>
      <c r="P17" s="15" t="s">
        <v>169</v>
      </c>
      <c r="Q17" s="15" t="s">
        <v>249</v>
      </c>
      <c r="R17" s="15" t="s">
        <v>219</v>
      </c>
      <c r="S17" s="4">
        <v>4.5</v>
      </c>
      <c r="T17" s="8"/>
      <c r="Y17" s="15" t="s">
        <v>220</v>
      </c>
      <c r="Z17" s="4">
        <v>4.5</v>
      </c>
      <c r="AA17" s="15" t="s">
        <v>206</v>
      </c>
      <c r="AF17" s="4" t="s">
        <v>101</v>
      </c>
      <c r="AG17" s="4" t="s">
        <v>101</v>
      </c>
      <c r="AH17" s="28">
        <v>30</v>
      </c>
    </row>
    <row r="18" spans="1:34" x14ac:dyDescent="0.25">
      <c r="A18" s="5" t="s">
        <v>155</v>
      </c>
      <c r="B18" s="7" t="s">
        <v>115</v>
      </c>
      <c r="C18" s="24">
        <v>5870</v>
      </c>
      <c r="D18" s="4" t="str">
        <f t="shared" si="4"/>
        <v>G145870</v>
      </c>
      <c r="E18" s="28">
        <v>30</v>
      </c>
      <c r="F18" s="4">
        <v>2400</v>
      </c>
      <c r="J18" s="4" t="s">
        <v>94</v>
      </c>
      <c r="K18" s="15">
        <v>1105</v>
      </c>
      <c r="L18" s="15" t="s">
        <v>206</v>
      </c>
      <c r="M18" s="10" t="s">
        <v>96</v>
      </c>
      <c r="N18" s="10" t="s">
        <v>98</v>
      </c>
      <c r="P18" s="15" t="s">
        <v>164</v>
      </c>
      <c r="Q18" s="15" t="s">
        <v>244</v>
      </c>
      <c r="R18" s="14" t="s">
        <v>211</v>
      </c>
      <c r="S18" s="4">
        <v>4.5</v>
      </c>
      <c r="T18" s="8"/>
      <c r="Y18" s="15" t="s">
        <v>217</v>
      </c>
      <c r="Z18" s="4">
        <v>4.5</v>
      </c>
      <c r="AA18" s="15" t="s">
        <v>206</v>
      </c>
      <c r="AF18" s="4" t="s">
        <v>101</v>
      </c>
      <c r="AG18" s="4" t="s">
        <v>101</v>
      </c>
      <c r="AH18" s="28">
        <v>30</v>
      </c>
    </row>
    <row r="19" spans="1:34" x14ac:dyDescent="0.25">
      <c r="A19" s="5" t="s">
        <v>155</v>
      </c>
      <c r="B19" s="7" t="s">
        <v>115</v>
      </c>
      <c r="C19" s="24">
        <v>746</v>
      </c>
      <c r="D19" s="4" t="str">
        <f t="shared" si="4"/>
        <v>G14746</v>
      </c>
      <c r="E19" s="28">
        <v>30</v>
      </c>
      <c r="F19" s="4">
        <v>2400</v>
      </c>
      <c r="J19" s="4" t="s">
        <v>94</v>
      </c>
      <c r="K19" s="15">
        <v>1350</v>
      </c>
      <c r="L19" s="15" t="s">
        <v>206</v>
      </c>
      <c r="M19" s="10" t="s">
        <v>95</v>
      </c>
      <c r="N19" s="10" t="s">
        <v>206</v>
      </c>
      <c r="P19" s="15" t="s">
        <v>170</v>
      </c>
      <c r="Q19" s="15" t="s">
        <v>244</v>
      </c>
      <c r="R19" s="14" t="s">
        <v>211</v>
      </c>
      <c r="S19" s="4">
        <v>4.5</v>
      </c>
      <c r="T19" s="8"/>
      <c r="Y19" s="15" t="s">
        <v>227</v>
      </c>
      <c r="Z19" s="4">
        <v>4.5</v>
      </c>
      <c r="AA19" s="15" t="s">
        <v>206</v>
      </c>
      <c r="AF19" s="4" t="s">
        <v>101</v>
      </c>
      <c r="AG19" s="4" t="s">
        <v>101</v>
      </c>
      <c r="AH19" s="28">
        <v>30</v>
      </c>
    </row>
    <row r="20" spans="1:34" x14ac:dyDescent="0.25">
      <c r="A20" s="5" t="s">
        <v>155</v>
      </c>
      <c r="B20" s="7" t="s">
        <v>115</v>
      </c>
      <c r="C20" s="24">
        <v>295</v>
      </c>
      <c r="D20" s="4" t="str">
        <f t="shared" si="4"/>
        <v>G14295</v>
      </c>
      <c r="E20" s="28">
        <v>30</v>
      </c>
      <c r="F20" s="4">
        <v>2400</v>
      </c>
      <c r="J20" s="4" t="s">
        <v>94</v>
      </c>
      <c r="K20" s="15">
        <v>1350</v>
      </c>
      <c r="L20" s="15" t="s">
        <v>206</v>
      </c>
      <c r="M20" s="10" t="s">
        <v>95</v>
      </c>
      <c r="N20" s="10" t="s">
        <v>206</v>
      </c>
      <c r="P20" s="15" t="s">
        <v>171</v>
      </c>
      <c r="Q20" s="15" t="s">
        <v>249</v>
      </c>
      <c r="R20" s="15" t="s">
        <v>220</v>
      </c>
      <c r="S20" s="4">
        <v>4.5</v>
      </c>
      <c r="T20" s="8"/>
      <c r="Y20" s="15" t="s">
        <v>219</v>
      </c>
      <c r="Z20" s="4">
        <v>4.5</v>
      </c>
      <c r="AA20" s="15" t="s">
        <v>206</v>
      </c>
      <c r="AF20" s="4" t="s">
        <v>101</v>
      </c>
      <c r="AG20" s="4" t="s">
        <v>101</v>
      </c>
      <c r="AH20" s="28">
        <v>30</v>
      </c>
    </row>
    <row r="21" spans="1:34" x14ac:dyDescent="0.25">
      <c r="A21" s="5" t="s">
        <v>155</v>
      </c>
      <c r="B21" s="7" t="s">
        <v>116</v>
      </c>
      <c r="C21" s="25" t="s">
        <v>123</v>
      </c>
      <c r="D21" s="4" t="str">
        <f t="shared" si="4"/>
        <v>G052375A</v>
      </c>
      <c r="E21" s="28">
        <v>50</v>
      </c>
      <c r="F21" s="4">
        <v>2400</v>
      </c>
      <c r="J21" s="4" t="s">
        <v>94</v>
      </c>
      <c r="K21" s="21">
        <v>515</v>
      </c>
      <c r="L21" s="19"/>
      <c r="M21" s="10" t="s">
        <v>203</v>
      </c>
      <c r="N21" s="8"/>
      <c r="P21" s="15" t="s">
        <v>172</v>
      </c>
      <c r="Q21" s="8" t="s">
        <v>244</v>
      </c>
      <c r="R21" s="15" t="s">
        <v>221</v>
      </c>
      <c r="S21" s="4">
        <v>4.5</v>
      </c>
      <c r="T21" s="15">
        <v>329983118</v>
      </c>
      <c r="Y21" s="15" t="s">
        <v>100</v>
      </c>
      <c r="Z21" s="4">
        <v>4.5</v>
      </c>
      <c r="AA21" s="8"/>
      <c r="AF21" s="4" t="s">
        <v>101</v>
      </c>
      <c r="AG21" s="4" t="s">
        <v>101</v>
      </c>
      <c r="AH21" s="28">
        <v>50</v>
      </c>
    </row>
    <row r="22" spans="1:34" x14ac:dyDescent="0.25">
      <c r="A22" s="5" t="s">
        <v>155</v>
      </c>
      <c r="B22" s="7" t="s">
        <v>116</v>
      </c>
      <c r="C22" s="26">
        <v>1339</v>
      </c>
      <c r="D22" s="4" t="str">
        <f t="shared" si="4"/>
        <v>G051339</v>
      </c>
      <c r="E22" s="28">
        <v>50</v>
      </c>
      <c r="F22" s="4">
        <v>2400</v>
      </c>
      <c r="J22" s="4" t="s">
        <v>94</v>
      </c>
      <c r="K22" s="21">
        <v>1030</v>
      </c>
      <c r="L22" s="19"/>
      <c r="M22" s="10" t="s">
        <v>204</v>
      </c>
      <c r="N22" s="10" t="s">
        <v>205</v>
      </c>
      <c r="P22" s="27" t="s">
        <v>173</v>
      </c>
      <c r="Q22" s="8" t="s">
        <v>244</v>
      </c>
      <c r="R22" s="15" t="s">
        <v>222</v>
      </c>
      <c r="S22" s="4">
        <v>4.5</v>
      </c>
      <c r="T22" s="8"/>
      <c r="Y22" s="15" t="s">
        <v>100</v>
      </c>
      <c r="Z22" s="4">
        <v>4.5</v>
      </c>
      <c r="AA22" s="8"/>
      <c r="AF22" s="4" t="s">
        <v>101</v>
      </c>
      <c r="AG22" s="4" t="s">
        <v>101</v>
      </c>
      <c r="AH22" s="28">
        <v>50</v>
      </c>
    </row>
    <row r="23" spans="1:34" x14ac:dyDescent="0.25">
      <c r="A23" s="5" t="s">
        <v>155</v>
      </c>
      <c r="B23" s="7" t="s">
        <v>116</v>
      </c>
      <c r="C23" s="25" t="s">
        <v>124</v>
      </c>
      <c r="D23" s="4" t="str">
        <f t="shared" si="4"/>
        <v>G053350E</v>
      </c>
      <c r="E23" s="28">
        <v>50</v>
      </c>
      <c r="F23" s="4">
        <v>2400</v>
      </c>
      <c r="J23" s="4" t="s">
        <v>94</v>
      </c>
      <c r="K23" s="21">
        <v>805</v>
      </c>
      <c r="L23" s="19"/>
      <c r="M23" s="10" t="s">
        <v>96</v>
      </c>
      <c r="N23" s="8"/>
      <c r="P23" s="15" t="s">
        <v>159</v>
      </c>
      <c r="Q23" s="8" t="s">
        <v>247</v>
      </c>
      <c r="R23" s="15" t="s">
        <v>100</v>
      </c>
      <c r="S23" s="4">
        <v>4.5</v>
      </c>
      <c r="T23" s="8"/>
      <c r="Y23" s="8" t="s">
        <v>231</v>
      </c>
      <c r="Z23" s="8">
        <v>13</v>
      </c>
      <c r="AA23" s="8"/>
      <c r="AF23" s="4" t="s">
        <v>101</v>
      </c>
      <c r="AG23" s="4" t="s">
        <v>110</v>
      </c>
      <c r="AH23" s="28">
        <v>50</v>
      </c>
    </row>
    <row r="24" spans="1:34" x14ac:dyDescent="0.25">
      <c r="A24" s="5" t="s">
        <v>155</v>
      </c>
      <c r="B24" s="7" t="s">
        <v>116</v>
      </c>
      <c r="C24" s="24" t="s">
        <v>125</v>
      </c>
      <c r="D24" s="4" t="str">
        <f t="shared" si="4"/>
        <v>G052374A</v>
      </c>
      <c r="E24" s="28">
        <v>50</v>
      </c>
      <c r="F24" s="4">
        <v>2400</v>
      </c>
      <c r="J24" s="4" t="s">
        <v>94</v>
      </c>
      <c r="K24" s="15">
        <v>315</v>
      </c>
      <c r="L24" s="19"/>
      <c r="M24" s="10" t="s">
        <v>207</v>
      </c>
      <c r="N24" s="10" t="s">
        <v>97</v>
      </c>
      <c r="P24" s="15" t="s">
        <v>174</v>
      </c>
      <c r="Q24" s="8" t="s">
        <v>244</v>
      </c>
      <c r="R24" s="15" t="s">
        <v>221</v>
      </c>
      <c r="S24" s="4">
        <v>4.5</v>
      </c>
      <c r="T24" s="15">
        <v>329983118</v>
      </c>
      <c r="Y24" s="8" t="s">
        <v>231</v>
      </c>
      <c r="Z24" s="8">
        <v>13</v>
      </c>
      <c r="AA24" s="8"/>
      <c r="AF24" s="4" t="s">
        <v>101</v>
      </c>
      <c r="AG24" s="4" t="s">
        <v>110</v>
      </c>
      <c r="AH24" s="28">
        <v>50</v>
      </c>
    </row>
    <row r="25" spans="1:34" x14ac:dyDescent="0.25">
      <c r="A25" s="5" t="s">
        <v>155</v>
      </c>
      <c r="B25" s="7" t="s">
        <v>116</v>
      </c>
      <c r="C25" s="24" t="s">
        <v>126</v>
      </c>
      <c r="D25" s="4" t="str">
        <f t="shared" si="4"/>
        <v>G052374E</v>
      </c>
      <c r="E25" s="28">
        <v>50</v>
      </c>
      <c r="F25" s="4">
        <v>2400</v>
      </c>
      <c r="J25" s="4" t="s">
        <v>94</v>
      </c>
      <c r="K25" s="15">
        <v>410</v>
      </c>
      <c r="L25" s="19"/>
      <c r="M25" s="10" t="s">
        <v>207</v>
      </c>
      <c r="N25" s="10" t="s">
        <v>97</v>
      </c>
      <c r="P25" s="15" t="s">
        <v>174</v>
      </c>
      <c r="Q25" s="8" t="s">
        <v>244</v>
      </c>
      <c r="R25" s="15" t="s">
        <v>221</v>
      </c>
      <c r="S25" s="4">
        <v>4.5</v>
      </c>
      <c r="T25" s="15">
        <v>329983118</v>
      </c>
      <c r="Y25" s="8" t="s">
        <v>231</v>
      </c>
      <c r="Z25" s="8">
        <v>13</v>
      </c>
      <c r="AA25" s="8"/>
      <c r="AF25" s="4" t="s">
        <v>101</v>
      </c>
      <c r="AG25" s="4" t="s">
        <v>110</v>
      </c>
      <c r="AH25" s="28">
        <v>50</v>
      </c>
    </row>
    <row r="26" spans="1:34" x14ac:dyDescent="0.25">
      <c r="A26" s="5" t="s">
        <v>155</v>
      </c>
      <c r="B26" s="7" t="s">
        <v>116</v>
      </c>
      <c r="C26" s="24" t="s">
        <v>127</v>
      </c>
      <c r="D26" s="4" t="str">
        <f t="shared" si="4"/>
        <v>G052374I</v>
      </c>
      <c r="E26" s="28">
        <v>50</v>
      </c>
      <c r="F26" s="4">
        <v>2400</v>
      </c>
      <c r="J26" s="4" t="s">
        <v>94</v>
      </c>
      <c r="K26" s="15">
        <v>570</v>
      </c>
      <c r="L26" s="19"/>
      <c r="M26" s="10" t="s">
        <v>207</v>
      </c>
      <c r="N26" s="10" t="s">
        <v>97</v>
      </c>
      <c r="P26" s="15" t="s">
        <v>174</v>
      </c>
      <c r="Q26" s="8" t="s">
        <v>244</v>
      </c>
      <c r="R26" s="15" t="s">
        <v>100</v>
      </c>
      <c r="S26" s="4">
        <v>4.5</v>
      </c>
      <c r="T26" s="15" t="s">
        <v>206</v>
      </c>
      <c r="Y26" s="8" t="s">
        <v>231</v>
      </c>
      <c r="Z26" s="8">
        <v>13</v>
      </c>
      <c r="AA26" s="8"/>
      <c r="AF26" s="4" t="s">
        <v>101</v>
      </c>
      <c r="AG26" s="4" t="s">
        <v>110</v>
      </c>
      <c r="AH26" s="28">
        <v>50</v>
      </c>
    </row>
    <row r="27" spans="1:34" x14ac:dyDescent="0.25">
      <c r="A27" s="5" t="s">
        <v>155</v>
      </c>
      <c r="B27" s="7" t="s">
        <v>116</v>
      </c>
      <c r="C27" s="24" t="s">
        <v>128</v>
      </c>
      <c r="D27" s="4" t="str">
        <f t="shared" si="4"/>
        <v>G052374C</v>
      </c>
      <c r="E27" s="28">
        <v>50</v>
      </c>
      <c r="F27" s="4">
        <v>2400</v>
      </c>
      <c r="J27" s="4" t="s">
        <v>94</v>
      </c>
      <c r="K27" s="15">
        <v>650</v>
      </c>
      <c r="L27" s="19"/>
      <c r="M27" s="10" t="s">
        <v>207</v>
      </c>
      <c r="N27" s="10" t="s">
        <v>97</v>
      </c>
      <c r="P27" s="15" t="s">
        <v>174</v>
      </c>
      <c r="Q27" s="8" t="s">
        <v>244</v>
      </c>
      <c r="R27" s="15" t="s">
        <v>221</v>
      </c>
      <c r="S27" s="4">
        <v>4.5</v>
      </c>
      <c r="T27" s="15">
        <v>329983118</v>
      </c>
      <c r="Y27" s="8" t="s">
        <v>231</v>
      </c>
      <c r="Z27" s="8">
        <v>13</v>
      </c>
      <c r="AA27" s="8"/>
      <c r="AF27" s="4" t="s">
        <v>101</v>
      </c>
      <c r="AG27" s="4" t="s">
        <v>110</v>
      </c>
      <c r="AH27" s="28">
        <v>50</v>
      </c>
    </row>
    <row r="28" spans="1:34" x14ac:dyDescent="0.25">
      <c r="A28" s="5" t="s">
        <v>155</v>
      </c>
      <c r="B28" s="7" t="s">
        <v>116</v>
      </c>
      <c r="C28" s="24" t="s">
        <v>129</v>
      </c>
      <c r="D28" s="4" t="str">
        <f t="shared" si="4"/>
        <v>G052374F</v>
      </c>
      <c r="E28" s="28">
        <v>50</v>
      </c>
      <c r="F28" s="4">
        <v>2400</v>
      </c>
      <c r="J28" s="4" t="s">
        <v>94</v>
      </c>
      <c r="K28" s="15">
        <v>1075</v>
      </c>
      <c r="L28" s="19"/>
      <c r="M28" s="11" t="s">
        <v>207</v>
      </c>
      <c r="N28" s="11" t="s">
        <v>97</v>
      </c>
      <c r="P28" s="15" t="s">
        <v>174</v>
      </c>
      <c r="Q28" s="8" t="s">
        <v>244</v>
      </c>
      <c r="R28" s="15" t="s">
        <v>221</v>
      </c>
      <c r="S28" s="4">
        <v>4.5</v>
      </c>
      <c r="T28" s="15">
        <v>329983118</v>
      </c>
      <c r="Y28" s="8" t="s">
        <v>231</v>
      </c>
      <c r="Z28" s="8">
        <v>13</v>
      </c>
      <c r="AA28" s="8"/>
      <c r="AF28" s="4" t="s">
        <v>101</v>
      </c>
      <c r="AG28" s="4" t="s">
        <v>110</v>
      </c>
      <c r="AH28" s="28">
        <v>50</v>
      </c>
    </row>
    <row r="29" spans="1:34" x14ac:dyDescent="0.25">
      <c r="A29" s="5" t="s">
        <v>155</v>
      </c>
      <c r="B29" s="7" t="s">
        <v>116</v>
      </c>
      <c r="C29" s="24" t="s">
        <v>130</v>
      </c>
      <c r="D29" s="4" t="str">
        <f t="shared" si="4"/>
        <v>G052374H</v>
      </c>
      <c r="E29" s="28">
        <v>50</v>
      </c>
      <c r="F29" s="4">
        <v>2400</v>
      </c>
      <c r="J29" s="4" t="s">
        <v>94</v>
      </c>
      <c r="K29" s="15">
        <v>1440</v>
      </c>
      <c r="L29" s="19"/>
      <c r="M29" s="12" t="s">
        <v>207</v>
      </c>
      <c r="N29" s="12" t="s">
        <v>97</v>
      </c>
      <c r="P29" s="15" t="s">
        <v>174</v>
      </c>
      <c r="Q29" s="8" t="s">
        <v>244</v>
      </c>
      <c r="R29" s="15" t="s">
        <v>221</v>
      </c>
      <c r="S29" s="4">
        <v>4.5</v>
      </c>
      <c r="T29" s="15">
        <v>329983118</v>
      </c>
      <c r="Y29" s="8" t="s">
        <v>231</v>
      </c>
      <c r="Z29" s="8">
        <v>13</v>
      </c>
      <c r="AA29" s="8"/>
      <c r="AF29" s="4" t="s">
        <v>101</v>
      </c>
      <c r="AG29" s="4" t="s">
        <v>110</v>
      </c>
      <c r="AH29" s="28">
        <v>50</v>
      </c>
    </row>
    <row r="30" spans="1:34" x14ac:dyDescent="0.25">
      <c r="A30" s="5" t="s">
        <v>155</v>
      </c>
      <c r="B30" s="7" t="s">
        <v>116</v>
      </c>
      <c r="C30" s="24">
        <v>6974</v>
      </c>
      <c r="D30" s="4" t="str">
        <f t="shared" si="4"/>
        <v>G056974</v>
      </c>
      <c r="E30" s="28">
        <v>50</v>
      </c>
      <c r="F30" s="4">
        <v>2400</v>
      </c>
      <c r="J30" s="4" t="s">
        <v>94</v>
      </c>
      <c r="K30" s="15">
        <v>245</v>
      </c>
      <c r="L30" s="19"/>
      <c r="M30" s="12" t="s">
        <v>96</v>
      </c>
      <c r="N30" s="13"/>
      <c r="P30" s="15" t="s">
        <v>168</v>
      </c>
      <c r="Q30" s="15" t="s">
        <v>244</v>
      </c>
      <c r="R30" s="15" t="s">
        <v>100</v>
      </c>
      <c r="S30" s="4">
        <v>4.5</v>
      </c>
      <c r="T30" s="8"/>
      <c r="Y30" s="8" t="s">
        <v>231</v>
      </c>
      <c r="Z30" s="8">
        <v>13</v>
      </c>
      <c r="AA30" s="8"/>
      <c r="AF30" s="4" t="s">
        <v>101</v>
      </c>
      <c r="AG30" s="4" t="s">
        <v>110</v>
      </c>
      <c r="AH30" s="28">
        <v>50</v>
      </c>
    </row>
    <row r="31" spans="1:34" x14ac:dyDescent="0.25">
      <c r="A31" s="5" t="s">
        <v>155</v>
      </c>
      <c r="B31" s="7" t="s">
        <v>116</v>
      </c>
      <c r="C31" s="24" t="s">
        <v>131</v>
      </c>
      <c r="D31" s="4" t="str">
        <f t="shared" si="4"/>
        <v>G056974A</v>
      </c>
      <c r="E31" s="28">
        <v>50</v>
      </c>
      <c r="F31" s="4">
        <v>2400</v>
      </c>
      <c r="J31" s="4" t="s">
        <v>94</v>
      </c>
      <c r="K31" s="15">
        <v>640</v>
      </c>
      <c r="L31" s="19"/>
      <c r="M31" s="12" t="s">
        <v>208</v>
      </c>
      <c r="N31" s="13"/>
      <c r="P31" s="15" t="s">
        <v>175</v>
      </c>
      <c r="Q31" s="15" t="s">
        <v>244</v>
      </c>
      <c r="R31" s="15" t="s">
        <v>206</v>
      </c>
      <c r="T31" s="8"/>
      <c r="Y31" s="8"/>
      <c r="Z31" s="4">
        <v>4.5</v>
      </c>
      <c r="AA31" s="8"/>
      <c r="AF31" s="4" t="s">
        <v>257</v>
      </c>
      <c r="AG31" s="4" t="s">
        <v>257</v>
      </c>
      <c r="AH31" s="28">
        <v>50</v>
      </c>
    </row>
    <row r="32" spans="1:34" x14ac:dyDescent="0.25">
      <c r="A32" s="5" t="s">
        <v>155</v>
      </c>
      <c r="B32" s="7" t="s">
        <v>116</v>
      </c>
      <c r="C32" s="24" t="s">
        <v>132</v>
      </c>
      <c r="D32" s="4" t="str">
        <f t="shared" si="4"/>
        <v>G056974B</v>
      </c>
      <c r="E32" s="28">
        <v>50</v>
      </c>
      <c r="F32" s="4">
        <v>2400</v>
      </c>
      <c r="J32" s="4" t="s">
        <v>94</v>
      </c>
      <c r="K32" s="15">
        <v>170</v>
      </c>
      <c r="L32" s="19"/>
      <c r="M32" s="11" t="s">
        <v>96</v>
      </c>
      <c r="N32" s="13"/>
      <c r="P32" s="15" t="s">
        <v>168</v>
      </c>
      <c r="Q32" s="15" t="s">
        <v>244</v>
      </c>
      <c r="R32" s="15" t="s">
        <v>222</v>
      </c>
      <c r="S32" s="4">
        <v>4.5</v>
      </c>
      <c r="T32" s="8"/>
      <c r="Y32" s="8" t="s">
        <v>231</v>
      </c>
      <c r="Z32" s="8">
        <v>13</v>
      </c>
      <c r="AA32" s="8"/>
      <c r="AF32" s="4" t="s">
        <v>101</v>
      </c>
      <c r="AG32" s="4" t="s">
        <v>110</v>
      </c>
      <c r="AH32" s="28">
        <v>50</v>
      </c>
    </row>
    <row r="33" spans="1:34" x14ac:dyDescent="0.25">
      <c r="A33" s="5" t="s">
        <v>155</v>
      </c>
      <c r="B33" s="7" t="s">
        <v>116</v>
      </c>
      <c r="C33" s="24">
        <v>6972</v>
      </c>
      <c r="D33" s="4" t="str">
        <f t="shared" ref="D33:D36" si="5">B33&amp;L33</f>
        <v>G05TW6972_1</v>
      </c>
      <c r="E33" s="28">
        <v>50</v>
      </c>
      <c r="F33" s="4">
        <v>800</v>
      </c>
      <c r="J33" s="4" t="s">
        <v>256</v>
      </c>
      <c r="K33" s="15">
        <v>1045</v>
      </c>
      <c r="L33" s="15" t="s">
        <v>253</v>
      </c>
      <c r="M33" s="12" t="s">
        <v>95</v>
      </c>
      <c r="N33" s="12" t="s">
        <v>203</v>
      </c>
      <c r="P33" s="15" t="s">
        <v>176</v>
      </c>
      <c r="Q33" s="15" t="s">
        <v>244</v>
      </c>
      <c r="R33" s="15" t="s">
        <v>222</v>
      </c>
      <c r="S33" s="4">
        <v>4.5</v>
      </c>
      <c r="T33" s="15"/>
      <c r="Y33" s="15" t="s">
        <v>100</v>
      </c>
      <c r="Z33" s="4">
        <v>4.5</v>
      </c>
      <c r="AA33" s="8"/>
      <c r="AF33" s="4" t="s">
        <v>101</v>
      </c>
      <c r="AG33" s="4" t="s">
        <v>101</v>
      </c>
      <c r="AH33" s="28">
        <v>50</v>
      </c>
    </row>
    <row r="34" spans="1:34" x14ac:dyDescent="0.25">
      <c r="A34" s="5" t="s">
        <v>155</v>
      </c>
      <c r="B34" s="7" t="s">
        <v>116</v>
      </c>
      <c r="C34" s="24">
        <v>6973</v>
      </c>
      <c r="D34" s="4" t="str">
        <f t="shared" si="5"/>
        <v>G05TW6972_1</v>
      </c>
      <c r="E34" s="28">
        <v>50</v>
      </c>
      <c r="F34" s="4">
        <v>800</v>
      </c>
      <c r="J34" s="4" t="s">
        <v>256</v>
      </c>
      <c r="K34" s="15">
        <v>1050</v>
      </c>
      <c r="L34" s="15" t="s">
        <v>253</v>
      </c>
      <c r="M34" s="12" t="s">
        <v>97</v>
      </c>
      <c r="N34" s="12" t="s">
        <v>98</v>
      </c>
      <c r="P34" s="27" t="s">
        <v>177</v>
      </c>
      <c r="Q34" s="15" t="s">
        <v>244</v>
      </c>
      <c r="R34" s="15" t="s">
        <v>222</v>
      </c>
      <c r="S34" s="4">
        <v>4.5</v>
      </c>
      <c r="T34" s="15"/>
      <c r="Y34" s="15" t="s">
        <v>100</v>
      </c>
      <c r="Z34" s="4">
        <v>4.5</v>
      </c>
      <c r="AA34" s="8"/>
      <c r="AF34" s="4" t="s">
        <v>101</v>
      </c>
      <c r="AG34" s="4" t="s">
        <v>101</v>
      </c>
      <c r="AH34" s="28">
        <v>50</v>
      </c>
    </row>
    <row r="35" spans="1:34" x14ac:dyDescent="0.25">
      <c r="A35" s="5" t="s">
        <v>155</v>
      </c>
      <c r="B35" s="6" t="s">
        <v>117</v>
      </c>
      <c r="C35" s="24" t="s">
        <v>133</v>
      </c>
      <c r="D35" s="4" t="str">
        <f t="shared" si="5"/>
        <v>G09TW117_1</v>
      </c>
      <c r="E35" s="28">
        <v>30</v>
      </c>
      <c r="F35" s="4">
        <v>800</v>
      </c>
      <c r="J35" s="4" t="s">
        <v>256</v>
      </c>
      <c r="K35" s="15" t="s">
        <v>235</v>
      </c>
      <c r="L35" s="15" t="s">
        <v>254</v>
      </c>
      <c r="M35" s="12" t="s">
        <v>203</v>
      </c>
      <c r="N35" s="12" t="s">
        <v>96</v>
      </c>
      <c r="P35" s="15" t="s">
        <v>178</v>
      </c>
      <c r="Q35" s="15" t="s">
        <v>247</v>
      </c>
      <c r="R35" s="15" t="s">
        <v>215</v>
      </c>
      <c r="S35" s="4">
        <v>4.5</v>
      </c>
      <c r="T35" s="15" t="s">
        <v>230</v>
      </c>
      <c r="Y35" s="15" t="s">
        <v>224</v>
      </c>
      <c r="Z35" s="4">
        <v>4.5</v>
      </c>
      <c r="AA35" s="8"/>
      <c r="AF35" s="4" t="s">
        <v>101</v>
      </c>
      <c r="AG35" s="4" t="s">
        <v>101</v>
      </c>
      <c r="AH35" s="28">
        <v>30</v>
      </c>
    </row>
    <row r="36" spans="1:34" x14ac:dyDescent="0.25">
      <c r="A36" s="5" t="s">
        <v>155</v>
      </c>
      <c r="B36" s="6" t="s">
        <v>117</v>
      </c>
      <c r="C36" s="24" t="s">
        <v>134</v>
      </c>
      <c r="D36" s="4" t="str">
        <f t="shared" si="5"/>
        <v>G09TW117_1</v>
      </c>
      <c r="E36" s="28">
        <v>30</v>
      </c>
      <c r="F36" s="4">
        <v>800</v>
      </c>
      <c r="J36" s="4" t="s">
        <v>256</v>
      </c>
      <c r="K36" s="15" t="s">
        <v>235</v>
      </c>
      <c r="L36" s="15" t="s">
        <v>254</v>
      </c>
      <c r="M36" s="12" t="s">
        <v>203</v>
      </c>
      <c r="N36" s="12" t="s">
        <v>206</v>
      </c>
      <c r="P36" s="15" t="s">
        <v>179</v>
      </c>
      <c r="Q36" s="15" t="s">
        <v>247</v>
      </c>
      <c r="R36" s="15" t="s">
        <v>215</v>
      </c>
      <c r="S36" s="4">
        <v>4.5</v>
      </c>
      <c r="T36" s="15" t="s">
        <v>230</v>
      </c>
      <c r="Y36" s="15" t="s">
        <v>224</v>
      </c>
      <c r="Z36" s="4">
        <v>4.5</v>
      </c>
      <c r="AA36" s="8"/>
      <c r="AF36" s="4" t="s">
        <v>101</v>
      </c>
      <c r="AG36" s="4" t="s">
        <v>101</v>
      </c>
      <c r="AH36" s="28">
        <v>30</v>
      </c>
    </row>
    <row r="37" spans="1:34" x14ac:dyDescent="0.25">
      <c r="A37" s="5" t="s">
        <v>155</v>
      </c>
      <c r="B37" s="6" t="s">
        <v>117</v>
      </c>
      <c r="C37" s="24" t="s">
        <v>135</v>
      </c>
      <c r="D37" s="4" t="str">
        <f t="shared" ref="D37:D47" si="6">B37&amp;C37</f>
        <v>G093397</v>
      </c>
      <c r="E37" s="28">
        <v>30</v>
      </c>
      <c r="F37" s="4">
        <v>2400</v>
      </c>
      <c r="J37" s="4" t="s">
        <v>94</v>
      </c>
      <c r="K37" s="15" t="s">
        <v>236</v>
      </c>
      <c r="L37" s="19"/>
      <c r="M37" s="12" t="s">
        <v>203</v>
      </c>
      <c r="N37" s="12" t="s">
        <v>204</v>
      </c>
      <c r="P37" s="15" t="s">
        <v>180</v>
      </c>
      <c r="Q37" s="15" t="s">
        <v>244</v>
      </c>
      <c r="R37" s="15" t="s">
        <v>223</v>
      </c>
      <c r="S37" s="4">
        <v>4.5</v>
      </c>
      <c r="T37" s="8"/>
      <c r="Y37" s="15" t="s">
        <v>224</v>
      </c>
      <c r="Z37" s="4">
        <v>4.5</v>
      </c>
      <c r="AA37" s="8"/>
      <c r="AF37" s="4" t="s">
        <v>101</v>
      </c>
      <c r="AG37" s="4" t="s">
        <v>101</v>
      </c>
      <c r="AH37" s="28">
        <v>30</v>
      </c>
    </row>
    <row r="38" spans="1:34" x14ac:dyDescent="0.25">
      <c r="A38" s="5" t="s">
        <v>155</v>
      </c>
      <c r="B38" s="6" t="s">
        <v>117</v>
      </c>
      <c r="C38" s="24" t="s">
        <v>136</v>
      </c>
      <c r="D38" s="4" t="str">
        <f t="shared" si="6"/>
        <v>G093396</v>
      </c>
      <c r="E38" s="28">
        <v>30</v>
      </c>
      <c r="F38" s="4">
        <v>2400</v>
      </c>
      <c r="J38" s="4" t="s">
        <v>94</v>
      </c>
      <c r="K38" s="15" t="s">
        <v>236</v>
      </c>
      <c r="L38" s="19"/>
      <c r="M38" s="12" t="s">
        <v>205</v>
      </c>
      <c r="N38" s="12" t="s">
        <v>96</v>
      </c>
      <c r="P38" s="15" t="s">
        <v>181</v>
      </c>
      <c r="Q38" s="15" t="s">
        <v>244</v>
      </c>
      <c r="R38" s="15" t="s">
        <v>223</v>
      </c>
      <c r="S38" s="4">
        <v>4.5</v>
      </c>
      <c r="T38" s="8"/>
      <c r="Y38" s="15" t="s">
        <v>224</v>
      </c>
      <c r="Z38" s="4">
        <v>4.5</v>
      </c>
      <c r="AA38" s="8"/>
      <c r="AF38" s="4" t="s">
        <v>101</v>
      </c>
      <c r="AG38" s="4" t="s">
        <v>101</v>
      </c>
      <c r="AH38" s="28">
        <v>30</v>
      </c>
    </row>
    <row r="39" spans="1:34" x14ac:dyDescent="0.25">
      <c r="A39" s="5" t="s">
        <v>155</v>
      </c>
      <c r="B39" s="6" t="s">
        <v>117</v>
      </c>
      <c r="C39" s="24" t="s">
        <v>137</v>
      </c>
      <c r="D39" s="4" t="str">
        <f t="shared" si="6"/>
        <v>G093398</v>
      </c>
      <c r="E39" s="28">
        <v>30</v>
      </c>
      <c r="F39" s="4">
        <v>2400</v>
      </c>
      <c r="J39" s="4" t="s">
        <v>94</v>
      </c>
      <c r="K39" s="15" t="s">
        <v>237</v>
      </c>
      <c r="L39" s="19"/>
      <c r="M39" s="12" t="s">
        <v>97</v>
      </c>
      <c r="N39" s="12" t="s">
        <v>206</v>
      </c>
      <c r="P39" s="15" t="s">
        <v>166</v>
      </c>
      <c r="Q39" s="15" t="s">
        <v>244</v>
      </c>
      <c r="R39" s="15" t="s">
        <v>223</v>
      </c>
      <c r="S39" s="4">
        <v>4.5</v>
      </c>
      <c r="T39" s="8"/>
      <c r="Y39" s="15" t="s">
        <v>224</v>
      </c>
      <c r="Z39" s="4">
        <v>4.5</v>
      </c>
      <c r="AA39" s="8"/>
      <c r="AF39" s="4" t="s">
        <v>101</v>
      </c>
      <c r="AG39" s="4" t="s">
        <v>101</v>
      </c>
      <c r="AH39" s="28">
        <v>30</v>
      </c>
    </row>
    <row r="40" spans="1:34" x14ac:dyDescent="0.25">
      <c r="A40" s="5" t="s">
        <v>155</v>
      </c>
      <c r="B40" s="6" t="s">
        <v>117</v>
      </c>
      <c r="C40" s="24" t="s">
        <v>138</v>
      </c>
      <c r="D40" s="4" t="str">
        <f t="shared" si="6"/>
        <v>G093250E</v>
      </c>
      <c r="E40" s="28">
        <v>30</v>
      </c>
      <c r="F40" s="4">
        <v>2400</v>
      </c>
      <c r="J40" s="4" t="s">
        <v>94</v>
      </c>
      <c r="K40" s="15" t="s">
        <v>238</v>
      </c>
      <c r="L40" s="19"/>
      <c r="M40" s="12" t="s">
        <v>96</v>
      </c>
      <c r="N40" s="12" t="s">
        <v>206</v>
      </c>
      <c r="P40" s="15" t="s">
        <v>168</v>
      </c>
      <c r="Q40" s="15" t="s">
        <v>244</v>
      </c>
      <c r="R40" s="15" t="s">
        <v>224</v>
      </c>
      <c r="S40" s="4">
        <v>4.5</v>
      </c>
      <c r="T40" s="8"/>
      <c r="Y40" s="15" t="s">
        <v>227</v>
      </c>
      <c r="Z40" s="4">
        <v>4.5</v>
      </c>
      <c r="AA40" s="8"/>
      <c r="AF40" s="4" t="s">
        <v>101</v>
      </c>
      <c r="AG40" s="4" t="s">
        <v>101</v>
      </c>
      <c r="AH40" s="28">
        <v>30</v>
      </c>
    </row>
    <row r="41" spans="1:34" x14ac:dyDescent="0.25">
      <c r="A41" s="5" t="s">
        <v>155</v>
      </c>
      <c r="B41" s="6" t="s">
        <v>117</v>
      </c>
      <c r="C41" s="24" t="s">
        <v>139</v>
      </c>
      <c r="D41" s="4" t="str">
        <f t="shared" si="6"/>
        <v>G093388</v>
      </c>
      <c r="E41" s="28">
        <v>30</v>
      </c>
      <c r="F41" s="4">
        <v>2400</v>
      </c>
      <c r="J41" s="4" t="s">
        <v>94</v>
      </c>
      <c r="K41" s="15" t="s">
        <v>239</v>
      </c>
      <c r="L41" s="19"/>
      <c r="M41" s="12" t="s">
        <v>203</v>
      </c>
      <c r="N41" s="12" t="s">
        <v>98</v>
      </c>
      <c r="P41" s="15" t="s">
        <v>182</v>
      </c>
      <c r="Q41" s="15" t="s">
        <v>250</v>
      </c>
      <c r="R41" s="15" t="s">
        <v>216</v>
      </c>
      <c r="S41" s="4">
        <v>4.5</v>
      </c>
      <c r="T41" s="8"/>
      <c r="Y41" s="15" t="s">
        <v>233</v>
      </c>
      <c r="Z41" s="4">
        <v>4.5</v>
      </c>
      <c r="AA41" s="8"/>
      <c r="AF41" s="4" t="s">
        <v>101</v>
      </c>
      <c r="AG41" s="4" t="s">
        <v>101</v>
      </c>
      <c r="AH41" s="28">
        <v>30</v>
      </c>
    </row>
    <row r="42" spans="1:34" x14ac:dyDescent="0.25">
      <c r="A42" s="5" t="s">
        <v>155</v>
      </c>
      <c r="B42" s="6" t="s">
        <v>117</v>
      </c>
      <c r="C42" s="24" t="s">
        <v>140</v>
      </c>
      <c r="D42" s="4" t="str">
        <f t="shared" si="6"/>
        <v>G093387</v>
      </c>
      <c r="E42" s="28">
        <v>30</v>
      </c>
      <c r="F42" s="4">
        <v>2400</v>
      </c>
      <c r="J42" s="4" t="s">
        <v>94</v>
      </c>
      <c r="K42" s="15" t="s">
        <v>239</v>
      </c>
      <c r="L42" s="19"/>
      <c r="M42" s="12" t="s">
        <v>205</v>
      </c>
      <c r="N42" s="12" t="s">
        <v>95</v>
      </c>
      <c r="P42" s="15" t="s">
        <v>183</v>
      </c>
      <c r="Q42" s="15" t="s">
        <v>250</v>
      </c>
      <c r="R42" s="15" t="s">
        <v>216</v>
      </c>
      <c r="S42" s="4">
        <v>4.5</v>
      </c>
      <c r="T42" s="8"/>
      <c r="Y42" s="15" t="s">
        <v>233</v>
      </c>
      <c r="Z42" s="4">
        <v>4.5</v>
      </c>
      <c r="AA42" s="8"/>
      <c r="AF42" s="4" t="s">
        <v>101</v>
      </c>
      <c r="AG42" s="4" t="s">
        <v>101</v>
      </c>
      <c r="AH42" s="28">
        <v>30</v>
      </c>
    </row>
    <row r="43" spans="1:34" x14ac:dyDescent="0.25">
      <c r="A43" s="5" t="s">
        <v>155</v>
      </c>
      <c r="B43" s="6" t="s">
        <v>117</v>
      </c>
      <c r="C43" s="24" t="s">
        <v>141</v>
      </c>
      <c r="D43" s="4" t="str">
        <f t="shared" si="6"/>
        <v>G095870</v>
      </c>
      <c r="E43" s="28">
        <v>30</v>
      </c>
      <c r="F43" s="4">
        <v>2400</v>
      </c>
      <c r="J43" s="4" t="s">
        <v>94</v>
      </c>
      <c r="K43" s="15" t="s">
        <v>240</v>
      </c>
      <c r="L43" s="19"/>
      <c r="M43" s="12" t="s">
        <v>96</v>
      </c>
      <c r="N43" s="12" t="s">
        <v>98</v>
      </c>
      <c r="P43" s="15" t="s">
        <v>164</v>
      </c>
      <c r="Q43" s="15" t="s">
        <v>244</v>
      </c>
      <c r="R43" s="15" t="s">
        <v>217</v>
      </c>
      <c r="S43" s="4">
        <v>4.5</v>
      </c>
      <c r="T43" s="8"/>
      <c r="Y43" s="15" t="s">
        <v>224</v>
      </c>
      <c r="Z43" s="4">
        <v>4.5</v>
      </c>
      <c r="AA43" s="8"/>
      <c r="AF43" s="4" t="s">
        <v>101</v>
      </c>
      <c r="AG43" s="4" t="s">
        <v>101</v>
      </c>
      <c r="AH43" s="28">
        <v>30</v>
      </c>
    </row>
    <row r="44" spans="1:34" x14ac:dyDescent="0.25">
      <c r="A44" s="5" t="s">
        <v>155</v>
      </c>
      <c r="B44" s="6" t="s">
        <v>117</v>
      </c>
      <c r="C44" s="24" t="s">
        <v>142</v>
      </c>
      <c r="D44" s="4" t="str">
        <f t="shared" si="6"/>
        <v>G093386</v>
      </c>
      <c r="E44" s="28">
        <v>30</v>
      </c>
      <c r="F44" s="4">
        <v>2400</v>
      </c>
      <c r="J44" s="4" t="s">
        <v>94</v>
      </c>
      <c r="K44" s="15" t="s">
        <v>241</v>
      </c>
      <c r="L44" s="19"/>
      <c r="M44" s="12" t="s">
        <v>204</v>
      </c>
      <c r="N44" s="12" t="s">
        <v>95</v>
      </c>
      <c r="P44" s="15" t="s">
        <v>184</v>
      </c>
      <c r="Q44" s="15" t="s">
        <v>244</v>
      </c>
      <c r="R44" s="15" t="s">
        <v>217</v>
      </c>
      <c r="S44" s="4">
        <v>4.5</v>
      </c>
      <c r="T44" s="8"/>
      <c r="Y44" s="15" t="s">
        <v>224</v>
      </c>
      <c r="Z44" s="4">
        <v>4.5</v>
      </c>
      <c r="AA44" s="8"/>
      <c r="AF44" s="4" t="s">
        <v>101</v>
      </c>
      <c r="AG44" s="4" t="s">
        <v>101</v>
      </c>
      <c r="AH44" s="28">
        <v>30</v>
      </c>
    </row>
    <row r="45" spans="1:34" x14ac:dyDescent="0.25">
      <c r="A45" s="5" t="s">
        <v>155</v>
      </c>
      <c r="B45" s="6" t="s">
        <v>117</v>
      </c>
      <c r="C45" s="24" t="s">
        <v>143</v>
      </c>
      <c r="D45" s="4" t="str">
        <f t="shared" si="6"/>
        <v>G09294</v>
      </c>
      <c r="E45" s="28">
        <v>30</v>
      </c>
      <c r="F45" s="4">
        <v>2400</v>
      </c>
      <c r="J45" s="4" t="s">
        <v>94</v>
      </c>
      <c r="K45" s="15" t="s">
        <v>242</v>
      </c>
      <c r="L45" s="19"/>
      <c r="M45" s="12" t="s">
        <v>207</v>
      </c>
      <c r="N45" s="12" t="s">
        <v>203</v>
      </c>
      <c r="P45" s="15" t="s">
        <v>169</v>
      </c>
      <c r="Q45" s="15" t="s">
        <v>249</v>
      </c>
      <c r="R45" s="15" t="s">
        <v>225</v>
      </c>
      <c r="S45" s="4">
        <v>4.5</v>
      </c>
      <c r="T45" s="8"/>
      <c r="Y45" s="15" t="s">
        <v>220</v>
      </c>
      <c r="Z45" s="4">
        <v>4.5</v>
      </c>
      <c r="AA45" s="8"/>
      <c r="AF45" s="4" t="s">
        <v>101</v>
      </c>
      <c r="AG45" s="4" t="s">
        <v>101</v>
      </c>
      <c r="AH45" s="28">
        <v>30</v>
      </c>
    </row>
    <row r="46" spans="1:34" x14ac:dyDescent="0.25">
      <c r="A46" s="5" t="s">
        <v>155</v>
      </c>
      <c r="B46" s="6" t="s">
        <v>117</v>
      </c>
      <c r="C46" s="24" t="s">
        <v>144</v>
      </c>
      <c r="D46" s="4" t="str">
        <f t="shared" si="6"/>
        <v>G09295</v>
      </c>
      <c r="E46" s="28">
        <v>30</v>
      </c>
      <c r="F46" s="4">
        <v>2400</v>
      </c>
      <c r="J46" s="4" t="s">
        <v>94</v>
      </c>
      <c r="K46" s="15" t="s">
        <v>243</v>
      </c>
      <c r="L46" s="19"/>
      <c r="M46" s="12" t="s">
        <v>95</v>
      </c>
      <c r="N46" s="12" t="s">
        <v>206</v>
      </c>
      <c r="P46" s="15" t="s">
        <v>171</v>
      </c>
      <c r="Q46" s="15" t="s">
        <v>249</v>
      </c>
      <c r="R46" s="15" t="s">
        <v>225</v>
      </c>
      <c r="S46" s="4">
        <v>4.5</v>
      </c>
      <c r="T46" s="8"/>
      <c r="Y46" s="15" t="s">
        <v>220</v>
      </c>
      <c r="Z46" s="4">
        <v>4.5</v>
      </c>
      <c r="AA46" s="8"/>
      <c r="AF46" s="4" t="s">
        <v>101</v>
      </c>
      <c r="AG46" s="4" t="s">
        <v>101</v>
      </c>
      <c r="AH46" s="28">
        <v>30</v>
      </c>
    </row>
    <row r="47" spans="1:34" x14ac:dyDescent="0.25">
      <c r="A47" s="5" t="s">
        <v>155</v>
      </c>
      <c r="B47" s="6" t="s">
        <v>117</v>
      </c>
      <c r="C47" s="24" t="s">
        <v>145</v>
      </c>
      <c r="D47" s="4" t="str">
        <f t="shared" si="6"/>
        <v>G09746</v>
      </c>
      <c r="E47" s="28">
        <v>30</v>
      </c>
      <c r="F47" s="4">
        <v>2400</v>
      </c>
      <c r="J47" s="4" t="s">
        <v>94</v>
      </c>
      <c r="K47" s="15" t="s">
        <v>238</v>
      </c>
      <c r="L47" s="19"/>
      <c r="M47" s="12" t="s">
        <v>95</v>
      </c>
      <c r="N47" s="12" t="s">
        <v>206</v>
      </c>
      <c r="P47" s="15" t="s">
        <v>170</v>
      </c>
      <c r="Q47" s="15" t="s">
        <v>244</v>
      </c>
      <c r="R47" s="15" t="s">
        <v>224</v>
      </c>
      <c r="S47" s="4">
        <v>4.5</v>
      </c>
      <c r="T47" s="8"/>
      <c r="Y47" s="15" t="s">
        <v>227</v>
      </c>
      <c r="Z47" s="4">
        <v>4.5</v>
      </c>
      <c r="AA47" s="8"/>
      <c r="AF47" s="4" t="s">
        <v>101</v>
      </c>
      <c r="AG47" s="4" t="s">
        <v>101</v>
      </c>
      <c r="AH47" s="28">
        <v>30</v>
      </c>
    </row>
    <row r="48" spans="1:34" x14ac:dyDescent="0.25">
      <c r="A48" s="5" t="s">
        <v>155</v>
      </c>
      <c r="B48" s="6" t="s">
        <v>118</v>
      </c>
      <c r="C48" s="15">
        <v>118</v>
      </c>
      <c r="D48" s="4" t="str">
        <f t="shared" ref="D48:D49" si="7">B48&amp;L48</f>
        <v>G10TW118_1</v>
      </c>
      <c r="E48" s="28">
        <v>10</v>
      </c>
      <c r="F48" s="4">
        <v>800</v>
      </c>
      <c r="J48" s="4" t="s">
        <v>94</v>
      </c>
      <c r="K48" s="15">
        <v>965</v>
      </c>
      <c r="L48" s="15" t="s">
        <v>255</v>
      </c>
      <c r="M48" s="12" t="s">
        <v>207</v>
      </c>
      <c r="N48" s="12" t="s">
        <v>98</v>
      </c>
      <c r="P48" s="15" t="s">
        <v>185</v>
      </c>
      <c r="Q48" s="15" t="s">
        <v>247</v>
      </c>
      <c r="R48" s="15" t="s">
        <v>215</v>
      </c>
      <c r="S48" s="4">
        <v>4.5</v>
      </c>
      <c r="T48" s="15" t="s">
        <v>230</v>
      </c>
      <c r="Y48" s="15" t="s">
        <v>224</v>
      </c>
      <c r="Z48" s="4">
        <v>4.5</v>
      </c>
      <c r="AA48" s="8"/>
      <c r="AF48" s="4" t="s">
        <v>101</v>
      </c>
      <c r="AG48" s="4" t="s">
        <v>101</v>
      </c>
      <c r="AH48" s="28">
        <v>10</v>
      </c>
    </row>
    <row r="49" spans="1:34" x14ac:dyDescent="0.25">
      <c r="A49" s="5" t="s">
        <v>155</v>
      </c>
      <c r="B49" s="6" t="s">
        <v>118</v>
      </c>
      <c r="C49" s="15">
        <v>201</v>
      </c>
      <c r="D49" s="4" t="str">
        <f t="shared" si="7"/>
        <v>G10TW118_1</v>
      </c>
      <c r="E49" s="28">
        <v>10</v>
      </c>
      <c r="F49" s="4">
        <v>800</v>
      </c>
      <c r="J49" s="4" t="s">
        <v>94</v>
      </c>
      <c r="K49" s="15">
        <v>965</v>
      </c>
      <c r="L49" s="15" t="s">
        <v>255</v>
      </c>
      <c r="M49" s="12" t="s">
        <v>98</v>
      </c>
      <c r="N49" s="12" t="s">
        <v>206</v>
      </c>
      <c r="P49" s="15" t="s">
        <v>186</v>
      </c>
      <c r="Q49" s="15" t="s">
        <v>247</v>
      </c>
      <c r="R49" s="15" t="s">
        <v>215</v>
      </c>
      <c r="S49" s="4">
        <v>4.5</v>
      </c>
      <c r="T49" s="15" t="s">
        <v>230</v>
      </c>
      <c r="Y49" s="15" t="s">
        <v>224</v>
      </c>
      <c r="Z49" s="4">
        <v>4.5</v>
      </c>
      <c r="AA49" s="8"/>
      <c r="AF49" s="4" t="s">
        <v>101</v>
      </c>
      <c r="AG49" s="4" t="s">
        <v>101</v>
      </c>
      <c r="AH49" s="28">
        <v>10</v>
      </c>
    </row>
    <row r="50" spans="1:34" x14ac:dyDescent="0.25">
      <c r="A50" s="5" t="s">
        <v>155</v>
      </c>
      <c r="B50" s="6" t="s">
        <v>118</v>
      </c>
      <c r="C50" s="15">
        <v>1307</v>
      </c>
      <c r="D50" s="4" t="str">
        <f t="shared" ref="D50:D80" si="8">B50&amp;C50</f>
        <v>G101307</v>
      </c>
      <c r="E50" s="28">
        <v>10</v>
      </c>
      <c r="F50" s="4">
        <v>2400</v>
      </c>
      <c r="J50" s="4" t="s">
        <v>94</v>
      </c>
      <c r="K50" s="15">
        <v>1290</v>
      </c>
      <c r="L50" s="19"/>
      <c r="M50" s="12" t="s">
        <v>98</v>
      </c>
      <c r="N50" s="12" t="s">
        <v>97</v>
      </c>
      <c r="P50" s="15" t="s">
        <v>187</v>
      </c>
      <c r="Q50" s="15" t="s">
        <v>244</v>
      </c>
      <c r="R50" s="15" t="s">
        <v>224</v>
      </c>
      <c r="S50" s="4">
        <v>4.5</v>
      </c>
      <c r="T50" s="8"/>
      <c r="Y50" s="15" t="s">
        <v>223</v>
      </c>
      <c r="Z50" s="4">
        <v>4.5</v>
      </c>
      <c r="AA50" s="8"/>
      <c r="AF50" s="4" t="s">
        <v>101</v>
      </c>
      <c r="AG50" s="4" t="s">
        <v>101</v>
      </c>
      <c r="AH50" s="28">
        <v>10</v>
      </c>
    </row>
    <row r="51" spans="1:34" x14ac:dyDescent="0.25">
      <c r="A51" s="5" t="s">
        <v>155</v>
      </c>
      <c r="B51" s="6" t="s">
        <v>118</v>
      </c>
      <c r="C51" s="15">
        <v>294</v>
      </c>
      <c r="D51" s="4" t="str">
        <f t="shared" si="8"/>
        <v>G10294</v>
      </c>
      <c r="E51" s="28">
        <v>10</v>
      </c>
      <c r="F51" s="4">
        <v>2400</v>
      </c>
      <c r="J51" s="4" t="s">
        <v>94</v>
      </c>
      <c r="K51" s="15">
        <v>1380</v>
      </c>
      <c r="L51" s="19"/>
      <c r="M51" s="12" t="s">
        <v>207</v>
      </c>
      <c r="N51" s="12" t="s">
        <v>203</v>
      </c>
      <c r="P51" s="15" t="s">
        <v>169</v>
      </c>
      <c r="Q51" s="15" t="s">
        <v>249</v>
      </c>
      <c r="R51" s="15" t="s">
        <v>225</v>
      </c>
      <c r="S51" s="4">
        <v>4.5</v>
      </c>
      <c r="T51" s="8"/>
      <c r="Y51" s="15" t="s">
        <v>220</v>
      </c>
      <c r="Z51" s="4">
        <v>4.5</v>
      </c>
      <c r="AA51" s="8"/>
      <c r="AF51" s="4" t="s">
        <v>101</v>
      </c>
      <c r="AG51" s="4" t="s">
        <v>101</v>
      </c>
      <c r="AH51" s="28">
        <v>10</v>
      </c>
    </row>
    <row r="52" spans="1:34" x14ac:dyDescent="0.25">
      <c r="A52" s="5" t="s">
        <v>155</v>
      </c>
      <c r="B52" s="6" t="s">
        <v>118</v>
      </c>
      <c r="C52" s="15">
        <v>295</v>
      </c>
      <c r="D52" s="4" t="str">
        <f t="shared" si="8"/>
        <v>G10295</v>
      </c>
      <c r="E52" s="28">
        <v>10</v>
      </c>
      <c r="F52" s="4">
        <v>2400</v>
      </c>
      <c r="J52" s="4" t="s">
        <v>94</v>
      </c>
      <c r="K52" s="15">
        <v>1385</v>
      </c>
      <c r="L52" s="19"/>
      <c r="M52" s="12" t="s">
        <v>95</v>
      </c>
      <c r="N52" s="12" t="s">
        <v>206</v>
      </c>
      <c r="P52" s="15" t="s">
        <v>171</v>
      </c>
      <c r="Q52" s="15" t="s">
        <v>249</v>
      </c>
      <c r="R52" s="15" t="s">
        <v>225</v>
      </c>
      <c r="S52" s="4">
        <v>4.5</v>
      </c>
      <c r="T52" s="8"/>
      <c r="Y52" s="15" t="s">
        <v>220</v>
      </c>
      <c r="Z52" s="4">
        <v>4.5</v>
      </c>
      <c r="AA52" s="8"/>
      <c r="AF52" s="4" t="s">
        <v>101</v>
      </c>
      <c r="AG52" s="4" t="s">
        <v>101</v>
      </c>
      <c r="AH52" s="28">
        <v>10</v>
      </c>
    </row>
    <row r="53" spans="1:34" x14ac:dyDescent="0.25">
      <c r="A53" s="5" t="s">
        <v>155</v>
      </c>
      <c r="B53" s="6" t="s">
        <v>118</v>
      </c>
      <c r="C53" s="15" t="s">
        <v>146</v>
      </c>
      <c r="D53" s="4" t="str">
        <f t="shared" si="8"/>
        <v>G103150A</v>
      </c>
      <c r="E53" s="28">
        <v>10</v>
      </c>
      <c r="F53" s="4">
        <v>2400</v>
      </c>
      <c r="J53" s="4" t="s">
        <v>94</v>
      </c>
      <c r="K53" s="15">
        <v>1105</v>
      </c>
      <c r="L53" s="19"/>
      <c r="M53" s="12" t="s">
        <v>96</v>
      </c>
      <c r="N53" s="12" t="s">
        <v>206</v>
      </c>
      <c r="P53" s="15" t="s">
        <v>159</v>
      </c>
      <c r="Q53" s="15" t="s">
        <v>247</v>
      </c>
      <c r="R53" s="15" t="s">
        <v>224</v>
      </c>
      <c r="S53" s="4">
        <v>4.5</v>
      </c>
      <c r="T53" s="8"/>
      <c r="Y53" s="15" t="s">
        <v>231</v>
      </c>
      <c r="Z53" s="8">
        <v>13</v>
      </c>
      <c r="AA53" s="8"/>
      <c r="AF53" s="4" t="s">
        <v>101</v>
      </c>
      <c r="AG53" s="4" t="s">
        <v>110</v>
      </c>
      <c r="AH53" s="28">
        <v>10</v>
      </c>
    </row>
    <row r="54" spans="1:34" x14ac:dyDescent="0.25">
      <c r="A54" s="5" t="s">
        <v>155</v>
      </c>
      <c r="B54" s="6" t="s">
        <v>118</v>
      </c>
      <c r="C54" s="15" t="s">
        <v>147</v>
      </c>
      <c r="D54" s="4" t="str">
        <f t="shared" si="8"/>
        <v>G103150B</v>
      </c>
      <c r="E54" s="28">
        <v>10</v>
      </c>
      <c r="F54" s="4">
        <v>2400</v>
      </c>
      <c r="J54" s="4" t="s">
        <v>94</v>
      </c>
      <c r="K54" s="15">
        <v>1000</v>
      </c>
      <c r="L54" s="19"/>
      <c r="M54" s="12" t="s">
        <v>96</v>
      </c>
      <c r="N54" s="12" t="s">
        <v>206</v>
      </c>
      <c r="P54" s="15" t="s">
        <v>168</v>
      </c>
      <c r="Q54" s="15" t="s">
        <v>244</v>
      </c>
      <c r="R54" s="15" t="s">
        <v>223</v>
      </c>
      <c r="S54" s="4">
        <v>4.5</v>
      </c>
      <c r="T54" s="8"/>
      <c r="Y54" s="15" t="s">
        <v>231</v>
      </c>
      <c r="Z54" s="8">
        <v>13</v>
      </c>
      <c r="AA54" s="8"/>
      <c r="AF54" s="4" t="s">
        <v>101</v>
      </c>
      <c r="AG54" s="4" t="s">
        <v>110</v>
      </c>
      <c r="AH54" s="28">
        <v>10</v>
      </c>
    </row>
    <row r="55" spans="1:34" x14ac:dyDescent="0.25">
      <c r="A55" s="5" t="s">
        <v>155</v>
      </c>
      <c r="B55" s="6" t="s">
        <v>118</v>
      </c>
      <c r="C55" s="15" t="s">
        <v>148</v>
      </c>
      <c r="D55" s="4" t="str">
        <f t="shared" si="8"/>
        <v>G103150C</v>
      </c>
      <c r="E55" s="28">
        <v>10</v>
      </c>
      <c r="F55" s="4">
        <v>2400</v>
      </c>
      <c r="J55" s="4" t="s">
        <v>94</v>
      </c>
      <c r="K55" s="15">
        <v>840</v>
      </c>
      <c r="L55" s="19"/>
      <c r="M55" s="12" t="s">
        <v>96</v>
      </c>
      <c r="N55" s="12" t="s">
        <v>206</v>
      </c>
      <c r="P55" s="15" t="s">
        <v>168</v>
      </c>
      <c r="Q55" s="15" t="s">
        <v>244</v>
      </c>
      <c r="R55" s="15" t="s">
        <v>226</v>
      </c>
      <c r="S55" s="4">
        <v>4.5</v>
      </c>
      <c r="T55" s="8"/>
      <c r="Y55" s="15" t="s">
        <v>231</v>
      </c>
      <c r="Z55" s="8">
        <v>13</v>
      </c>
      <c r="AA55" s="8"/>
      <c r="AF55" s="4" t="s">
        <v>101</v>
      </c>
      <c r="AG55" s="4" t="s">
        <v>110</v>
      </c>
      <c r="AH55" s="28">
        <v>10</v>
      </c>
    </row>
    <row r="56" spans="1:34" x14ac:dyDescent="0.25">
      <c r="A56" s="5" t="s">
        <v>155</v>
      </c>
      <c r="B56" s="6" t="s">
        <v>118</v>
      </c>
      <c r="C56" s="15" t="s">
        <v>149</v>
      </c>
      <c r="D56" s="4" t="str">
        <f t="shared" si="8"/>
        <v>G103150D</v>
      </c>
      <c r="E56" s="28">
        <v>10</v>
      </c>
      <c r="F56" s="4">
        <v>2400</v>
      </c>
      <c r="J56" s="4" t="s">
        <v>94</v>
      </c>
      <c r="K56" s="15">
        <v>570</v>
      </c>
      <c r="L56" s="19"/>
      <c r="M56" s="12" t="s">
        <v>96</v>
      </c>
      <c r="N56" s="12" t="s">
        <v>206</v>
      </c>
      <c r="P56" s="15" t="s">
        <v>168</v>
      </c>
      <c r="Q56" s="15" t="s">
        <v>244</v>
      </c>
      <c r="R56" s="15" t="s">
        <v>223</v>
      </c>
      <c r="S56" s="4">
        <v>4.5</v>
      </c>
      <c r="T56" s="8"/>
      <c r="Y56" s="15" t="s">
        <v>231</v>
      </c>
      <c r="Z56" s="8">
        <v>13</v>
      </c>
      <c r="AA56" s="8"/>
      <c r="AF56" s="4" t="s">
        <v>101</v>
      </c>
      <c r="AG56" s="4" t="s">
        <v>110</v>
      </c>
      <c r="AH56" s="28">
        <v>10</v>
      </c>
    </row>
    <row r="57" spans="1:34" x14ac:dyDescent="0.25">
      <c r="A57" s="5" t="s">
        <v>155</v>
      </c>
      <c r="B57" s="6" t="s">
        <v>118</v>
      </c>
      <c r="C57" s="15" t="s">
        <v>150</v>
      </c>
      <c r="D57" s="4" t="str">
        <f t="shared" si="8"/>
        <v>G103150E</v>
      </c>
      <c r="E57" s="28">
        <v>10</v>
      </c>
      <c r="F57" s="4">
        <v>2400</v>
      </c>
      <c r="J57" s="4" t="s">
        <v>94</v>
      </c>
      <c r="K57" s="15">
        <v>310</v>
      </c>
      <c r="L57" s="19"/>
      <c r="M57" s="12" t="s">
        <v>96</v>
      </c>
      <c r="N57" s="12" t="s">
        <v>206</v>
      </c>
      <c r="P57" s="15" t="s">
        <v>168</v>
      </c>
      <c r="Q57" s="15" t="s">
        <v>244</v>
      </c>
      <c r="R57" s="15" t="s">
        <v>227</v>
      </c>
      <c r="S57" s="4">
        <v>4.5</v>
      </c>
      <c r="T57" s="8"/>
      <c r="Y57" s="15" t="s">
        <v>231</v>
      </c>
      <c r="Z57" s="8">
        <v>13</v>
      </c>
      <c r="AA57" s="8"/>
      <c r="AF57" s="4" t="s">
        <v>101</v>
      </c>
      <c r="AG57" s="4" t="s">
        <v>110</v>
      </c>
      <c r="AH57" s="28">
        <v>10</v>
      </c>
    </row>
    <row r="58" spans="1:34" x14ac:dyDescent="0.25">
      <c r="A58" s="5" t="s">
        <v>155</v>
      </c>
      <c r="B58" s="6" t="s">
        <v>118</v>
      </c>
      <c r="C58" s="15" t="s">
        <v>151</v>
      </c>
      <c r="D58" s="4" t="str">
        <f t="shared" si="8"/>
        <v>G103150F</v>
      </c>
      <c r="E58" s="28">
        <v>10</v>
      </c>
      <c r="F58" s="4">
        <v>2400</v>
      </c>
      <c r="J58" s="4" t="s">
        <v>94</v>
      </c>
      <c r="K58" s="15">
        <v>595</v>
      </c>
      <c r="L58" s="19"/>
      <c r="M58" s="12" t="s">
        <v>96</v>
      </c>
      <c r="N58" s="12" t="s">
        <v>206</v>
      </c>
      <c r="P58" s="15" t="s">
        <v>168</v>
      </c>
      <c r="Q58" s="15" t="s">
        <v>244</v>
      </c>
      <c r="R58" s="15" t="s">
        <v>223</v>
      </c>
      <c r="S58" s="4">
        <v>4.5</v>
      </c>
      <c r="T58" s="8"/>
      <c r="Y58" s="15" t="s">
        <v>231</v>
      </c>
      <c r="Z58" s="8">
        <v>13</v>
      </c>
      <c r="AA58" s="8"/>
      <c r="AF58" s="4" t="s">
        <v>101</v>
      </c>
      <c r="AG58" s="4" t="s">
        <v>110</v>
      </c>
      <c r="AH58" s="28">
        <v>10</v>
      </c>
    </row>
    <row r="59" spans="1:34" x14ac:dyDescent="0.25">
      <c r="A59" s="5" t="s">
        <v>155</v>
      </c>
      <c r="B59" s="6" t="s">
        <v>118</v>
      </c>
      <c r="C59" s="15">
        <v>3270</v>
      </c>
      <c r="D59" s="4" t="str">
        <f t="shared" si="8"/>
        <v>G103270</v>
      </c>
      <c r="E59" s="28">
        <v>10</v>
      </c>
      <c r="F59" s="4">
        <v>2400</v>
      </c>
      <c r="J59" s="4" t="s">
        <v>94</v>
      </c>
      <c r="K59" s="15">
        <v>1425</v>
      </c>
      <c r="L59" s="19"/>
      <c r="M59" s="12" t="s">
        <v>97</v>
      </c>
      <c r="N59" s="12" t="s">
        <v>204</v>
      </c>
      <c r="P59" s="15" t="s">
        <v>188</v>
      </c>
      <c r="Q59" s="15" t="s">
        <v>244</v>
      </c>
      <c r="R59" s="15" t="s">
        <v>224</v>
      </c>
      <c r="S59" s="4">
        <v>4.5</v>
      </c>
      <c r="T59" s="8"/>
      <c r="Y59" s="15" t="s">
        <v>227</v>
      </c>
      <c r="Z59" s="4">
        <v>4.5</v>
      </c>
      <c r="AA59" s="8"/>
      <c r="AF59" s="4" t="s">
        <v>101</v>
      </c>
      <c r="AG59" s="4" t="s">
        <v>101</v>
      </c>
      <c r="AH59" s="28">
        <v>10</v>
      </c>
    </row>
    <row r="60" spans="1:34" x14ac:dyDescent="0.25">
      <c r="A60" s="5" t="s">
        <v>155</v>
      </c>
      <c r="B60" s="6" t="s">
        <v>118</v>
      </c>
      <c r="C60" s="15">
        <v>3381</v>
      </c>
      <c r="D60" s="4" t="str">
        <f t="shared" si="8"/>
        <v>G103381</v>
      </c>
      <c r="E60" s="28">
        <v>10</v>
      </c>
      <c r="F60" s="4">
        <v>2400</v>
      </c>
      <c r="J60" s="4" t="s">
        <v>94</v>
      </c>
      <c r="K60" s="15">
        <v>1285</v>
      </c>
      <c r="L60" s="19"/>
      <c r="M60" s="12" t="s">
        <v>205</v>
      </c>
      <c r="N60" s="12" t="s">
        <v>206</v>
      </c>
      <c r="P60" s="15" t="s">
        <v>189</v>
      </c>
      <c r="Q60" s="15" t="s">
        <v>244</v>
      </c>
      <c r="R60" s="15" t="s">
        <v>224</v>
      </c>
      <c r="S60" s="4">
        <v>4.5</v>
      </c>
      <c r="T60" s="8"/>
      <c r="Y60" s="15" t="s">
        <v>223</v>
      </c>
      <c r="Z60" s="4">
        <v>4.5</v>
      </c>
      <c r="AA60" s="8"/>
      <c r="AF60" s="4" t="s">
        <v>101</v>
      </c>
      <c r="AG60" s="4" t="s">
        <v>101</v>
      </c>
      <c r="AH60" s="28">
        <v>10</v>
      </c>
    </row>
    <row r="61" spans="1:34" x14ac:dyDescent="0.25">
      <c r="A61" s="5" t="s">
        <v>155</v>
      </c>
      <c r="B61" s="6" t="s">
        <v>118</v>
      </c>
      <c r="C61" s="15">
        <v>3382</v>
      </c>
      <c r="D61" s="4" t="str">
        <f t="shared" si="8"/>
        <v>G103382</v>
      </c>
      <c r="E61" s="28">
        <v>10</v>
      </c>
      <c r="F61" s="4">
        <v>2400</v>
      </c>
      <c r="J61" s="4" t="s">
        <v>94</v>
      </c>
      <c r="K61" s="15">
        <v>970</v>
      </c>
      <c r="L61" s="19"/>
      <c r="M61" s="12" t="s">
        <v>205</v>
      </c>
      <c r="N61" s="12" t="s">
        <v>95</v>
      </c>
      <c r="P61" s="15" t="s">
        <v>190</v>
      </c>
      <c r="Q61" s="15" t="s">
        <v>245</v>
      </c>
      <c r="R61" s="15" t="s">
        <v>228</v>
      </c>
      <c r="S61" s="4">
        <v>4.5</v>
      </c>
      <c r="T61" s="8"/>
      <c r="Y61" s="15" t="s">
        <v>234</v>
      </c>
      <c r="Z61" s="4">
        <v>4.5</v>
      </c>
      <c r="AA61" s="8"/>
      <c r="AF61" s="4" t="s">
        <v>101</v>
      </c>
      <c r="AG61" s="4" t="s">
        <v>101</v>
      </c>
      <c r="AH61" s="28">
        <v>10</v>
      </c>
    </row>
    <row r="62" spans="1:34" x14ac:dyDescent="0.25">
      <c r="A62" s="5" t="s">
        <v>155</v>
      </c>
      <c r="B62" s="6" t="s">
        <v>118</v>
      </c>
      <c r="C62" s="15">
        <v>3383</v>
      </c>
      <c r="D62" s="4" t="str">
        <f t="shared" si="8"/>
        <v>G103383</v>
      </c>
      <c r="E62" s="28">
        <v>10</v>
      </c>
      <c r="F62" s="4">
        <v>2400</v>
      </c>
      <c r="J62" s="4" t="s">
        <v>94</v>
      </c>
      <c r="K62" s="15">
        <v>970</v>
      </c>
      <c r="L62" s="19"/>
      <c r="M62" s="12" t="s">
        <v>203</v>
      </c>
      <c r="N62" s="12" t="s">
        <v>204</v>
      </c>
      <c r="P62" s="15" t="s">
        <v>191</v>
      </c>
      <c r="Q62" s="15" t="s">
        <v>245</v>
      </c>
      <c r="R62" s="15" t="s">
        <v>228</v>
      </c>
      <c r="S62" s="4">
        <v>4.5</v>
      </c>
      <c r="T62" s="8"/>
      <c r="Y62" s="15" t="s">
        <v>234</v>
      </c>
      <c r="Z62" s="4">
        <v>4.5</v>
      </c>
      <c r="AA62" s="8"/>
      <c r="AF62" s="4" t="s">
        <v>101</v>
      </c>
      <c r="AG62" s="4" t="s">
        <v>101</v>
      </c>
      <c r="AH62" s="28">
        <v>10</v>
      </c>
    </row>
    <row r="63" spans="1:34" x14ac:dyDescent="0.25">
      <c r="A63" s="5" t="s">
        <v>155</v>
      </c>
      <c r="B63" s="6" t="s">
        <v>118</v>
      </c>
      <c r="C63" s="15">
        <v>3389</v>
      </c>
      <c r="D63" s="4" t="str">
        <f t="shared" si="8"/>
        <v>G103389</v>
      </c>
      <c r="E63" s="28">
        <v>10</v>
      </c>
      <c r="F63" s="4">
        <v>2400</v>
      </c>
      <c r="J63" s="4" t="s">
        <v>94</v>
      </c>
      <c r="K63" s="15">
        <v>950</v>
      </c>
      <c r="L63" s="19"/>
      <c r="M63" s="12" t="s">
        <v>207</v>
      </c>
      <c r="N63" s="12" t="s">
        <v>96</v>
      </c>
      <c r="P63" s="15" t="s">
        <v>192</v>
      </c>
      <c r="Q63" s="15" t="s">
        <v>244</v>
      </c>
      <c r="R63" s="15" t="s">
        <v>223</v>
      </c>
      <c r="S63" s="4">
        <v>4.5</v>
      </c>
      <c r="T63" s="8"/>
      <c r="Y63" s="15" t="s">
        <v>223</v>
      </c>
      <c r="Z63" s="4">
        <v>4.5</v>
      </c>
      <c r="AA63" s="8"/>
      <c r="AF63" s="4" t="s">
        <v>101</v>
      </c>
      <c r="AG63" s="4" t="s">
        <v>101</v>
      </c>
      <c r="AH63" s="28">
        <v>10</v>
      </c>
    </row>
    <row r="64" spans="1:34" x14ac:dyDescent="0.25">
      <c r="A64" s="5" t="s">
        <v>155</v>
      </c>
      <c r="B64" s="6" t="s">
        <v>118</v>
      </c>
      <c r="C64" s="15">
        <v>3390</v>
      </c>
      <c r="D64" s="4" t="str">
        <f t="shared" si="8"/>
        <v>G103390</v>
      </c>
      <c r="E64" s="28">
        <v>10</v>
      </c>
      <c r="F64" s="4">
        <v>2400</v>
      </c>
      <c r="J64" s="4" t="s">
        <v>94</v>
      </c>
      <c r="K64" s="15">
        <v>950</v>
      </c>
      <c r="L64" s="19"/>
      <c r="M64" s="12" t="s">
        <v>204</v>
      </c>
      <c r="N64" s="12" t="s">
        <v>98</v>
      </c>
      <c r="P64" s="15" t="s">
        <v>193</v>
      </c>
      <c r="Q64" s="15" t="s">
        <v>244</v>
      </c>
      <c r="R64" s="15" t="s">
        <v>223</v>
      </c>
      <c r="S64" s="4">
        <v>4.5</v>
      </c>
      <c r="T64" s="8"/>
      <c r="Y64" s="15" t="s">
        <v>223</v>
      </c>
      <c r="Z64" s="4">
        <v>4.5</v>
      </c>
      <c r="AA64" s="8"/>
      <c r="AF64" s="4" t="s">
        <v>101</v>
      </c>
      <c r="AG64" s="4" t="s">
        <v>101</v>
      </c>
      <c r="AH64" s="28">
        <v>10</v>
      </c>
    </row>
    <row r="65" spans="1:34" x14ac:dyDescent="0.25">
      <c r="A65" s="5" t="s">
        <v>155</v>
      </c>
      <c r="B65" s="6" t="s">
        <v>118</v>
      </c>
      <c r="C65" s="15">
        <v>3391</v>
      </c>
      <c r="D65" s="4" t="str">
        <f t="shared" si="8"/>
        <v>G103391</v>
      </c>
      <c r="E65" s="28">
        <v>10</v>
      </c>
      <c r="F65" s="4">
        <v>2400</v>
      </c>
      <c r="J65" s="4" t="s">
        <v>94</v>
      </c>
      <c r="K65" s="15">
        <v>950</v>
      </c>
      <c r="L65" s="19"/>
      <c r="M65" s="12" t="s">
        <v>203</v>
      </c>
      <c r="N65" s="12" t="s">
        <v>207</v>
      </c>
      <c r="P65" s="15" t="s">
        <v>194</v>
      </c>
      <c r="Q65" s="15" t="s">
        <v>244</v>
      </c>
      <c r="R65" s="15" t="s">
        <v>223</v>
      </c>
      <c r="S65" s="4">
        <v>4.5</v>
      </c>
      <c r="T65" s="8"/>
      <c r="Y65" s="15" t="s">
        <v>223</v>
      </c>
      <c r="Z65" s="4">
        <v>4.5</v>
      </c>
      <c r="AA65" s="8"/>
      <c r="AF65" s="4" t="s">
        <v>101</v>
      </c>
      <c r="AG65" s="4" t="s">
        <v>101</v>
      </c>
      <c r="AH65" s="28">
        <v>10</v>
      </c>
    </row>
    <row r="66" spans="1:34" x14ac:dyDescent="0.25">
      <c r="A66" s="5" t="s">
        <v>155</v>
      </c>
      <c r="B66" s="6" t="s">
        <v>118</v>
      </c>
      <c r="C66" s="15">
        <v>3396</v>
      </c>
      <c r="D66" s="4" t="str">
        <f t="shared" si="8"/>
        <v>G103396</v>
      </c>
      <c r="E66" s="28">
        <v>10</v>
      </c>
      <c r="F66" s="4">
        <v>2400</v>
      </c>
      <c r="J66" s="4" t="s">
        <v>94</v>
      </c>
      <c r="K66" s="15">
        <v>1295</v>
      </c>
      <c r="L66" s="19"/>
      <c r="M66" s="11" t="s">
        <v>205</v>
      </c>
      <c r="N66" s="11" t="s">
        <v>96</v>
      </c>
      <c r="P66" s="15" t="s">
        <v>181</v>
      </c>
      <c r="Q66" s="15" t="s">
        <v>244</v>
      </c>
      <c r="R66" s="15" t="s">
        <v>224</v>
      </c>
      <c r="S66" s="4">
        <v>4.5</v>
      </c>
      <c r="T66" s="8"/>
      <c r="Y66" s="15" t="s">
        <v>223</v>
      </c>
      <c r="Z66" s="4">
        <v>4.5</v>
      </c>
      <c r="AA66" s="8"/>
      <c r="AF66" s="4" t="s">
        <v>101</v>
      </c>
      <c r="AG66" s="4" t="s">
        <v>101</v>
      </c>
      <c r="AH66" s="28">
        <v>10</v>
      </c>
    </row>
    <row r="67" spans="1:34" x14ac:dyDescent="0.25">
      <c r="A67" s="5" t="s">
        <v>155</v>
      </c>
      <c r="B67" s="6" t="s">
        <v>118</v>
      </c>
      <c r="C67" s="15">
        <v>3397</v>
      </c>
      <c r="D67" s="4" t="str">
        <f t="shared" si="8"/>
        <v>G103397</v>
      </c>
      <c r="E67" s="28">
        <v>10</v>
      </c>
      <c r="F67" s="4">
        <v>2400</v>
      </c>
      <c r="J67" s="4" t="s">
        <v>94</v>
      </c>
      <c r="K67" s="15">
        <v>1300</v>
      </c>
      <c r="L67" s="19"/>
      <c r="M67" s="12" t="s">
        <v>203</v>
      </c>
      <c r="N67" s="12" t="s">
        <v>204</v>
      </c>
      <c r="P67" s="15" t="s">
        <v>195</v>
      </c>
      <c r="Q67" s="15" t="s">
        <v>244</v>
      </c>
      <c r="R67" s="15" t="s">
        <v>224</v>
      </c>
      <c r="S67" s="4">
        <v>4.5</v>
      </c>
      <c r="T67" s="8"/>
      <c r="Y67" s="15" t="s">
        <v>223</v>
      </c>
      <c r="Z67" s="4">
        <v>4.5</v>
      </c>
      <c r="AA67" s="8"/>
      <c r="AF67" s="4" t="s">
        <v>101</v>
      </c>
      <c r="AG67" s="4" t="s">
        <v>101</v>
      </c>
      <c r="AH67" s="28">
        <v>10</v>
      </c>
    </row>
    <row r="68" spans="1:34" x14ac:dyDescent="0.25">
      <c r="A68" s="5" t="s">
        <v>155</v>
      </c>
      <c r="B68" s="6" t="s">
        <v>118</v>
      </c>
      <c r="C68" s="15">
        <v>3398</v>
      </c>
      <c r="D68" s="4" t="str">
        <f t="shared" si="8"/>
        <v>G103398</v>
      </c>
      <c r="E68" s="28">
        <v>10</v>
      </c>
      <c r="F68" s="4">
        <v>2400</v>
      </c>
      <c r="J68" s="4" t="s">
        <v>94</v>
      </c>
      <c r="K68" s="15">
        <v>1300</v>
      </c>
      <c r="L68" s="19"/>
      <c r="M68" s="12" t="s">
        <v>97</v>
      </c>
      <c r="N68" s="12" t="s">
        <v>206</v>
      </c>
      <c r="P68" s="15" t="s">
        <v>166</v>
      </c>
      <c r="Q68" s="15" t="s">
        <v>244</v>
      </c>
      <c r="R68" s="15" t="s">
        <v>224</v>
      </c>
      <c r="S68" s="4">
        <v>4.5</v>
      </c>
      <c r="T68" s="8"/>
      <c r="Y68" s="15" t="s">
        <v>223</v>
      </c>
      <c r="Z68" s="4">
        <v>4.5</v>
      </c>
      <c r="AA68" s="8"/>
      <c r="AF68" s="4" t="s">
        <v>101</v>
      </c>
      <c r="AG68" s="4" t="s">
        <v>101</v>
      </c>
      <c r="AH68" s="28">
        <v>10</v>
      </c>
    </row>
    <row r="69" spans="1:34" x14ac:dyDescent="0.25">
      <c r="A69" s="5" t="s">
        <v>155</v>
      </c>
      <c r="B69" s="6" t="s">
        <v>118</v>
      </c>
      <c r="C69" s="15">
        <v>3570</v>
      </c>
      <c r="D69" s="4" t="str">
        <f t="shared" si="8"/>
        <v>G103570</v>
      </c>
      <c r="E69" s="28">
        <v>10</v>
      </c>
      <c r="F69" s="4">
        <v>2400</v>
      </c>
      <c r="J69" s="4" t="s">
        <v>94</v>
      </c>
      <c r="K69" s="15">
        <v>1910</v>
      </c>
      <c r="L69" s="19"/>
      <c r="M69" s="12" t="s">
        <v>205</v>
      </c>
      <c r="N69" s="12" t="s">
        <v>97</v>
      </c>
      <c r="P69" s="15" t="s">
        <v>196</v>
      </c>
      <c r="Q69" s="15" t="s">
        <v>244</v>
      </c>
      <c r="R69" s="15" t="s">
        <v>226</v>
      </c>
      <c r="S69" s="4">
        <v>4.5</v>
      </c>
      <c r="T69" s="8"/>
      <c r="Y69" s="15" t="s">
        <v>224</v>
      </c>
      <c r="Z69" s="4">
        <v>4.5</v>
      </c>
      <c r="AA69" s="8"/>
      <c r="AF69" s="4" t="s">
        <v>101</v>
      </c>
      <c r="AG69" s="4" t="s">
        <v>101</v>
      </c>
      <c r="AH69" s="28">
        <v>10</v>
      </c>
    </row>
    <row r="70" spans="1:34" x14ac:dyDescent="0.25">
      <c r="A70" s="5" t="s">
        <v>155</v>
      </c>
      <c r="B70" s="6" t="s">
        <v>118</v>
      </c>
      <c r="C70" s="15">
        <v>4140</v>
      </c>
      <c r="D70" s="4" t="str">
        <f t="shared" si="8"/>
        <v>G104140</v>
      </c>
      <c r="E70" s="28">
        <v>10</v>
      </c>
      <c r="F70" s="4">
        <v>2400</v>
      </c>
      <c r="J70" s="4" t="s">
        <v>94</v>
      </c>
      <c r="K70" s="15">
        <v>1300</v>
      </c>
      <c r="L70" s="19"/>
      <c r="M70" s="12" t="s">
        <v>209</v>
      </c>
      <c r="N70" s="12" t="s">
        <v>95</v>
      </c>
      <c r="P70" s="15" t="s">
        <v>197</v>
      </c>
      <c r="Q70" s="15" t="s">
        <v>244</v>
      </c>
      <c r="R70" s="15" t="s">
        <v>224</v>
      </c>
      <c r="S70" s="4">
        <v>4.5</v>
      </c>
      <c r="T70" s="8"/>
      <c r="Y70" s="15" t="s">
        <v>223</v>
      </c>
      <c r="Z70" s="4">
        <v>4.5</v>
      </c>
      <c r="AA70" s="8"/>
      <c r="AF70" s="4" t="s">
        <v>101</v>
      </c>
      <c r="AG70" s="4" t="s">
        <v>101</v>
      </c>
      <c r="AH70" s="28">
        <v>10</v>
      </c>
    </row>
    <row r="71" spans="1:34" x14ac:dyDescent="0.25">
      <c r="A71" s="5" t="s">
        <v>155</v>
      </c>
      <c r="B71" s="6" t="s">
        <v>118</v>
      </c>
      <c r="C71" s="15">
        <v>5853</v>
      </c>
      <c r="D71" s="4" t="str">
        <f t="shared" si="8"/>
        <v>G105853</v>
      </c>
      <c r="E71" s="28">
        <v>10</v>
      </c>
      <c r="F71" s="4">
        <v>2400</v>
      </c>
      <c r="J71" s="4" t="s">
        <v>94</v>
      </c>
      <c r="K71" s="15">
        <v>1690</v>
      </c>
      <c r="L71" s="19"/>
      <c r="M71" s="12" t="s">
        <v>95</v>
      </c>
      <c r="N71" s="12" t="s">
        <v>203</v>
      </c>
      <c r="P71" s="15" t="s">
        <v>176</v>
      </c>
      <c r="Q71" s="15" t="s">
        <v>244</v>
      </c>
      <c r="R71" s="15" t="s">
        <v>223</v>
      </c>
      <c r="S71" s="4">
        <v>4.5</v>
      </c>
      <c r="T71" s="8"/>
      <c r="Y71" s="15" t="s">
        <v>224</v>
      </c>
      <c r="Z71" s="4">
        <v>4.5</v>
      </c>
      <c r="AA71" s="8"/>
      <c r="AF71" s="4" t="s">
        <v>101</v>
      </c>
      <c r="AG71" s="4" t="s">
        <v>101</v>
      </c>
      <c r="AH71" s="28">
        <v>10</v>
      </c>
    </row>
    <row r="72" spans="1:34" x14ac:dyDescent="0.25">
      <c r="A72" s="5" t="s">
        <v>155</v>
      </c>
      <c r="B72" s="6" t="s">
        <v>118</v>
      </c>
      <c r="C72" s="15">
        <v>5870</v>
      </c>
      <c r="D72" s="4" t="str">
        <f t="shared" si="8"/>
        <v>G105870</v>
      </c>
      <c r="E72" s="28">
        <v>10</v>
      </c>
      <c r="F72" s="4">
        <v>2400</v>
      </c>
      <c r="J72" s="4" t="s">
        <v>94</v>
      </c>
      <c r="K72" s="15">
        <v>1315</v>
      </c>
      <c r="L72" s="19"/>
      <c r="M72" s="12" t="s">
        <v>96</v>
      </c>
      <c r="N72" s="12" t="s">
        <v>98</v>
      </c>
      <c r="P72" s="15" t="s">
        <v>164</v>
      </c>
      <c r="Q72" s="15" t="s">
        <v>244</v>
      </c>
      <c r="R72" s="15" t="s">
        <v>224</v>
      </c>
      <c r="S72" s="4">
        <v>4.5</v>
      </c>
      <c r="T72" s="8"/>
      <c r="Y72" s="15" t="s">
        <v>223</v>
      </c>
      <c r="Z72" s="4">
        <v>4.5</v>
      </c>
      <c r="AA72" s="8"/>
      <c r="AF72" s="4" t="s">
        <v>101</v>
      </c>
      <c r="AG72" s="4" t="s">
        <v>101</v>
      </c>
      <c r="AH72" s="28">
        <v>10</v>
      </c>
    </row>
    <row r="73" spans="1:34" x14ac:dyDescent="0.25">
      <c r="A73" s="5" t="s">
        <v>155</v>
      </c>
      <c r="B73" s="6" t="s">
        <v>118</v>
      </c>
      <c r="C73" s="15" t="s">
        <v>152</v>
      </c>
      <c r="D73" s="4" t="str">
        <f t="shared" si="8"/>
        <v>G106817A</v>
      </c>
      <c r="E73" s="28">
        <v>10</v>
      </c>
      <c r="F73" s="4">
        <v>2400</v>
      </c>
      <c r="J73" s="4" t="s">
        <v>94</v>
      </c>
      <c r="K73" s="15">
        <v>970</v>
      </c>
      <c r="L73" s="19"/>
      <c r="M73" s="12" t="s">
        <v>203</v>
      </c>
      <c r="N73" s="12" t="s">
        <v>206</v>
      </c>
      <c r="P73" s="15" t="s">
        <v>172</v>
      </c>
      <c r="Q73" s="15" t="s">
        <v>244</v>
      </c>
      <c r="R73" s="15" t="s">
        <v>224</v>
      </c>
      <c r="S73" s="4">
        <v>4.5</v>
      </c>
      <c r="T73" s="8"/>
      <c r="Y73" s="15" t="s">
        <v>231</v>
      </c>
      <c r="Z73" s="8">
        <v>13</v>
      </c>
      <c r="AA73" s="8"/>
      <c r="AF73" s="4" t="s">
        <v>101</v>
      </c>
      <c r="AG73" s="4" t="s">
        <v>110</v>
      </c>
      <c r="AH73" s="28">
        <v>10</v>
      </c>
    </row>
    <row r="74" spans="1:34" x14ac:dyDescent="0.25">
      <c r="A74" s="5" t="s">
        <v>155</v>
      </c>
      <c r="B74" s="6" t="s">
        <v>118</v>
      </c>
      <c r="C74" s="15" t="s">
        <v>153</v>
      </c>
      <c r="D74" s="4" t="str">
        <f t="shared" si="8"/>
        <v>G106817B</v>
      </c>
      <c r="E74" s="28">
        <v>10</v>
      </c>
      <c r="F74" s="4">
        <v>2400</v>
      </c>
      <c r="J74" s="4" t="s">
        <v>94</v>
      </c>
      <c r="K74" s="15">
        <v>355</v>
      </c>
      <c r="L74" s="19"/>
      <c r="M74" s="12" t="s">
        <v>203</v>
      </c>
      <c r="N74" s="12" t="s">
        <v>206</v>
      </c>
      <c r="P74" s="15" t="s">
        <v>172</v>
      </c>
      <c r="Q74" s="15" t="s">
        <v>244</v>
      </c>
      <c r="R74" s="15" t="s">
        <v>223</v>
      </c>
      <c r="S74" s="4">
        <v>4.5</v>
      </c>
      <c r="T74" s="8"/>
      <c r="Y74" s="15" t="s">
        <v>231</v>
      </c>
      <c r="Z74" s="8">
        <v>13</v>
      </c>
      <c r="AA74" s="8"/>
      <c r="AF74" s="4" t="s">
        <v>101</v>
      </c>
      <c r="AG74" s="4" t="s">
        <v>110</v>
      </c>
      <c r="AH74" s="28">
        <v>10</v>
      </c>
    </row>
    <row r="75" spans="1:34" x14ac:dyDescent="0.25">
      <c r="A75" s="5" t="s">
        <v>155</v>
      </c>
      <c r="B75" s="6" t="s">
        <v>118</v>
      </c>
      <c r="C75" s="15" t="s">
        <v>154</v>
      </c>
      <c r="D75" s="4" t="str">
        <f t="shared" si="8"/>
        <v>G106817C</v>
      </c>
      <c r="E75" s="28">
        <v>10</v>
      </c>
      <c r="F75" s="4">
        <v>2400</v>
      </c>
      <c r="J75" s="4" t="s">
        <v>94</v>
      </c>
      <c r="K75" s="15">
        <v>320</v>
      </c>
      <c r="L75" s="19"/>
      <c r="M75" s="12" t="s">
        <v>203</v>
      </c>
      <c r="N75" s="12" t="s">
        <v>206</v>
      </c>
      <c r="P75" s="15" t="s">
        <v>172</v>
      </c>
      <c r="Q75" s="15" t="s">
        <v>244</v>
      </c>
      <c r="R75" s="15" t="s">
        <v>223</v>
      </c>
      <c r="S75" s="4">
        <v>4.5</v>
      </c>
      <c r="T75" s="8"/>
      <c r="Y75" s="15" t="s">
        <v>231</v>
      </c>
      <c r="Z75" s="8">
        <v>13</v>
      </c>
      <c r="AA75" s="8"/>
      <c r="AF75" s="4" t="s">
        <v>101</v>
      </c>
      <c r="AG75" s="4" t="s">
        <v>110</v>
      </c>
      <c r="AH75" s="28">
        <v>10</v>
      </c>
    </row>
    <row r="76" spans="1:34" x14ac:dyDescent="0.25">
      <c r="A76" s="5" t="s">
        <v>155</v>
      </c>
      <c r="B76" s="6" t="s">
        <v>118</v>
      </c>
      <c r="C76" s="15">
        <v>745</v>
      </c>
      <c r="D76" s="4" t="str">
        <f t="shared" si="8"/>
        <v>G10745</v>
      </c>
      <c r="E76" s="28">
        <v>10</v>
      </c>
      <c r="F76" s="4">
        <v>2400</v>
      </c>
      <c r="J76" s="4" t="s">
        <v>94</v>
      </c>
      <c r="K76" s="15">
        <v>1400</v>
      </c>
      <c r="L76" s="19"/>
      <c r="M76" s="12" t="s">
        <v>95</v>
      </c>
      <c r="N76" s="12" t="s">
        <v>206</v>
      </c>
      <c r="P76" s="15" t="s">
        <v>198</v>
      </c>
      <c r="Q76" s="15" t="s">
        <v>244</v>
      </c>
      <c r="R76" s="15" t="s">
        <v>224</v>
      </c>
      <c r="S76" s="4">
        <v>4.5</v>
      </c>
      <c r="T76" s="8"/>
      <c r="Y76" s="15" t="s">
        <v>227</v>
      </c>
      <c r="Z76" s="4">
        <v>4.5</v>
      </c>
      <c r="AA76" s="8"/>
      <c r="AF76" s="4" t="s">
        <v>101</v>
      </c>
      <c r="AG76" s="4" t="s">
        <v>101</v>
      </c>
      <c r="AH76" s="28">
        <v>10</v>
      </c>
    </row>
    <row r="77" spans="1:34" x14ac:dyDescent="0.25">
      <c r="A77" s="5" t="s">
        <v>155</v>
      </c>
      <c r="B77" s="6" t="s">
        <v>118</v>
      </c>
      <c r="C77" s="15">
        <v>907</v>
      </c>
      <c r="D77" s="4" t="str">
        <f t="shared" si="8"/>
        <v>G10907</v>
      </c>
      <c r="E77" s="28">
        <v>10</v>
      </c>
      <c r="F77" s="4">
        <v>2400</v>
      </c>
      <c r="J77" s="4" t="s">
        <v>94</v>
      </c>
      <c r="K77" s="15">
        <v>1290</v>
      </c>
      <c r="L77" s="19"/>
      <c r="M77" s="12" t="s">
        <v>98</v>
      </c>
      <c r="N77" s="12" t="s">
        <v>203</v>
      </c>
      <c r="P77" s="15" t="s">
        <v>199</v>
      </c>
      <c r="Q77" s="15" t="s">
        <v>244</v>
      </c>
      <c r="R77" s="15" t="s">
        <v>224</v>
      </c>
      <c r="S77" s="4">
        <v>4.5</v>
      </c>
      <c r="T77" s="8"/>
      <c r="Y77" s="15" t="s">
        <v>223</v>
      </c>
      <c r="Z77" s="4">
        <v>4.5</v>
      </c>
      <c r="AA77" s="8"/>
      <c r="AF77" s="4" t="s">
        <v>101</v>
      </c>
      <c r="AG77" s="4" t="s">
        <v>101</v>
      </c>
      <c r="AH77" s="28">
        <v>10</v>
      </c>
    </row>
    <row r="78" spans="1:34" x14ac:dyDescent="0.25">
      <c r="A78" s="5" t="s">
        <v>155</v>
      </c>
      <c r="B78" s="6" t="s">
        <v>118</v>
      </c>
      <c r="C78" s="15">
        <v>909</v>
      </c>
      <c r="D78" s="4" t="str">
        <f t="shared" si="8"/>
        <v>G10909</v>
      </c>
      <c r="E78" s="28">
        <v>10</v>
      </c>
      <c r="F78" s="4">
        <v>2400</v>
      </c>
      <c r="J78" s="4" t="s">
        <v>94</v>
      </c>
      <c r="K78" s="15">
        <v>1320</v>
      </c>
      <c r="L78" s="19"/>
      <c r="M78" s="12" t="s">
        <v>203</v>
      </c>
      <c r="N78" s="12" t="s">
        <v>96</v>
      </c>
      <c r="P78" s="15" t="s">
        <v>200</v>
      </c>
      <c r="Q78" s="15" t="s">
        <v>244</v>
      </c>
      <c r="R78" s="15" t="s">
        <v>224</v>
      </c>
      <c r="S78" s="4">
        <v>4.5</v>
      </c>
      <c r="T78" s="8"/>
      <c r="Y78" s="15" t="s">
        <v>223</v>
      </c>
      <c r="Z78" s="4">
        <v>4.5</v>
      </c>
      <c r="AA78" s="8"/>
      <c r="AF78" s="4" t="s">
        <v>101</v>
      </c>
      <c r="AG78" s="4" t="s">
        <v>101</v>
      </c>
      <c r="AH78" s="28">
        <v>10</v>
      </c>
    </row>
    <row r="79" spans="1:34" x14ac:dyDescent="0.25">
      <c r="A79" s="5" t="s">
        <v>155</v>
      </c>
      <c r="B79" s="6" t="s">
        <v>118</v>
      </c>
      <c r="C79" s="15">
        <v>910</v>
      </c>
      <c r="D79" s="4" t="str">
        <f t="shared" si="8"/>
        <v>G10910</v>
      </c>
      <c r="E79" s="28">
        <v>10</v>
      </c>
      <c r="F79" s="4">
        <v>2400</v>
      </c>
      <c r="J79" s="4" t="s">
        <v>94</v>
      </c>
      <c r="K79" s="15">
        <v>1290</v>
      </c>
      <c r="L79" s="19"/>
      <c r="M79" s="12" t="s">
        <v>205</v>
      </c>
      <c r="N79" s="12" t="s">
        <v>204</v>
      </c>
      <c r="P79" s="15" t="s">
        <v>201</v>
      </c>
      <c r="Q79" s="15" t="s">
        <v>244</v>
      </c>
      <c r="R79" s="15" t="s">
        <v>224</v>
      </c>
      <c r="S79" s="4">
        <v>4.5</v>
      </c>
      <c r="T79" s="8"/>
      <c r="Y79" s="15" t="s">
        <v>223</v>
      </c>
      <c r="Z79" s="4">
        <v>4.5</v>
      </c>
      <c r="AA79" s="8"/>
      <c r="AF79" s="4" t="s">
        <v>101</v>
      </c>
      <c r="AG79" s="4" t="s">
        <v>101</v>
      </c>
      <c r="AH79" s="28">
        <v>10</v>
      </c>
    </row>
    <row r="80" spans="1:34" x14ac:dyDescent="0.25">
      <c r="A80" s="5" t="s">
        <v>155</v>
      </c>
      <c r="B80" s="6" t="s">
        <v>118</v>
      </c>
      <c r="C80" s="15">
        <v>911</v>
      </c>
      <c r="D80" s="4" t="str">
        <f t="shared" si="8"/>
        <v>G10911</v>
      </c>
      <c r="E80" s="28">
        <v>10</v>
      </c>
      <c r="F80" s="4">
        <v>2400</v>
      </c>
      <c r="J80" s="4" t="s">
        <v>94</v>
      </c>
      <c r="K80" s="15">
        <v>1295</v>
      </c>
      <c r="L80" s="19"/>
      <c r="M80" s="12" t="s">
        <v>205</v>
      </c>
      <c r="N80" s="12" t="s">
        <v>98</v>
      </c>
      <c r="P80" s="15" t="s">
        <v>202</v>
      </c>
      <c r="Q80" s="15" t="s">
        <v>244</v>
      </c>
      <c r="R80" s="15" t="s">
        <v>224</v>
      </c>
      <c r="S80" s="4">
        <v>4.5</v>
      </c>
      <c r="T80" s="8"/>
      <c r="Y80" s="15" t="s">
        <v>223</v>
      </c>
      <c r="Z80" s="4">
        <v>4.5</v>
      </c>
      <c r="AA80" s="8"/>
      <c r="AF80" s="4" t="s">
        <v>101</v>
      </c>
      <c r="AG80" s="4" t="s">
        <v>101</v>
      </c>
      <c r="AH80" s="28">
        <v>10</v>
      </c>
    </row>
  </sheetData>
  <autoFilter ref="A1:CR80" xr:uid="{00000000-0001-0000-0000-000000000000}"/>
  <conditionalFormatting sqref="M3:M7">
    <cfRule type="cellIs" dxfId="179" priority="109" operator="equal">
      <formula>"OG"</formula>
    </cfRule>
    <cfRule type="cellIs" dxfId="178" priority="110" operator="equal">
      <formula>"BN"</formula>
    </cfRule>
    <cfRule type="cellIs" dxfId="177" priority="111" operator="equal">
      <formula>"GN"</formula>
    </cfRule>
    <cfRule type="cellIs" dxfId="176" priority="112" operator="equal">
      <formula>"WH"</formula>
    </cfRule>
    <cfRule type="cellIs" dxfId="175" priority="113" operator="equal">
      <formula>"YE"</formula>
    </cfRule>
    <cfRule type="cellIs" dxfId="174" priority="114" operator="equal">
      <formula>"PK"</formula>
    </cfRule>
    <cfRule type="cellIs" dxfId="173" priority="115" operator="equal">
      <formula>"BU"</formula>
    </cfRule>
    <cfRule type="cellIs" dxfId="172" priority="116" operator="equal">
      <formula>"DG"</formula>
    </cfRule>
    <cfRule type="containsText" dxfId="171" priority="117" stopIfTrue="1" operator="containsText" text="GY">
      <formula>NOT(ISERROR(SEARCH("GY",M3)))</formula>
    </cfRule>
    <cfRule type="containsText" dxfId="170" priority="118" stopIfTrue="1" operator="containsText" text="RD">
      <formula>NOT(ISERROR(SEARCH("RD",M3)))</formula>
    </cfRule>
    <cfRule type="containsText" dxfId="169" priority="119" stopIfTrue="1" operator="containsText" text="YL">
      <formula>NOT(ISERROR(SEARCH("YL",M3)))</formula>
    </cfRule>
    <cfRule type="containsText" dxfId="168" priority="120" stopIfTrue="1" operator="containsText" text="VT">
      <formula>NOT(ISERROR(SEARCH("VT",M3)))</formula>
    </cfRule>
    <cfRule type="containsText" dxfId="167" priority="121" stopIfTrue="1" operator="containsText" text="BR">
      <formula>NOT(ISERROR(SEARCH("BR",M3)))</formula>
    </cfRule>
    <cfRule type="containsText" dxfId="166" priority="122" stopIfTrue="1" operator="containsText" text="OR">
      <formula>NOT(ISERROR(SEARCH("OR",M3)))</formula>
    </cfRule>
    <cfRule type="containsText" dxfId="165" priority="123" stopIfTrue="1" operator="containsText" text="LB">
      <formula>NOT(ISERROR(SEARCH("LB",M3)))</formula>
    </cfRule>
    <cfRule type="containsText" dxfId="164" priority="124" stopIfTrue="1" operator="containsText" text="LG">
      <formula>NOT(ISERROR(SEARCH("LG",M3)))</formula>
    </cfRule>
    <cfRule type="containsText" dxfId="163" priority="125" stopIfTrue="1" operator="containsText" text="BK">
      <formula>NOT(ISERROR(SEARCH("BK",M3)))</formula>
    </cfRule>
    <cfRule type="containsText" dxfId="162" priority="126" stopIfTrue="1" operator="containsText" text="WH">
      <formula>NOT(ISERROR(SEARCH("WH",M3)))</formula>
    </cfRule>
  </conditionalFormatting>
  <conditionalFormatting sqref="M21">
    <cfRule type="cellIs" dxfId="161" priority="91" operator="equal">
      <formula>"OG"</formula>
    </cfRule>
    <cfRule type="cellIs" dxfId="160" priority="92" operator="equal">
      <formula>"BN"</formula>
    </cfRule>
    <cfRule type="cellIs" dxfId="159" priority="93" operator="equal">
      <formula>"GN"</formula>
    </cfRule>
    <cfRule type="cellIs" dxfId="158" priority="94" operator="equal">
      <formula>"WH"</formula>
    </cfRule>
    <cfRule type="cellIs" dxfId="157" priority="95" operator="equal">
      <formula>"YE"</formula>
    </cfRule>
    <cfRule type="cellIs" dxfId="156" priority="96" operator="equal">
      <formula>"PK"</formula>
    </cfRule>
    <cfRule type="cellIs" dxfId="155" priority="97" operator="equal">
      <formula>"BU"</formula>
    </cfRule>
    <cfRule type="cellIs" dxfId="154" priority="98" operator="equal">
      <formula>"DG"</formula>
    </cfRule>
    <cfRule type="containsText" dxfId="153" priority="99" stopIfTrue="1" operator="containsText" text="GY">
      <formula>NOT(ISERROR(SEARCH("GY",M21)))</formula>
    </cfRule>
    <cfRule type="containsText" dxfId="152" priority="100" stopIfTrue="1" operator="containsText" text="RD">
      <formula>NOT(ISERROR(SEARCH("RD",M21)))</formula>
    </cfRule>
    <cfRule type="containsText" dxfId="151" priority="101" stopIfTrue="1" operator="containsText" text="YL">
      <formula>NOT(ISERROR(SEARCH("YL",M21)))</formula>
    </cfRule>
    <cfRule type="containsText" dxfId="150" priority="102" stopIfTrue="1" operator="containsText" text="VT">
      <formula>NOT(ISERROR(SEARCH("VT",M21)))</formula>
    </cfRule>
    <cfRule type="containsText" dxfId="149" priority="103" stopIfTrue="1" operator="containsText" text="BR">
      <formula>NOT(ISERROR(SEARCH("BR",M21)))</formula>
    </cfRule>
    <cfRule type="containsText" dxfId="148" priority="104" stopIfTrue="1" operator="containsText" text="OR">
      <formula>NOT(ISERROR(SEARCH("OR",M21)))</formula>
    </cfRule>
    <cfRule type="containsText" dxfId="147" priority="105" stopIfTrue="1" operator="containsText" text="LB">
      <formula>NOT(ISERROR(SEARCH("LB",M21)))</formula>
    </cfRule>
    <cfRule type="containsText" dxfId="146" priority="106" stopIfTrue="1" operator="containsText" text="LG">
      <formula>NOT(ISERROR(SEARCH("LG",M21)))</formula>
    </cfRule>
    <cfRule type="containsText" dxfId="145" priority="107" stopIfTrue="1" operator="containsText" text="BK">
      <formula>NOT(ISERROR(SEARCH("BK",M21)))</formula>
    </cfRule>
    <cfRule type="containsText" dxfId="144" priority="108" stopIfTrue="1" operator="containsText" text="WH">
      <formula>NOT(ISERROR(SEARCH("WH",M21)))</formula>
    </cfRule>
  </conditionalFormatting>
  <conditionalFormatting sqref="M23">
    <cfRule type="cellIs" dxfId="143" priority="55" operator="equal">
      <formula>"OG"</formula>
    </cfRule>
    <cfRule type="cellIs" dxfId="142" priority="56" operator="equal">
      <formula>"BN"</formula>
    </cfRule>
    <cfRule type="cellIs" dxfId="141" priority="57" operator="equal">
      <formula>"GN"</formula>
    </cfRule>
    <cfRule type="cellIs" dxfId="140" priority="58" operator="equal">
      <formula>"WH"</formula>
    </cfRule>
    <cfRule type="cellIs" dxfId="139" priority="59" operator="equal">
      <formula>"YE"</formula>
    </cfRule>
    <cfRule type="cellIs" dxfId="138" priority="60" operator="equal">
      <formula>"PK"</formula>
    </cfRule>
    <cfRule type="cellIs" dxfId="137" priority="61" operator="equal">
      <formula>"BU"</formula>
    </cfRule>
    <cfRule type="cellIs" dxfId="136" priority="62" operator="equal">
      <formula>"DG"</formula>
    </cfRule>
    <cfRule type="containsText" dxfId="135" priority="63" stopIfTrue="1" operator="containsText" text="GY">
      <formula>NOT(ISERROR(SEARCH("GY",M23)))</formula>
    </cfRule>
    <cfRule type="containsText" dxfId="134" priority="64" stopIfTrue="1" operator="containsText" text="RD">
      <formula>NOT(ISERROR(SEARCH("RD",M23)))</formula>
    </cfRule>
    <cfRule type="containsText" dxfId="133" priority="65" stopIfTrue="1" operator="containsText" text="YL">
      <formula>NOT(ISERROR(SEARCH("YL",M23)))</formula>
    </cfRule>
    <cfRule type="containsText" dxfId="132" priority="66" stopIfTrue="1" operator="containsText" text="VT">
      <formula>NOT(ISERROR(SEARCH("VT",M23)))</formula>
    </cfRule>
    <cfRule type="containsText" dxfId="131" priority="67" stopIfTrue="1" operator="containsText" text="BR">
      <formula>NOT(ISERROR(SEARCH("BR",M23)))</formula>
    </cfRule>
    <cfRule type="containsText" dxfId="130" priority="68" stopIfTrue="1" operator="containsText" text="OR">
      <formula>NOT(ISERROR(SEARCH("OR",M23)))</formula>
    </cfRule>
    <cfRule type="containsText" dxfId="129" priority="69" stopIfTrue="1" operator="containsText" text="LB">
      <formula>NOT(ISERROR(SEARCH("LB",M23)))</formula>
    </cfRule>
    <cfRule type="containsText" dxfId="128" priority="70" stopIfTrue="1" operator="containsText" text="LG">
      <formula>NOT(ISERROR(SEARCH("LG",M23)))</formula>
    </cfRule>
    <cfRule type="containsText" dxfId="127" priority="71" stopIfTrue="1" operator="containsText" text="BK">
      <formula>NOT(ISERROR(SEARCH("BK",M23)))</formula>
    </cfRule>
    <cfRule type="containsText" dxfId="126" priority="72" stopIfTrue="1" operator="containsText" text="WH">
      <formula>NOT(ISERROR(SEARCH("WH",M23)))</formula>
    </cfRule>
  </conditionalFormatting>
  <conditionalFormatting sqref="M30:M32">
    <cfRule type="cellIs" dxfId="125" priority="19" operator="equal">
      <formula>"OG"</formula>
    </cfRule>
    <cfRule type="cellIs" dxfId="124" priority="20" operator="equal">
      <formula>"BN"</formula>
    </cfRule>
    <cfRule type="cellIs" dxfId="123" priority="21" operator="equal">
      <formula>"GN"</formula>
    </cfRule>
    <cfRule type="cellIs" dxfId="122" priority="22" operator="equal">
      <formula>"WH"</formula>
    </cfRule>
    <cfRule type="cellIs" dxfId="121" priority="23" operator="equal">
      <formula>"YE"</formula>
    </cfRule>
    <cfRule type="cellIs" dxfId="120" priority="24" operator="equal">
      <formula>"PK"</formula>
    </cfRule>
    <cfRule type="cellIs" dxfId="119" priority="25" operator="equal">
      <formula>"BU"</formula>
    </cfRule>
    <cfRule type="cellIs" dxfId="118" priority="26" operator="equal">
      <formula>"DG"</formula>
    </cfRule>
    <cfRule type="containsText" dxfId="117" priority="27" stopIfTrue="1" operator="containsText" text="GY">
      <formula>NOT(ISERROR(SEARCH("GY",M30)))</formula>
    </cfRule>
    <cfRule type="containsText" dxfId="116" priority="28" stopIfTrue="1" operator="containsText" text="RD">
      <formula>NOT(ISERROR(SEARCH("RD",M30)))</formula>
    </cfRule>
    <cfRule type="containsText" dxfId="115" priority="29" stopIfTrue="1" operator="containsText" text="YL">
      <formula>NOT(ISERROR(SEARCH("YL",M30)))</formula>
    </cfRule>
    <cfRule type="containsText" dxfId="114" priority="30" stopIfTrue="1" operator="containsText" text="VT">
      <formula>NOT(ISERROR(SEARCH("VT",M30)))</formula>
    </cfRule>
    <cfRule type="containsText" dxfId="113" priority="31" stopIfTrue="1" operator="containsText" text="BR">
      <formula>NOT(ISERROR(SEARCH("BR",M30)))</formula>
    </cfRule>
    <cfRule type="containsText" dxfId="112" priority="32" stopIfTrue="1" operator="containsText" text="OR">
      <formula>NOT(ISERROR(SEARCH("OR",M30)))</formula>
    </cfRule>
    <cfRule type="containsText" dxfId="111" priority="33" stopIfTrue="1" operator="containsText" text="LB">
      <formula>NOT(ISERROR(SEARCH("LB",M30)))</formula>
    </cfRule>
    <cfRule type="containsText" dxfId="110" priority="34" stopIfTrue="1" operator="containsText" text="LG">
      <formula>NOT(ISERROR(SEARCH("LG",M30)))</formula>
    </cfRule>
    <cfRule type="containsText" dxfId="109" priority="35" stopIfTrue="1" operator="containsText" text="BK">
      <formula>NOT(ISERROR(SEARCH("BK",M30)))</formula>
    </cfRule>
    <cfRule type="containsText" dxfId="108" priority="36" stopIfTrue="1" operator="containsText" text="WH">
      <formula>NOT(ISERROR(SEARCH("WH",M30)))</formula>
    </cfRule>
  </conditionalFormatting>
  <conditionalFormatting sqref="M2:N2">
    <cfRule type="cellIs" dxfId="107" priority="145" operator="equal">
      <formula>"OG"</formula>
    </cfRule>
    <cfRule type="cellIs" dxfId="106" priority="146" operator="equal">
      <formula>"BN"</formula>
    </cfRule>
    <cfRule type="cellIs" dxfId="105" priority="147" operator="equal">
      <formula>"GN"</formula>
    </cfRule>
    <cfRule type="cellIs" dxfId="104" priority="148" operator="equal">
      <formula>"WH"</formula>
    </cfRule>
    <cfRule type="cellIs" dxfId="103" priority="149" operator="equal">
      <formula>"YE"</formula>
    </cfRule>
    <cfRule type="cellIs" dxfId="102" priority="150" operator="equal">
      <formula>"PK"</formula>
    </cfRule>
    <cfRule type="cellIs" dxfId="101" priority="151" operator="equal">
      <formula>"BU"</formula>
    </cfRule>
    <cfRule type="cellIs" dxfId="100" priority="152" operator="equal">
      <formula>"DG"</formula>
    </cfRule>
    <cfRule type="containsText" dxfId="99" priority="153" stopIfTrue="1" operator="containsText" text="GY">
      <formula>NOT(ISERROR(SEARCH("GY",M2)))</formula>
    </cfRule>
    <cfRule type="containsText" dxfId="98" priority="154" stopIfTrue="1" operator="containsText" text="RD">
      <formula>NOT(ISERROR(SEARCH("RD",M2)))</formula>
    </cfRule>
    <cfRule type="containsText" dxfId="97" priority="155" stopIfTrue="1" operator="containsText" text="YL">
      <formula>NOT(ISERROR(SEARCH("YL",M2)))</formula>
    </cfRule>
    <cfRule type="containsText" dxfId="96" priority="156" stopIfTrue="1" operator="containsText" text="VT">
      <formula>NOT(ISERROR(SEARCH("VT",M2)))</formula>
    </cfRule>
    <cfRule type="containsText" dxfId="95" priority="157" stopIfTrue="1" operator="containsText" text="BR">
      <formula>NOT(ISERROR(SEARCH("BR",M2)))</formula>
    </cfRule>
    <cfRule type="containsText" dxfId="94" priority="158" stopIfTrue="1" operator="containsText" text="OR">
      <formula>NOT(ISERROR(SEARCH("OR",M2)))</formula>
    </cfRule>
    <cfRule type="containsText" dxfId="93" priority="159" stopIfTrue="1" operator="containsText" text="LB">
      <formula>NOT(ISERROR(SEARCH("LB",M2)))</formula>
    </cfRule>
    <cfRule type="containsText" dxfId="92" priority="160" stopIfTrue="1" operator="containsText" text="LG">
      <formula>NOT(ISERROR(SEARCH("LG",M2)))</formula>
    </cfRule>
    <cfRule type="containsText" dxfId="91" priority="161" stopIfTrue="1" operator="containsText" text="BK">
      <formula>NOT(ISERROR(SEARCH("BK",M2)))</formula>
    </cfRule>
    <cfRule type="containsText" dxfId="90" priority="162" stopIfTrue="1" operator="containsText" text="WH">
      <formula>NOT(ISERROR(SEARCH("WH",M2)))</formula>
    </cfRule>
  </conditionalFormatting>
  <conditionalFormatting sqref="M8:N20">
    <cfRule type="cellIs" dxfId="89" priority="163" operator="equal">
      <formula>"OG"</formula>
    </cfRule>
    <cfRule type="cellIs" dxfId="88" priority="164" operator="equal">
      <formula>"BN"</formula>
    </cfRule>
    <cfRule type="cellIs" dxfId="87" priority="165" operator="equal">
      <formula>"GN"</formula>
    </cfRule>
    <cfRule type="cellIs" dxfId="86" priority="166" operator="equal">
      <formula>"WH"</formula>
    </cfRule>
    <cfRule type="cellIs" dxfId="85" priority="167" operator="equal">
      <formula>"YE"</formula>
    </cfRule>
    <cfRule type="cellIs" dxfId="84" priority="168" operator="equal">
      <formula>"PK"</formula>
    </cfRule>
    <cfRule type="cellIs" dxfId="83" priority="169" operator="equal">
      <formula>"BU"</formula>
    </cfRule>
    <cfRule type="cellIs" dxfId="82" priority="170" operator="equal">
      <formula>"DG"</formula>
    </cfRule>
    <cfRule type="containsText" dxfId="81" priority="171" stopIfTrue="1" operator="containsText" text="GY">
      <formula>NOT(ISERROR(SEARCH("GY",M8)))</formula>
    </cfRule>
    <cfRule type="containsText" dxfId="80" priority="172" stopIfTrue="1" operator="containsText" text="RD">
      <formula>NOT(ISERROR(SEARCH("RD",M8)))</formula>
    </cfRule>
    <cfRule type="containsText" dxfId="79" priority="173" stopIfTrue="1" operator="containsText" text="YL">
      <formula>NOT(ISERROR(SEARCH("YL",M8)))</formula>
    </cfRule>
    <cfRule type="containsText" dxfId="78" priority="174" stopIfTrue="1" operator="containsText" text="VT">
      <formula>NOT(ISERROR(SEARCH("VT",M8)))</formula>
    </cfRule>
    <cfRule type="containsText" dxfId="77" priority="175" stopIfTrue="1" operator="containsText" text="BR">
      <formula>NOT(ISERROR(SEARCH("BR",M8)))</formula>
    </cfRule>
    <cfRule type="containsText" dxfId="76" priority="176" stopIfTrue="1" operator="containsText" text="OR">
      <formula>NOT(ISERROR(SEARCH("OR",M8)))</formula>
    </cfRule>
    <cfRule type="containsText" dxfId="75" priority="177" stopIfTrue="1" operator="containsText" text="LB">
      <formula>NOT(ISERROR(SEARCH("LB",M8)))</formula>
    </cfRule>
    <cfRule type="containsText" dxfId="74" priority="178" stopIfTrue="1" operator="containsText" text="LG">
      <formula>NOT(ISERROR(SEARCH("LG",M8)))</formula>
    </cfRule>
    <cfRule type="containsText" dxfId="73" priority="179" stopIfTrue="1" operator="containsText" text="BK">
      <formula>NOT(ISERROR(SEARCH("BK",M8)))</formula>
    </cfRule>
    <cfRule type="containsText" dxfId="72" priority="180" stopIfTrue="1" operator="containsText" text="WH">
      <formula>NOT(ISERROR(SEARCH("WH",M8)))</formula>
    </cfRule>
  </conditionalFormatting>
  <conditionalFormatting sqref="M22:N22">
    <cfRule type="cellIs" dxfId="71" priority="73" operator="equal">
      <formula>"OG"</formula>
    </cfRule>
    <cfRule type="cellIs" dxfId="70" priority="74" operator="equal">
      <formula>"BN"</formula>
    </cfRule>
    <cfRule type="cellIs" dxfId="69" priority="75" operator="equal">
      <formula>"GN"</formula>
    </cfRule>
    <cfRule type="cellIs" dxfId="68" priority="76" operator="equal">
      <formula>"WH"</formula>
    </cfRule>
    <cfRule type="cellIs" dxfId="67" priority="77" operator="equal">
      <formula>"YE"</formula>
    </cfRule>
    <cfRule type="cellIs" dxfId="66" priority="78" operator="equal">
      <formula>"PK"</formula>
    </cfRule>
    <cfRule type="cellIs" dxfId="65" priority="79" operator="equal">
      <formula>"BU"</formula>
    </cfRule>
    <cfRule type="cellIs" dxfId="64" priority="80" operator="equal">
      <formula>"DG"</formula>
    </cfRule>
    <cfRule type="containsText" dxfId="63" priority="81" stopIfTrue="1" operator="containsText" text="GY">
      <formula>NOT(ISERROR(SEARCH("GY",M22)))</formula>
    </cfRule>
    <cfRule type="containsText" dxfId="62" priority="82" stopIfTrue="1" operator="containsText" text="RD">
      <formula>NOT(ISERROR(SEARCH("RD",M22)))</formula>
    </cfRule>
    <cfRule type="containsText" dxfId="61" priority="83" stopIfTrue="1" operator="containsText" text="YL">
      <formula>NOT(ISERROR(SEARCH("YL",M22)))</formula>
    </cfRule>
    <cfRule type="containsText" dxfId="60" priority="84" stopIfTrue="1" operator="containsText" text="VT">
      <formula>NOT(ISERROR(SEARCH("VT",M22)))</formula>
    </cfRule>
    <cfRule type="containsText" dxfId="59" priority="85" stopIfTrue="1" operator="containsText" text="BR">
      <formula>NOT(ISERROR(SEARCH("BR",M22)))</formula>
    </cfRule>
    <cfRule type="containsText" dxfId="58" priority="86" stopIfTrue="1" operator="containsText" text="OR">
      <formula>NOT(ISERROR(SEARCH("OR",M22)))</formula>
    </cfRule>
    <cfRule type="containsText" dxfId="57" priority="87" stopIfTrue="1" operator="containsText" text="LB">
      <formula>NOT(ISERROR(SEARCH("LB",M22)))</formula>
    </cfRule>
    <cfRule type="containsText" dxfId="56" priority="88" stopIfTrue="1" operator="containsText" text="LG">
      <formula>NOT(ISERROR(SEARCH("LG",M22)))</formula>
    </cfRule>
    <cfRule type="containsText" dxfId="55" priority="89" stopIfTrue="1" operator="containsText" text="BK">
      <formula>NOT(ISERROR(SEARCH("BK",M22)))</formula>
    </cfRule>
    <cfRule type="containsText" dxfId="54" priority="90" stopIfTrue="1" operator="containsText" text="WH">
      <formula>NOT(ISERROR(SEARCH("WH",M22)))</formula>
    </cfRule>
  </conditionalFormatting>
  <conditionalFormatting sqref="M24:N29">
    <cfRule type="cellIs" dxfId="53" priority="37" operator="equal">
      <formula>"OG"</formula>
    </cfRule>
    <cfRule type="cellIs" dxfId="52" priority="38" operator="equal">
      <formula>"BN"</formula>
    </cfRule>
    <cfRule type="cellIs" dxfId="51" priority="39" operator="equal">
      <formula>"GN"</formula>
    </cfRule>
    <cfRule type="cellIs" dxfId="50" priority="40" operator="equal">
      <formula>"WH"</formula>
    </cfRule>
    <cfRule type="cellIs" dxfId="49" priority="41" operator="equal">
      <formula>"YE"</formula>
    </cfRule>
    <cfRule type="cellIs" dxfId="48" priority="42" operator="equal">
      <formula>"PK"</formula>
    </cfRule>
    <cfRule type="cellIs" dxfId="47" priority="43" operator="equal">
      <formula>"BU"</formula>
    </cfRule>
    <cfRule type="cellIs" dxfId="46" priority="44" operator="equal">
      <formula>"DG"</formula>
    </cfRule>
    <cfRule type="containsText" dxfId="45" priority="45" stopIfTrue="1" operator="containsText" text="GY">
      <formula>NOT(ISERROR(SEARCH("GY",M24)))</formula>
    </cfRule>
    <cfRule type="containsText" dxfId="44" priority="46" stopIfTrue="1" operator="containsText" text="RD">
      <formula>NOT(ISERROR(SEARCH("RD",M24)))</formula>
    </cfRule>
    <cfRule type="containsText" dxfId="43" priority="47" stopIfTrue="1" operator="containsText" text="YL">
      <formula>NOT(ISERROR(SEARCH("YL",M24)))</formula>
    </cfRule>
    <cfRule type="containsText" dxfId="42" priority="48" stopIfTrue="1" operator="containsText" text="VT">
      <formula>NOT(ISERROR(SEARCH("VT",M24)))</formula>
    </cfRule>
    <cfRule type="containsText" dxfId="41" priority="49" stopIfTrue="1" operator="containsText" text="BR">
      <formula>NOT(ISERROR(SEARCH("BR",M24)))</formula>
    </cfRule>
    <cfRule type="containsText" dxfId="40" priority="50" stopIfTrue="1" operator="containsText" text="OR">
      <formula>NOT(ISERROR(SEARCH("OR",M24)))</formula>
    </cfRule>
    <cfRule type="containsText" dxfId="39" priority="51" stopIfTrue="1" operator="containsText" text="LB">
      <formula>NOT(ISERROR(SEARCH("LB",M24)))</formula>
    </cfRule>
    <cfRule type="containsText" dxfId="38" priority="52" stopIfTrue="1" operator="containsText" text="LG">
      <formula>NOT(ISERROR(SEARCH("LG",M24)))</formula>
    </cfRule>
    <cfRule type="containsText" dxfId="37" priority="53" stopIfTrue="1" operator="containsText" text="BK">
      <formula>NOT(ISERROR(SEARCH("BK",M24)))</formula>
    </cfRule>
    <cfRule type="containsText" dxfId="36" priority="54" stopIfTrue="1" operator="containsText" text="WH">
      <formula>NOT(ISERROR(SEARCH("WH",M24)))</formula>
    </cfRule>
  </conditionalFormatting>
  <conditionalFormatting sqref="M33:N80">
    <cfRule type="cellIs" dxfId="35" priority="1" operator="equal">
      <formula>"OG"</formula>
    </cfRule>
    <cfRule type="cellIs" dxfId="34" priority="2" operator="equal">
      <formula>"BN"</formula>
    </cfRule>
    <cfRule type="cellIs" dxfId="33" priority="3" operator="equal">
      <formula>"GN"</formula>
    </cfRule>
    <cfRule type="cellIs" dxfId="32" priority="4" operator="equal">
      <formula>"WH"</formula>
    </cfRule>
    <cfRule type="cellIs" dxfId="31" priority="5" operator="equal">
      <formula>"YE"</formula>
    </cfRule>
    <cfRule type="cellIs" dxfId="30" priority="6" operator="equal">
      <formula>"PK"</formula>
    </cfRule>
    <cfRule type="cellIs" dxfId="29" priority="7" operator="equal">
      <formula>"BU"</formula>
    </cfRule>
    <cfRule type="cellIs" dxfId="28" priority="8" operator="equal">
      <formula>"DG"</formula>
    </cfRule>
    <cfRule type="containsText" dxfId="27" priority="9" stopIfTrue="1" operator="containsText" text="GY">
      <formula>NOT(ISERROR(SEARCH("GY",M33)))</formula>
    </cfRule>
    <cfRule type="containsText" dxfId="26" priority="10" stopIfTrue="1" operator="containsText" text="RD">
      <formula>NOT(ISERROR(SEARCH("RD",M33)))</formula>
    </cfRule>
    <cfRule type="containsText" dxfId="25" priority="11" stopIfTrue="1" operator="containsText" text="YL">
      <formula>NOT(ISERROR(SEARCH("YL",M33)))</formula>
    </cfRule>
    <cfRule type="containsText" dxfId="24" priority="12" stopIfTrue="1" operator="containsText" text="VT">
      <formula>NOT(ISERROR(SEARCH("VT",M33)))</formula>
    </cfRule>
    <cfRule type="containsText" dxfId="23" priority="13" stopIfTrue="1" operator="containsText" text="BR">
      <formula>NOT(ISERROR(SEARCH("BR",M33)))</formula>
    </cfRule>
    <cfRule type="containsText" dxfId="22" priority="14" stopIfTrue="1" operator="containsText" text="OR">
      <formula>NOT(ISERROR(SEARCH("OR",M33)))</formula>
    </cfRule>
    <cfRule type="containsText" dxfId="21" priority="15" stopIfTrue="1" operator="containsText" text="LB">
      <formula>NOT(ISERROR(SEARCH("LB",M33)))</formula>
    </cfRule>
    <cfRule type="containsText" dxfId="20" priority="16" stopIfTrue="1" operator="containsText" text="LG">
      <formula>NOT(ISERROR(SEARCH("LG",M33)))</formula>
    </cfRule>
    <cfRule type="containsText" dxfId="19" priority="17" stopIfTrue="1" operator="containsText" text="BK">
      <formula>NOT(ISERROR(SEARCH("BK",M33)))</formula>
    </cfRule>
    <cfRule type="containsText" dxfId="18" priority="18" stopIfTrue="1" operator="containsText" text="WH">
      <formula>NOT(ISERROR(SEARCH("WH",M33)))</formula>
    </cfRule>
  </conditionalFormatting>
  <conditionalFormatting sqref="N3">
    <cfRule type="cellIs" dxfId="17" priority="127" operator="equal">
      <formula>"OG"</formula>
    </cfRule>
    <cfRule type="cellIs" dxfId="16" priority="128" operator="equal">
      <formula>"BN"</formula>
    </cfRule>
    <cfRule type="cellIs" dxfId="15" priority="129" operator="equal">
      <formula>"GN"</formula>
    </cfRule>
    <cfRule type="cellIs" dxfId="14" priority="130" operator="equal">
      <formula>"WH"</formula>
    </cfRule>
    <cfRule type="cellIs" dxfId="13" priority="131" operator="equal">
      <formula>"YE"</formula>
    </cfRule>
    <cfRule type="cellIs" dxfId="12" priority="132" operator="equal">
      <formula>"PK"</formula>
    </cfRule>
    <cfRule type="cellIs" dxfId="11" priority="133" operator="equal">
      <formula>"BU"</formula>
    </cfRule>
    <cfRule type="cellIs" dxfId="10" priority="134" operator="equal">
      <formula>"DG"</formula>
    </cfRule>
    <cfRule type="containsText" dxfId="9" priority="135" stopIfTrue="1" operator="containsText" text="GY">
      <formula>NOT(ISERROR(SEARCH("GY",N3)))</formula>
    </cfRule>
    <cfRule type="containsText" dxfId="8" priority="136" stopIfTrue="1" operator="containsText" text="RD">
      <formula>NOT(ISERROR(SEARCH("RD",N3)))</formula>
    </cfRule>
    <cfRule type="containsText" dxfId="7" priority="137" stopIfTrue="1" operator="containsText" text="YL">
      <formula>NOT(ISERROR(SEARCH("YL",N3)))</formula>
    </cfRule>
    <cfRule type="containsText" dxfId="6" priority="138" stopIfTrue="1" operator="containsText" text="VT">
      <formula>NOT(ISERROR(SEARCH("VT",N3)))</formula>
    </cfRule>
    <cfRule type="containsText" dxfId="5" priority="139" stopIfTrue="1" operator="containsText" text="BR">
      <formula>NOT(ISERROR(SEARCH("BR",N3)))</formula>
    </cfRule>
    <cfRule type="containsText" dxfId="4" priority="140" stopIfTrue="1" operator="containsText" text="OR">
      <formula>NOT(ISERROR(SEARCH("OR",N3)))</formula>
    </cfRule>
    <cfRule type="containsText" dxfId="3" priority="141" stopIfTrue="1" operator="containsText" text="LB">
      <formula>NOT(ISERROR(SEARCH("LB",N3)))</formula>
    </cfRule>
    <cfRule type="containsText" dxfId="2" priority="142" stopIfTrue="1" operator="containsText" text="LG">
      <formula>NOT(ISERROR(SEARCH("LG",N3)))</formula>
    </cfRule>
    <cfRule type="containsText" dxfId="1" priority="143" stopIfTrue="1" operator="containsText" text="BK">
      <formula>NOT(ISERROR(SEARCH("BK",N3)))</formula>
    </cfRule>
    <cfRule type="containsText" dxfId="0" priority="144" stopIfTrue="1" operator="containsText" text="WH">
      <formula>NOT(ISERROR(SEARCH("WH",N3)))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Guimaraes, Kaio Augusto</dc:creator>
  <cp:lastModifiedBy>Godoi, Thiago Mantoan DE</cp:lastModifiedBy>
  <dcterms:created xsi:type="dcterms:W3CDTF">2025-08-26T23:59:05Z</dcterms:created>
  <dcterms:modified xsi:type="dcterms:W3CDTF">2025-09-16T14:58:53Z</dcterms:modified>
</cp:coreProperties>
</file>